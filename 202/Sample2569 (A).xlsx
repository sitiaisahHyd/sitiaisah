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COM_Ais68\"/>
    </mc:Choice>
  </mc:AlternateContent>
  <xr:revisionPtr revIDLastSave="0" documentId="13_ncr:1_{6459FEC9-1C7A-4C6E-BB99-81F211C19794}" xr6:coauthVersionLast="47" xr6:coauthVersionMax="47" xr10:uidLastSave="{00000000-0000-0000-0000-000000000000}"/>
  <bookViews>
    <workbookView xWindow="-120" yWindow="-120" windowWidth="20730" windowHeight="11160" activeTab="5" xr2:uid="{DC3EBB85-64FC-4DFB-B4D7-56C25D4CC391}"/>
  </bookViews>
  <sheets>
    <sheet name="Province" sheetId="2" r:id="rId1"/>
    <sheet name="งาน1" sheetId="9" r:id="rId2"/>
    <sheet name="Sheet9" sheetId="32" r:id="rId3"/>
    <sheet name="ประชากรไทย" sheetId="3" r:id="rId4"/>
    <sheet name="PIVOT3" sheetId="35" r:id="rId5"/>
    <sheet name=" DASHBOARD(F)" sheetId="36" r:id="rId6"/>
    <sheet name="DATA1" sheetId="30" r:id="rId7"/>
    <sheet name="DATA0" sheetId="14" r:id="rId8"/>
    <sheet name="ENSO_data" sheetId="1" r:id="rId9"/>
    <sheet name="Temperature_graph" sheetId="4" r:id="rId10"/>
    <sheet name="population2568" sheetId="13" r:id="rId11"/>
    <sheet name="population_2568A" sheetId="12" r:id="rId12"/>
    <sheet name="Score" sheetId="5" r:id="rId13"/>
    <sheet name="Count" sheetId="6" r:id="rId14"/>
    <sheet name="DMD2DDD" sheetId="8" r:id="rId15"/>
    <sheet name="DDD2DMS2" sheetId="10" r:id="rId16"/>
    <sheet name="DDD2DMS" sheetId="7" r:id="rId17"/>
  </sheets>
  <externalReferences>
    <externalReference r:id="rId18"/>
    <externalReference r:id="rId19"/>
  </externalReferences>
  <definedNames>
    <definedName name="_xlnm._FilterDatabase" localSheetId="7" hidden="1">DATA0!$A$1:$I$2453</definedName>
    <definedName name="_xlnm._FilterDatabase" localSheetId="10" hidden="1">population2568!$C$1:$C$78</definedName>
    <definedName name="_xlnm._FilterDatabase" localSheetId="3" hidden="1">ประชากรไทย!$C$1:$C$2453</definedName>
    <definedName name="Data">DATA0!$1:$1048576</definedName>
    <definedName name="ExternalData_1" localSheetId="11" hidden="1">population_2568A!$A$1:$G$80</definedName>
    <definedName name="ExternalData_1" localSheetId="0" hidden="1">Province!$A$1:$E$78</definedName>
    <definedName name="Slicer_ภูมิภาค1">#N/A</definedName>
    <definedName name="ภาคกลาง">DATA0!$A$1:$I$2042</definedName>
    <definedName name="ภาคตะวันออกเฉียงเหนือ">DATA0!$A$1:$I$1309</definedName>
    <definedName name="ภาคเหนือ">DATA0!$A$1:$I$1633</definedName>
  </definedNames>
  <calcPr calcId="191029"/>
  <pivotCaches>
    <pivotCache cacheId="0" r:id="rId20"/>
    <pivotCache cacheId="1"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0" l="1"/>
  <c r="C4" i="10"/>
  <c r="C5" i="10"/>
  <c r="C6" i="10"/>
  <c r="C7" i="10"/>
  <c r="D3" i="10"/>
  <c r="D5" i="10"/>
  <c r="D6" i="10"/>
  <c r="D4" i="10"/>
  <c r="D7" i="10"/>
  <c r="D2" i="10"/>
  <c r="H3" i="30"/>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G3" i="30"/>
  <c r="G4" i="30"/>
  <c r="G5" i="30"/>
  <c r="G6" i="30"/>
  <c r="G7" i="30"/>
  <c r="G8" i="30"/>
  <c r="G9" i="30"/>
  <c r="G10" i="30"/>
  <c r="G11" i="30"/>
  <c r="G12" i="30"/>
  <c r="G13" i="30"/>
  <c r="G14" i="30"/>
  <c r="G15" i="30"/>
  <c r="G16" i="30"/>
  <c r="G17" i="30"/>
  <c r="G18" i="30"/>
  <c r="G19" i="30"/>
  <c r="G20" i="30"/>
  <c r="G21" i="30"/>
  <c r="G22" i="30"/>
  <c r="G23" i="30"/>
  <c r="G24" i="30"/>
  <c r="G25" i="30"/>
  <c r="G26" i="30"/>
  <c r="G27" i="30"/>
  <c r="G28" i="30"/>
  <c r="G29" i="30"/>
  <c r="G30" i="30"/>
  <c r="G31" i="30"/>
  <c r="G32" i="30"/>
  <c r="G33" i="30"/>
  <c r="G34" i="30"/>
  <c r="G35" i="30"/>
  <c r="G36" i="30"/>
  <c r="G37" i="30"/>
  <c r="G38" i="30"/>
  <c r="G39" i="30"/>
  <c r="G40" i="30"/>
  <c r="G41" i="30"/>
  <c r="G42" i="30"/>
  <c r="G43" i="30"/>
  <c r="G44" i="30"/>
  <c r="G45" i="30"/>
  <c r="G46" i="30"/>
  <c r="G47" i="30"/>
  <c r="G48" i="30"/>
  <c r="G49" i="30"/>
  <c r="G50" i="30"/>
  <c r="G51" i="30"/>
  <c r="G52" i="30"/>
  <c r="G53" i="30"/>
  <c r="G54" i="30"/>
  <c r="G55" i="30"/>
  <c r="G56" i="30"/>
  <c r="G57" i="30"/>
  <c r="G58" i="30"/>
  <c r="G59" i="30"/>
  <c r="G60" i="30"/>
  <c r="G61" i="30"/>
  <c r="G62" i="30"/>
  <c r="G63" i="30"/>
  <c r="G64" i="30"/>
  <c r="G65" i="30"/>
  <c r="G66" i="30"/>
  <c r="G67" i="30"/>
  <c r="G68" i="30"/>
  <c r="G69" i="30"/>
  <c r="G70" i="30"/>
  <c r="G71" i="30"/>
  <c r="G72" i="30"/>
  <c r="G73" i="30"/>
  <c r="G74" i="30"/>
  <c r="G75" i="30"/>
  <c r="G76" i="30"/>
  <c r="G77" i="30"/>
  <c r="G78" i="30"/>
  <c r="H2" i="30"/>
  <c r="G2" i="30"/>
  <c r="I9" i="7"/>
  <c r="H9" i="7"/>
  <c r="G9" i="7"/>
  <c r="F9" i="7"/>
  <c r="E9" i="7"/>
  <c r="D9" i="7"/>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B7" i="10"/>
  <c r="B6" i="10"/>
  <c r="B5" i="10"/>
  <c r="B4" i="10"/>
  <c r="B3" i="10"/>
  <c r="C2" i="10"/>
  <c r="B2" i="10"/>
  <c r="G7" i="8"/>
  <c r="G6" i="8"/>
  <c r="G5" i="8"/>
  <c r="G4" i="8"/>
  <c r="G3" i="8"/>
  <c r="G2" i="8"/>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G21" i="5"/>
  <c r="F21" i="5"/>
  <c r="E21" i="5"/>
  <c r="D21" i="5"/>
  <c r="G20" i="5"/>
  <c r="F20" i="5"/>
  <c r="E20" i="5"/>
  <c r="D20" i="5"/>
  <c r="G19" i="5"/>
  <c r="F19" i="5"/>
  <c r="E19" i="5"/>
  <c r="G18" i="5"/>
  <c r="F18" i="5"/>
  <c r="E18" i="5"/>
  <c r="D18" i="5"/>
  <c r="G17" i="5"/>
  <c r="F17" i="5"/>
  <c r="E17" i="5"/>
  <c r="D17" i="5"/>
  <c r="G16" i="5"/>
  <c r="F16" i="5"/>
  <c r="E16" i="5"/>
  <c r="D16" i="5"/>
  <c r="G15" i="5"/>
  <c r="F15" i="5"/>
  <c r="E15" i="5"/>
  <c r="D15" i="5"/>
  <c r="G14" i="5"/>
  <c r="F14" i="5"/>
  <c r="E14" i="5"/>
  <c r="D14" i="5"/>
  <c r="G13" i="5"/>
  <c r="F13" i="5"/>
  <c r="E13" i="5"/>
  <c r="D13" i="5"/>
  <c r="G12" i="5"/>
  <c r="F12" i="5"/>
  <c r="E12" i="5"/>
  <c r="D12" i="5"/>
  <c r="G11" i="5"/>
  <c r="F11" i="5"/>
  <c r="E11" i="5"/>
  <c r="D11" i="5"/>
  <c r="G10" i="5"/>
  <c r="F10" i="5"/>
  <c r="E10" i="5"/>
  <c r="D10" i="5"/>
  <c r="G9" i="5"/>
  <c r="F9" i="5"/>
  <c r="E9" i="5"/>
  <c r="D9" i="5"/>
  <c r="G8" i="5"/>
  <c r="F8" i="5"/>
  <c r="E8" i="5"/>
  <c r="D8" i="5"/>
  <c r="G7" i="5"/>
  <c r="F7" i="5"/>
  <c r="E7" i="5"/>
  <c r="D7" i="5"/>
  <c r="G6" i="5"/>
  <c r="F6" i="5"/>
  <c r="E6" i="5"/>
  <c r="D6" i="5"/>
  <c r="G5" i="5"/>
  <c r="F5" i="5"/>
  <c r="E5" i="5"/>
  <c r="D5" i="5"/>
  <c r="G4" i="5"/>
  <c r="F4" i="5"/>
  <c r="E4" i="5"/>
  <c r="D4" i="5"/>
  <c r="G3" i="5"/>
  <c r="F3" i="5"/>
  <c r="E3" i="5"/>
  <c r="D3" i="5"/>
  <c r="G2" i="5"/>
  <c r="F2" i="5"/>
  <c r="E2" i="5"/>
  <c r="B16" i="4"/>
  <c r="B15" i="4"/>
  <c r="B14" i="4"/>
  <c r="N13" i="4"/>
  <c r="M13" i="4"/>
  <c r="L13" i="4"/>
  <c r="K13" i="4"/>
  <c r="J13" i="4"/>
  <c r="I13" i="4"/>
  <c r="H13" i="4"/>
  <c r="G13" i="4"/>
  <c r="F13" i="4"/>
  <c r="E13" i="4"/>
  <c r="D13" i="4"/>
  <c r="C13" i="4"/>
  <c r="B13" i="4"/>
  <c r="N12" i="4"/>
  <c r="N11" i="4"/>
  <c r="N10" i="4"/>
  <c r="N9" i="4"/>
  <c r="N8" i="4"/>
  <c r="N7" i="4"/>
  <c r="N6" i="4"/>
  <c r="N5" i="4"/>
  <c r="N4" i="4"/>
  <c r="N3" i="4"/>
  <c r="N2" i="4"/>
  <c r="R144" i="1"/>
  <c r="Q144" i="1"/>
  <c r="R143" i="1"/>
  <c r="Q143" i="1"/>
  <c r="R142" i="1"/>
  <c r="Q142" i="1"/>
  <c r="R141" i="1"/>
  <c r="Q141" i="1"/>
  <c r="R140" i="1"/>
  <c r="Q140" i="1"/>
  <c r="R139" i="1"/>
  <c r="Q139" i="1"/>
  <c r="R138" i="1"/>
  <c r="Q138" i="1"/>
  <c r="R137" i="1"/>
  <c r="Q137" i="1"/>
  <c r="R136" i="1"/>
  <c r="Q136" i="1"/>
  <c r="R135" i="1"/>
  <c r="Q135" i="1"/>
  <c r="R134" i="1"/>
  <c r="Q134" i="1"/>
  <c r="R133" i="1"/>
  <c r="Q133" i="1"/>
  <c r="R131" i="1"/>
  <c r="Q131" i="1"/>
  <c r="R130" i="1"/>
  <c r="Q130" i="1"/>
  <c r="R129" i="1"/>
  <c r="Q129" i="1"/>
  <c r="R128" i="1"/>
  <c r="Q128" i="1"/>
  <c r="R127" i="1"/>
  <c r="Q127" i="1"/>
  <c r="R126" i="1"/>
  <c r="Q126" i="1"/>
  <c r="R125" i="1"/>
  <c r="Q125" i="1"/>
  <c r="R124" i="1"/>
  <c r="Q124" i="1"/>
  <c r="R123" i="1"/>
  <c r="Q123" i="1"/>
  <c r="R122" i="1"/>
  <c r="Q122" i="1"/>
  <c r="R121" i="1"/>
  <c r="Q121" i="1"/>
  <c r="R120" i="1"/>
  <c r="Q120" i="1"/>
  <c r="R118" i="1"/>
  <c r="Q118" i="1"/>
  <c r="R117" i="1"/>
  <c r="Q117" i="1"/>
  <c r="R116" i="1"/>
  <c r="Q116" i="1"/>
  <c r="R115" i="1"/>
  <c r="Q115" i="1"/>
  <c r="R114" i="1"/>
  <c r="Q114" i="1"/>
  <c r="R113" i="1"/>
  <c r="Q113" i="1"/>
  <c r="R112" i="1"/>
  <c r="Q112" i="1"/>
  <c r="R111" i="1"/>
  <c r="Q111" i="1"/>
  <c r="R110" i="1"/>
  <c r="Q110" i="1"/>
  <c r="R109" i="1"/>
  <c r="Q109" i="1"/>
  <c r="R108" i="1"/>
  <c r="Q108" i="1"/>
  <c r="R107" i="1"/>
  <c r="Q107" i="1"/>
  <c r="R105" i="1"/>
  <c r="Q105" i="1"/>
  <c r="R104" i="1"/>
  <c r="Q104" i="1"/>
  <c r="R103" i="1"/>
  <c r="Q103" i="1"/>
  <c r="R102" i="1"/>
  <c r="Q102" i="1"/>
  <c r="R101" i="1"/>
  <c r="Q101" i="1"/>
  <c r="R100" i="1"/>
  <c r="Q100" i="1"/>
  <c r="R99" i="1"/>
  <c r="Q99" i="1"/>
  <c r="R98" i="1"/>
  <c r="Q98" i="1"/>
  <c r="R97" i="1"/>
  <c r="Q97" i="1"/>
  <c r="R96" i="1"/>
  <c r="Q96" i="1"/>
  <c r="R95" i="1"/>
  <c r="Q95" i="1"/>
  <c r="R94" i="1"/>
  <c r="Q94" i="1"/>
  <c r="R92" i="1"/>
  <c r="Q92" i="1"/>
  <c r="R91" i="1"/>
  <c r="Q91" i="1"/>
  <c r="R90" i="1"/>
  <c r="Q90" i="1"/>
  <c r="R89" i="1"/>
  <c r="Q89" i="1"/>
  <c r="R88" i="1"/>
  <c r="Q88" i="1"/>
  <c r="R87" i="1"/>
  <c r="Q87" i="1"/>
  <c r="R86" i="1"/>
  <c r="Q86" i="1"/>
  <c r="R85" i="1"/>
  <c r="Q85" i="1"/>
  <c r="R84" i="1"/>
  <c r="Q84" i="1"/>
  <c r="R83" i="1"/>
  <c r="Q83" i="1"/>
  <c r="R82" i="1"/>
  <c r="Q82" i="1"/>
  <c r="R81" i="1"/>
  <c r="Q81" i="1"/>
  <c r="R79" i="1"/>
  <c r="Q79" i="1"/>
  <c r="R78" i="1"/>
  <c r="Q78" i="1"/>
  <c r="R77" i="1"/>
  <c r="Q77" i="1"/>
  <c r="R76" i="1"/>
  <c r="Q76" i="1"/>
  <c r="R75" i="1"/>
  <c r="Q75" i="1"/>
  <c r="R74" i="1"/>
  <c r="Q74" i="1"/>
  <c r="R73" i="1"/>
  <c r="Q73" i="1"/>
  <c r="R72" i="1"/>
  <c r="Q72" i="1"/>
  <c r="R71" i="1"/>
  <c r="Q71" i="1"/>
  <c r="R70" i="1"/>
  <c r="Q70" i="1"/>
  <c r="R69" i="1"/>
  <c r="Q69" i="1"/>
  <c r="R68" i="1"/>
  <c r="Q68" i="1"/>
  <c r="R66" i="1"/>
  <c r="Q66" i="1"/>
  <c r="R65" i="1"/>
  <c r="Q65" i="1"/>
  <c r="R64" i="1"/>
  <c r="Q64" i="1"/>
  <c r="R63" i="1"/>
  <c r="Q63" i="1"/>
  <c r="R62" i="1"/>
  <c r="Q62" i="1"/>
  <c r="R61" i="1"/>
  <c r="Q61" i="1"/>
  <c r="R60" i="1"/>
  <c r="Q60" i="1"/>
  <c r="R59" i="1"/>
  <c r="Q59" i="1"/>
  <c r="R58" i="1"/>
  <c r="Q58" i="1"/>
  <c r="R57" i="1"/>
  <c r="Q57" i="1"/>
  <c r="R56" i="1"/>
  <c r="Q56" i="1"/>
  <c r="R55" i="1"/>
  <c r="Q55" i="1"/>
  <c r="R53" i="1"/>
  <c r="Q53" i="1"/>
  <c r="R52" i="1"/>
  <c r="Q52" i="1"/>
  <c r="R51" i="1"/>
  <c r="Q51" i="1"/>
  <c r="R50" i="1"/>
  <c r="Q50" i="1"/>
  <c r="R49" i="1"/>
  <c r="Q49" i="1"/>
  <c r="R48" i="1"/>
  <c r="Q48" i="1"/>
  <c r="R47" i="1"/>
  <c r="Q47" i="1"/>
  <c r="R46" i="1"/>
  <c r="Q46" i="1"/>
  <c r="R45" i="1"/>
  <c r="Q45" i="1"/>
  <c r="R44" i="1"/>
  <c r="Q44" i="1"/>
  <c r="R43" i="1"/>
  <c r="Q43" i="1"/>
  <c r="R42" i="1"/>
  <c r="Q42" i="1"/>
  <c r="R40" i="1"/>
  <c r="Q40" i="1"/>
  <c r="R39" i="1"/>
  <c r="Q39" i="1"/>
  <c r="R38" i="1"/>
  <c r="Q38" i="1"/>
  <c r="R37" i="1"/>
  <c r="Q37" i="1"/>
  <c r="R36" i="1"/>
  <c r="Q36" i="1"/>
  <c r="R35" i="1"/>
  <c r="Q35" i="1"/>
  <c r="R34" i="1"/>
  <c r="Q34" i="1"/>
  <c r="R33" i="1"/>
  <c r="Q33" i="1"/>
  <c r="R32" i="1"/>
  <c r="Q32" i="1"/>
  <c r="R31" i="1"/>
  <c r="Q31" i="1"/>
  <c r="R30" i="1"/>
  <c r="Q30" i="1"/>
  <c r="R29" i="1"/>
  <c r="Q29" i="1"/>
  <c r="R27" i="1"/>
  <c r="Q27" i="1"/>
  <c r="R26" i="1"/>
  <c r="Q26" i="1"/>
  <c r="R25" i="1"/>
  <c r="Q25" i="1"/>
  <c r="R24" i="1"/>
  <c r="Q24" i="1"/>
  <c r="R23" i="1"/>
  <c r="Q23" i="1"/>
  <c r="R22" i="1"/>
  <c r="Q22" i="1"/>
  <c r="R21" i="1"/>
  <c r="Q21" i="1"/>
  <c r="R20" i="1"/>
  <c r="Q20" i="1"/>
  <c r="R19" i="1"/>
  <c r="Q19" i="1"/>
  <c r="R18" i="1"/>
  <c r="Q18" i="1"/>
  <c r="R17" i="1"/>
  <c r="Q17" i="1"/>
  <c r="R16" i="1"/>
  <c r="Q16" i="1"/>
  <c r="R14" i="1"/>
  <c r="Q14" i="1"/>
  <c r="R13" i="1"/>
  <c r="Q13" i="1"/>
  <c r="R12" i="1"/>
  <c r="Q12" i="1"/>
  <c r="R11" i="1"/>
  <c r="Q11" i="1"/>
  <c r="R10" i="1"/>
  <c r="Q10" i="1"/>
  <c r="R9" i="1"/>
  <c r="Q9" i="1"/>
  <c r="R8" i="1"/>
  <c r="Q8" i="1"/>
  <c r="R7" i="1"/>
  <c r="Q7" i="1"/>
  <c r="R6" i="1"/>
  <c r="Q6" i="1"/>
  <c r="R5" i="1"/>
  <c r="Q5" i="1"/>
  <c r="R4" i="1"/>
  <c r="Q4" i="1"/>
  <c r="R3" i="1"/>
  <c r="Q3" i="1"/>
  <c r="E11" i="9"/>
  <c r="E10" i="9"/>
  <c r="E9" i="9"/>
  <c r="E8" i="9"/>
  <c r="E7" i="9"/>
  <c r="E6" i="9"/>
  <c r="E5" i="9"/>
  <c r="E4" i="9"/>
  <c r="E3" i="9"/>
  <c r="E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8B7CBA-E0C7-4E15-84FF-90D2626DA3D9}" keepAlive="1" name="Query - population_2568A" description="Connection to the 'population_2568A' query in the workbook." type="5" refreshedVersion="7" background="1" saveData="1">
    <dbPr connection="Provider=Microsoft.Mashup.OleDb.1;Data Source=$Workbook$;Location=population_2568A;Extended Properties=&quot;&quot;" command="SELECT * FROM [population_2568A]"/>
  </connection>
  <connection id="2"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<sst xmlns="http://schemas.openxmlformats.org/spreadsheetml/2006/main" count="10858" uniqueCount="3012">
  <si>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</si>
  <si>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</si>
  <si>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</si>
  <si>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</si>
  <si>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</si>
  <si>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</si>
  <si>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</si>
  <si>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</si>
  <si>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</si>
  <si>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</si>
  <si>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</si>
  <si>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</si>
  <si>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</si>
  <si>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</si>
  <si>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</si>
  <si>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</si>
  <si>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</si>
  <si>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</si>
  <si>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</si>
  <si>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</si>
  <si>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</si>
  <si>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</si>
  <si>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</si>
  <si>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</si>
  <si>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</si>
  <si>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</si>
  <si>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</si>
  <si>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</si>
  <si>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</si>
  <si>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</si>
  <si>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</si>
  <si>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</si>
  <si>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</si>
  <si>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</si>
  <si>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</si>
  <si>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</si>
  <si>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</si>
  <si>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</si>
  <si>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</si>
  <si>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</si>
  <si>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</si>
  <si>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</si>
  <si>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</si>
  <si>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</si>
  <si>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</si>
  <si>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</si>
  <si>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</si>
  <si>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</si>
  <si>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</si>
  <si>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</si>
  <si>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</si>
  <si>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</si>
  <si>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</si>
  <si>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</si>
  <si>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</si>
  <si>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</si>
  <si>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</si>
  <si>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</si>
  <si>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</si>
  <si>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</si>
  <si>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</si>
  <si>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</si>
  <si>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</si>
  <si>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</si>
  <si>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</si>
  <si>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</si>
  <si>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</si>
  <si>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</si>
  <si>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</si>
  <si>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</si>
  <si>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</si>
  <si>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</si>
  <si>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</si>
  <si>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</si>
  <si>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</si>
  <si>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</si>
  <si>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</si>
  <si>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</si>
  <si>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</si>
  <si>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</si>
  <si>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</si>
  <si>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</si>
  <si>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</si>
  <si>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</si>
  <si>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</si>
  <si>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</si>
  <si>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</si>
  <si>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</si>
  <si>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</si>
  <si>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</si>
  <si>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</si>
  <si>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</si>
  <si>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</si>
  <si>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</si>
  <si>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</si>
  <si>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</si>
  <si>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</si>
  <si>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</si>
  <si>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</si>
  <si>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</si>
  <si>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</si>
  <si>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</si>
  <si>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</si>
  <si>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</si>
  <si>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</si>
  <si>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</si>
  <si>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</si>
  <si>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</si>
  <si>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</si>
  <si>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</si>
  <si>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</si>
  <si>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</si>
  <si>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</si>
  <si>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</si>
  <si>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</si>
  <si>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</si>
  <si>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</si>
  <si>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</si>
  <si>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</si>
  <si>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</si>
  <si>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</si>
  <si>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</si>
  <si>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</si>
  <si>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</si>
  <si>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</si>
  <si>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</si>
  <si>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</si>
  <si>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</si>
  <si>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</si>
  <si>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</si>
  <si>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</si>
  <si>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</si>
  <si>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</si>
  <si>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</si>
  <si>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</si>
  <si>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</si>
  <si>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</si>
  <si>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</si>
  <si>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</si>
  <si>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</si>
  <si>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</si>
  <si>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</si>
  <si>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</si>
  <si>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</si>
  <si>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</si>
  <si>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</si>
  <si>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</si>
  <si>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</si>
  <si>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</si>
  <si>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</si>
  <si>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</si>
  <si>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</si>
  <si>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</si>
  <si>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</si>
  <si>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</si>
  <si>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</si>
  <si>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</si>
  <si>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</si>
  <si>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</si>
  <si>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</si>
  <si>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</si>
  <si>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</si>
  <si>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</si>
  <si>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</si>
  <si>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</si>
  <si>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</si>
  <si>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</si>
  <si>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</si>
  <si>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</si>
  <si>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</si>
  <si>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</si>
  <si>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</si>
  <si>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</si>
  <si>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</si>
  <si>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</si>
  <si>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</si>
  <si>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</si>
  <si>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</si>
  <si>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</si>
  <si>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</si>
  <si>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</si>
  <si>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</si>
  <si>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</si>
  <si>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</si>
  <si>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</si>
  <si>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</si>
  <si>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</si>
  <si>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</si>
  <si>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</si>
  <si>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</si>
  <si>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</si>
  <si>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</si>
  <si>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</si>
  <si>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</si>
  <si>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</si>
  <si>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</si>
  <si>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</si>
  <si>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</si>
  <si>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</si>
  <si>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</si>
  <si>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</si>
  <si>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</si>
  <si>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</si>
  <si>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</si>
  <si>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</si>
  <si>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</si>
  <si>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</si>
  <si>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</si>
  <si>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</si>
  <si>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</si>
  <si>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</si>
  <si>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</si>
  <si>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</si>
  <si>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</si>
  <si>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</si>
  <si>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</si>
  <si>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</si>
  <si>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</si>
  <si>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</si>
  <si>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</si>
  <si>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</si>
  <si>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</si>
  <si>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</si>
  <si>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</si>
  <si>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</si>
  <si>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</si>
  <si>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</si>
  <si>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</si>
  <si>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</si>
  <si>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</si>
  <si>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</si>
  <si>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</si>
  <si>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</si>
  <si>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</si>
  <si>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</si>
  <si>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</si>
  <si>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</si>
  <si>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</si>
  <si>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</si>
  <si>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</si>
  <si>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</si>
  <si>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</si>
  <si>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</si>
  <si>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</si>
  <si>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</si>
  <si>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</si>
  <si>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</si>
  <si>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</si>
  <si>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</si>
  <si>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</si>
  <si>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</si>
  <si>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</si>
  <si>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</si>
  <si>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</si>
  <si>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</si>
  <si>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</si>
  <si>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</si>
  <si>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</si>
  <si>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</si>
  <si>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</si>
  <si>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</si>
  <si>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</si>
  <si>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</si>
  <si>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</si>
  <si>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</si>
  <si>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</si>
  <si>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</si>
  <si>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</si>
  <si>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</si>
  <si>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</si>
  <si>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</si>
  <si>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</si>
  <si>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</si>
  <si>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</si>
  <si>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</si>
  <si>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</si>
  <si>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</si>
  <si>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</si>
  <si>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</si>
  <si>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</si>
  <si>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</si>
  <si>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</si>
  <si>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</si>
  <si>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</si>
  <si>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</si>
  <si>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</si>
  <si>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</si>
  <si>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</si>
  <si>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</si>
  <si>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</si>
  <si>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</si>
  <si>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</si>
  <si>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</si>
  <si>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</si>
  <si>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</si>
  <si>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</si>
  <si>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</si>
  <si>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</si>
  <si>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</si>
  <si>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</si>
  <si>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</si>
  <si>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</si>
  <si>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</si>
  <si>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</si>
  <si>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</si>
  <si>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</si>
  <si>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</si>
  <si>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</si>
  <si>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</si>
  <si>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</si>
  <si>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</si>
  <si>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</si>
  <si>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</si>
  <si>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</si>
  <si>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</si>
  <si>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</si>
  <si>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</si>
  <si>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</si>
  <si>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</si>
  <si>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</si>
  <si>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</si>
  <si>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</si>
  <si>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</si>
  <si>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</si>
  <si>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</si>
  <si>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</si>
  <si>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</si>
  <si>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</si>
  <si>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</si>
  <si>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</si>
  <si>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</si>
  <si>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</si>
  <si>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</si>
  <si>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จำนวนประชากรชาย</t>
  </si>
  <si>
    <t>จำนวนประชากรหญิง</t>
  </si>
  <si>
    <t>จำนวนประชากรทั้งหมด</t>
  </si>
  <si>
    <t>จำนวนบ้าน (หลังคาเรือน)</t>
  </si>
  <si>
    <t>ทั่วประเทศ</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</si>
  <si>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</si>
  <si>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</si>
  <si>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</si>
  <si>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</si>
  <si>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</si>
  <si>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</si>
  <si>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</si>
  <si>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</si>
  <si>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</si>
  <si>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</si>
  <si>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</si>
  <si>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</si>
  <si>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</si>
  <si>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</si>
  <si>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</si>
  <si>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</si>
  <si>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</si>
  <si>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</si>
  <si>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</si>
  <si>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</si>
  <si>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</si>
  <si>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</si>
  <si>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</si>
  <si>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</si>
  <si>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</si>
  <si>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</si>
  <si>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</si>
  <si>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</si>
  <si>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</si>
  <si>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</si>
  <si>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</si>
  <si>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</si>
  <si>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</si>
  <si>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</si>
  <si>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</si>
  <si>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</si>
  <si>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</si>
  <si>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</si>
  <si>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</si>
  <si>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</si>
  <si>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</si>
  <si>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</si>
  <si>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</si>
  <si>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</si>
  <si>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</si>
  <si>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</si>
  <si>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</si>
  <si>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</si>
  <si>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</si>
  <si>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</si>
  <si>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</si>
  <si>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</si>
  <si>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</si>
  <si>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</si>
  <si>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</si>
  <si>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</si>
  <si>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</si>
  <si>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</si>
  <si>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</si>
  <si>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</si>
  <si>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</si>
  <si>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</si>
  <si>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</si>
  <si>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</si>
  <si>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</si>
  <si>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</si>
  <si>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</si>
  <si>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</si>
  <si>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</si>
  <si>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</si>
  <si>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</si>
  <si>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</si>
  <si>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</si>
  <si>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</si>
  <si>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</si>
  <si>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</si>
  <si>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</si>
  <si>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</si>
  <si>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</si>
  <si>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</si>
  <si>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</si>
  <si>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</si>
  <si>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</si>
  <si>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</si>
  <si>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</si>
  <si>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</si>
  <si>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</si>
  <si>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</si>
  <si>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</si>
  <si>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</si>
  <si>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</si>
  <si>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</si>
  <si>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</si>
  <si>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</si>
  <si>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</si>
  <si>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</si>
  <si>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</si>
  <si>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</si>
  <si>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</si>
  <si>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</si>
  <si>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</si>
  <si>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</si>
  <si>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</si>
  <si>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</si>
  <si>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</si>
  <si>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</si>
  <si>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</si>
  <si>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</si>
  <si>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</si>
  <si>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</si>
  <si>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</si>
  <si>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</si>
  <si>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</si>
  <si>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</si>
  <si>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</si>
  <si>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</si>
  <si>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</si>
  <si>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</si>
  <si>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</si>
  <si>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</si>
  <si>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</si>
  <si>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</si>
  <si>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</si>
  <si>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</si>
  <si>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</si>
  <si>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</si>
  <si>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</si>
  <si>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</si>
  <si>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</si>
  <si>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</si>
  <si>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</si>
  <si>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</si>
  <si>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</si>
  <si>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</si>
  <si>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</si>
  <si>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</si>
  <si>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</si>
  <si>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</si>
  <si>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</si>
  <si>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</si>
  <si>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</si>
  <si>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</si>
  <si>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</si>
  <si>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</si>
  <si>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</si>
  <si>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</si>
  <si>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</si>
  <si>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</si>
  <si>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</si>
  <si>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</si>
  <si>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</si>
  <si>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</si>
  <si>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</si>
  <si>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</si>
  <si>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</si>
  <si>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</si>
  <si>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</si>
  <si>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</si>
  <si>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</si>
  <si>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</si>
  <si>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</si>
  <si>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</si>
  <si>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</si>
  <si>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</si>
  <si>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</si>
  <si>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</si>
  <si>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</si>
  <si>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</si>
  <si>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</si>
  <si>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</si>
  <si>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</si>
  <si>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</si>
  <si>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</si>
  <si>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</si>
  <si>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</si>
  <si>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</si>
  <si>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</si>
  <si>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</si>
  <si>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</si>
  <si>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</si>
  <si>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</si>
  <si>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</si>
  <si>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</si>
  <si>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</si>
  <si>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</si>
  <si>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</si>
  <si>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</si>
  <si>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</si>
  <si>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</si>
  <si>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</si>
  <si>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</si>
  <si>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</si>
  <si>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</si>
  <si>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</si>
  <si>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</si>
  <si>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</si>
  <si>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</si>
  <si>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</si>
  <si>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</si>
  <si>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</si>
  <si>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</si>
  <si>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</si>
  <si>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</si>
  <si>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</si>
  <si>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</si>
  <si>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</si>
  <si>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</si>
  <si>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</si>
  <si>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</si>
  <si>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</si>
  <si>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</si>
  <si>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</si>
  <si>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</si>
  <si>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</si>
  <si>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</si>
  <si>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</si>
  <si>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</si>
  <si>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</si>
  <si>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</si>
  <si>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</si>
  <si>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</si>
  <si>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</si>
  <si>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</si>
  <si>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</si>
  <si>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</si>
  <si>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</si>
  <si>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</si>
  <si>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</si>
  <si>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</si>
  <si>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</si>
  <si>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</si>
  <si>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</si>
  <si>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</si>
  <si>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</si>
  <si>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</si>
  <si>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</si>
  <si>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</si>
  <si>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</si>
  <si>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</si>
  <si>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</si>
  <si>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</si>
  <si>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</si>
  <si>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</si>
  <si>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</si>
  <si>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</si>
  <si>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</si>
  <si>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</si>
  <si>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</si>
  <si>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</si>
  <si>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</si>
  <si>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</si>
  <si>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</si>
  <si>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</si>
  <si>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</si>
  <si>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</si>
  <si>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</si>
  <si>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</si>
  <si>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</si>
  <si>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</si>
  <si>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</si>
  <si>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</si>
  <si>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</si>
  <si>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</si>
  <si>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</si>
  <si>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</si>
  <si>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</si>
  <si>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</si>
  <si>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</si>
  <si>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</si>
  <si>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</si>
  <si>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</si>
  <si>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</si>
  <si>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</si>
  <si>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</si>
  <si>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</si>
  <si>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</si>
  <si>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</si>
  <si>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</si>
  <si>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</si>
  <si>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</si>
  <si>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</si>
  <si>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</si>
  <si>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</si>
  <si>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</si>
  <si>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</si>
  <si>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</si>
  <si>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</si>
  <si>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</si>
  <si>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</si>
  <si>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</si>
  <si>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</si>
  <si>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</si>
  <si>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</si>
  <si>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</si>
  <si>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</si>
  <si>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</si>
  <si>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</si>
  <si>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</si>
  <si>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</si>
  <si>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</si>
  <si>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</si>
  <si>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</si>
  <si>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</si>
  <si>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</si>
  <si>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</si>
  <si>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</si>
  <si>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</si>
  <si>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</si>
  <si>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</si>
  <si>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</si>
  <si>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</si>
  <si>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</si>
  <si>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</si>
  <si>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</si>
  <si>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</si>
  <si>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</si>
  <si>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</si>
  <si>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</si>
  <si>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</si>
  <si>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</si>
  <si>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</si>
  <si>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</si>
  <si>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</si>
  <si>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</si>
  <si>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</si>
  <si>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</si>
  <si>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</si>
  <si>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</si>
  <si>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</si>
  <si>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</si>
  <si>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</si>
  <si>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</si>
  <si>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</si>
  <si>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</si>
  <si>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</si>
  <si>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</si>
  <si>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</si>
  <si>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</si>
  <si>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</si>
  <si>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</si>
  <si>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</si>
  <si>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</si>
  <si>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</si>
  <si>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</si>
  <si>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</si>
  <si>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</si>
  <si>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</si>
  <si>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</si>
  <si>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</si>
  <si>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</si>
  <si>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</si>
  <si>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</si>
  <si>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</si>
  <si>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</si>
  <si>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</si>
  <si>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</si>
  <si>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</si>
  <si>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</si>
  <si>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</si>
  <si>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</si>
  <si>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</si>
  <si>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</si>
  <si>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</si>
  <si>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</si>
  <si>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</si>
  <si>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</si>
  <si>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</si>
  <si>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</si>
  <si>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</si>
  <si>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</si>
  <si>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</si>
  <si>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</si>
  <si>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</si>
  <si>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</si>
  <si>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</si>
  <si>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</si>
  <si>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</si>
  <si>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</si>
  <si>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</si>
  <si>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</si>
  <si>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</si>
  <si>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</si>
  <si>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</si>
  <si>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</si>
  <si>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</si>
  <si>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</si>
  <si>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</si>
  <si>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</si>
  <si>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</si>
  <si>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</si>
  <si>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</si>
  <si>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</si>
  <si>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</si>
  <si>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</si>
  <si>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</si>
  <si>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</si>
  <si>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</si>
  <si>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</si>
  <si>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</si>
  <si>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</si>
  <si>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</si>
  <si>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</si>
  <si>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</si>
  <si>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</si>
  <si>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</si>
  <si>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</si>
  <si>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</si>
  <si>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</si>
  <si>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</si>
  <si>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</si>
  <si>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</si>
  <si>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</si>
  <si>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</si>
  <si>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</si>
  <si>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</si>
  <si>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</si>
  <si>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</si>
  <si>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</si>
  <si>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</si>
  <si>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</si>
  <si>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</si>
  <si>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</si>
  <si>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</si>
  <si>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</si>
  <si>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</si>
  <si>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</si>
  <si>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</si>
  <si>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</si>
  <si>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</si>
  <si>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</si>
  <si>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</si>
  <si>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</si>
  <si>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</si>
  <si>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</si>
  <si>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</si>
  <si>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</si>
  <si>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</si>
  <si>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</si>
  <si>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</si>
  <si>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</si>
  <si>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</si>
  <si>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</si>
  <si>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</si>
  <si>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</si>
  <si>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</si>
  <si>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</si>
  <si>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</si>
  <si>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</si>
  <si>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</si>
  <si>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</si>
  <si>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</si>
  <si>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</si>
  <si>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</si>
  <si>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</si>
  <si>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</si>
  <si>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</si>
  <si>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</si>
  <si>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</si>
  <si>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</si>
  <si>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</si>
  <si>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</si>
  <si>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</si>
  <si>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</si>
  <si>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</si>
  <si>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</si>
  <si>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</si>
  <si>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</si>
  <si>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</si>
  <si>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</si>
  <si>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</si>
  <si>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</si>
  <si>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</si>
  <si>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</si>
  <si>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</si>
  <si>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</si>
  <si>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</si>
  <si>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</si>
  <si>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</si>
  <si>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</si>
  <si>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</si>
  <si>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</si>
  <si>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</si>
  <si>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</si>
  <si>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</si>
  <si>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</si>
  <si>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</si>
  <si>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</si>
  <si>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</si>
  <si>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</si>
  <si>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</si>
  <si>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</si>
  <si>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</si>
  <si>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</si>
  <si>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</si>
  <si>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</si>
  <si>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</si>
  <si>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</si>
  <si>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</si>
  <si>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</si>
  <si>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</si>
  <si>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</si>
  <si>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</si>
  <si>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</si>
  <si>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</si>
  <si>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</si>
  <si>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</si>
  <si>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</si>
  <si>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</si>
  <si>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</si>
  <si>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</si>
  <si>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</si>
  <si>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</si>
  <si>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</si>
  <si>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</si>
  <si>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</si>
  <si>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</si>
  <si>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</si>
  <si>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</si>
  <si>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</si>
  <si>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</si>
  <si>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</si>
  <si>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</si>
  <si>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</si>
  <si>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</si>
  <si>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</si>
  <si>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</si>
  <si>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</si>
  <si>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</si>
  <si>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</si>
  <si>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</si>
  <si>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</si>
  <si>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</si>
  <si>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</si>
  <si>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</si>
  <si>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</si>
  <si>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</si>
  <si>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</si>
  <si>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</si>
  <si>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</si>
  <si>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</si>
  <si>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</si>
  <si>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</si>
  <si>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</si>
  <si>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</si>
  <si>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</si>
  <si>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</si>
  <si>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</si>
  <si>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</si>
  <si>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</si>
  <si>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</si>
  <si>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</si>
  <si>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</si>
  <si>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</si>
  <si>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</si>
  <si>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</si>
  <si>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</si>
  <si>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</si>
  <si>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</si>
  <si>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</si>
  <si>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</si>
  <si>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</si>
  <si>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</si>
  <si>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</si>
  <si>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</si>
  <si>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</si>
  <si>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</si>
  <si>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</si>
  <si>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</si>
  <si>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</si>
  <si>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</si>
  <si>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</si>
  <si>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</si>
  <si>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</si>
  <si>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</si>
  <si>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</si>
  <si>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</si>
  <si>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</si>
  <si>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</si>
  <si>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</si>
  <si>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</si>
  <si>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</si>
  <si>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</si>
  <si>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</si>
  <si>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</si>
  <si>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</si>
  <si>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</si>
  <si>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</si>
  <si>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</si>
  <si>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</si>
  <si>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</si>
  <si>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</si>
  <si>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</si>
  <si>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</si>
  <si>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</si>
  <si>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</si>
  <si>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</si>
  <si>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</si>
  <si>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</si>
  <si>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</si>
  <si>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</si>
  <si>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</si>
  <si>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</si>
  <si>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</si>
  <si>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</si>
  <si>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</si>
  <si>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</si>
  <si>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</si>
  <si>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</si>
  <si>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</si>
  <si>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</si>
  <si>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</si>
  <si>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</si>
  <si>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</si>
  <si>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</si>
  <si>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</si>
  <si>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</si>
  <si>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</si>
  <si>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</si>
  <si>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</si>
  <si>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</si>
  <si>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</si>
  <si>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</si>
  <si>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</si>
  <si>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</si>
  <si>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</si>
  <si>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</si>
  <si>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</si>
  <si>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</si>
  <si>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</si>
  <si>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</si>
  <si>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</si>
  <si>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</si>
  <si>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</si>
  <si>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</si>
  <si>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</si>
  <si>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</si>
  <si>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</si>
  <si>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</si>
  <si>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</si>
  <si>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</si>
  <si>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</si>
  <si>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</si>
  <si>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</si>
  <si>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</si>
  <si>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</si>
  <si>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</si>
  <si>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</si>
  <si>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</si>
  <si>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</si>
  <si>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</si>
  <si>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</si>
  <si>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</si>
  <si>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</si>
  <si>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</si>
  <si>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</si>
  <si>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</si>
  <si>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</si>
  <si>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</si>
  <si>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</si>
  <si>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</si>
  <si>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</si>
  <si>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</si>
  <si>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</si>
  <si>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</si>
  <si>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</si>
  <si>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</si>
  <si>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</si>
  <si>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</si>
  <si>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</si>
  <si>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</si>
  <si>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</si>
  <si>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</si>
  <si>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</si>
  <si>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</si>
  <si>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</si>
  <si>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</si>
  <si>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</si>
  <si>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</si>
  <si>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</si>
  <si>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</si>
  <si>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</si>
  <si>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</si>
  <si>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</si>
  <si>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</si>
  <si>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</si>
  <si>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</si>
  <si>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</si>
  <si>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</si>
  <si>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</si>
  <si>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</si>
  <si>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</si>
  <si>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</si>
  <si>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</si>
  <si>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</si>
  <si>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</si>
  <si>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</si>
  <si>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</si>
  <si>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</si>
  <si>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</si>
  <si>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</si>
  <si>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</si>
  <si>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</si>
  <si>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</si>
  <si>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</si>
  <si>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</si>
  <si>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</si>
  <si>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</si>
  <si>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</si>
  <si>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</si>
  <si>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</si>
  <si>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</si>
  <si>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</si>
  <si>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</si>
  <si>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</si>
  <si>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</si>
  <si>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</si>
  <si>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</si>
  <si>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</si>
  <si>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</si>
  <si>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</si>
  <si>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</si>
  <si>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</si>
  <si>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</si>
  <si>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</si>
  <si>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</si>
  <si>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</si>
  <si>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</si>
  <si>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</si>
  <si>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</si>
  <si>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</si>
  <si>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</si>
  <si>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</si>
  <si>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</si>
  <si>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</si>
  <si>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</si>
  <si>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</si>
  <si>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</si>
  <si>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</si>
  <si>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</si>
  <si>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</si>
  <si>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</si>
  <si>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</si>
  <si>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</si>
  <si>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</si>
  <si>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</si>
  <si>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</si>
  <si>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</si>
  <si>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</si>
  <si>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</si>
  <si>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</si>
  <si>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</si>
  <si>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</si>
  <si>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</si>
  <si>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</si>
  <si>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</si>
  <si>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</si>
  <si>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</si>
  <si>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</si>
  <si>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</si>
  <si>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</si>
  <si>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</si>
  <si>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</si>
  <si>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</si>
  <si>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</si>
  <si>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</si>
  <si>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</si>
  <si>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</si>
  <si>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</si>
  <si>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</si>
  <si>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</si>
  <si>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</si>
  <si>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</si>
  <si>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</si>
  <si>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</si>
  <si>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</si>
  <si>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</si>
  <si>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</si>
  <si>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</si>
  <si>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</si>
  <si>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</si>
  <si>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</si>
  <si>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</si>
  <si>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</si>
  <si>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</si>
  <si>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</si>
  <si>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</si>
  <si>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</si>
  <si>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</si>
  <si>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</si>
  <si>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</si>
  <si>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</si>
  <si>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</si>
  <si>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</si>
  <si>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</si>
  <si>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</si>
  <si>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</si>
  <si>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</si>
  <si>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</si>
  <si>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</si>
  <si>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</si>
  <si>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</si>
  <si>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</si>
  <si>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</si>
  <si>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</si>
  <si>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</si>
  <si>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</si>
  <si>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</si>
  <si>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</si>
  <si>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</si>
  <si>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</si>
  <si>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</si>
  <si>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</si>
  <si>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</si>
  <si>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</si>
  <si>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</si>
  <si>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</si>
  <si>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</si>
  <si>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</si>
  <si>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</si>
  <si>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</si>
  <si>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</si>
  <si>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</si>
  <si>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</si>
  <si>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</si>
  <si>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</si>
  <si>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</si>
  <si>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</si>
  <si>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</si>
  <si>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</si>
  <si>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</si>
  <si>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</si>
  <si>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</si>
  <si>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</si>
  <si>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</si>
  <si>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</si>
  <si>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</si>
  <si>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</si>
  <si>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</si>
  <si>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</si>
  <si>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</si>
  <si>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</si>
  <si>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</si>
  <si>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</si>
  <si>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</si>
  <si>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</si>
  <si>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</si>
  <si>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</si>
  <si>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</si>
  <si>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</si>
  <si>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</si>
  <si>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</si>
  <si>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</si>
  <si>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</si>
  <si>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</si>
  <si>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</si>
  <si>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</si>
  <si>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</si>
  <si>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</si>
  <si>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</si>
  <si>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</si>
  <si>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</si>
  <si>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</si>
  <si>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</si>
  <si>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</si>
  <si>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</si>
  <si>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</si>
  <si>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</si>
  <si>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</si>
  <si>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</si>
  <si>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</si>
  <si>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</si>
  <si>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</si>
  <si>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</si>
  <si>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</si>
  <si>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</si>
  <si>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</si>
  <si>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</si>
  <si>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</si>
  <si>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</si>
  <si>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</si>
  <si>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</si>
  <si>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</si>
  <si>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</si>
  <si>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</si>
  <si>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</si>
  <si>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</si>
  <si>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</si>
  <si>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</si>
  <si>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</si>
  <si>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</si>
  <si>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</si>
  <si>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</si>
  <si>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</si>
  <si>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</si>
  <si>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</si>
  <si>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</si>
  <si>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</si>
  <si>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</si>
  <si>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</si>
  <si>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</si>
  <si>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</si>
  <si>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</si>
  <si>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</si>
  <si>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</si>
  <si>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</si>
  <si>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</si>
  <si>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</si>
  <si>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</si>
  <si>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</si>
  <si>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</si>
  <si>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</si>
  <si>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</si>
  <si>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</si>
  <si>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</si>
  <si>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</si>
  <si>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</si>
  <si>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</si>
  <si>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</si>
  <si>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</si>
  <si>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</si>
  <si>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</si>
  <si>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</si>
  <si>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</si>
  <si>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</si>
  <si>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</si>
  <si>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</si>
  <si>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</si>
  <si>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</si>
  <si>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</si>
  <si>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</si>
  <si>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</si>
  <si>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</si>
  <si>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</si>
  <si>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</si>
  <si>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</si>
  <si>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</si>
  <si>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</si>
  <si>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</si>
  <si>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</si>
  <si>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</si>
  <si>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</si>
  <si>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</si>
  <si>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</si>
  <si>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</si>
  <si>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</si>
  <si>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</si>
  <si>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</si>
  <si>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</si>
  <si>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</si>
  <si>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</si>
  <si>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</si>
  <si>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</si>
  <si>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</si>
  <si>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</si>
  <si>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</si>
  <si>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</si>
  <si>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</si>
  <si>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</si>
  <si>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</si>
  <si>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</si>
  <si>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</si>
  <si>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</si>
  <si>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</si>
  <si>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</si>
  <si>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</si>
  <si>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</si>
  <si>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</si>
  <si>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</si>
  <si>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</si>
  <si>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</si>
  <si>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</si>
  <si>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</si>
  <si>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</si>
  <si>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</si>
  <si>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</si>
  <si>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</si>
  <si>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</si>
  <si>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</si>
  <si>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</si>
  <si>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</si>
  <si>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</si>
  <si>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</si>
  <si>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</si>
  <si>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</si>
  <si>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</si>
  <si>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</si>
  <si>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</si>
  <si>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</si>
  <si>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</si>
  <si>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</si>
  <si>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</si>
  <si>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</si>
  <si>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</si>
  <si>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</si>
  <si>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</si>
  <si>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</si>
  <si>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</si>
  <si>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</si>
  <si>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</si>
  <si>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</si>
  <si>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</si>
  <si>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</si>
  <si>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</si>
  <si>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</si>
  <si>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</si>
  <si>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</si>
  <si>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</si>
  <si>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</si>
  <si>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</si>
  <si>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</si>
  <si>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</si>
  <si>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</si>
  <si>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</si>
  <si>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</si>
  <si>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</si>
  <si>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</si>
  <si>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</si>
  <si>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</si>
  <si>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</si>
  <si>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</si>
  <si>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</si>
  <si>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</si>
  <si>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</si>
  <si>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</si>
  <si>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</si>
  <si>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</si>
  <si>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</si>
  <si>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</si>
  <si>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</si>
  <si>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</si>
  <si>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</si>
  <si>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</si>
  <si>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</si>
  <si>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</si>
  <si>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</si>
  <si>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</si>
  <si>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</si>
  <si>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</si>
  <si>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</si>
  <si>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</si>
  <si>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</si>
  <si>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</si>
  <si>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</si>
  <si>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</si>
  <si>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</si>
  <si>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</si>
  <si>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</si>
  <si>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</si>
  <si>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</si>
  <si>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</si>
  <si>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</si>
  <si>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</si>
  <si>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</si>
  <si>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</si>
  <si>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</si>
  <si>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</si>
  <si>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</si>
  <si>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</si>
  <si>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</si>
  <si>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</si>
  <si>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</si>
  <si>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</si>
  <si>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</si>
  <si>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</si>
  <si>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</si>
  <si>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</si>
  <si>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</si>
  <si>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</si>
  <si>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</si>
  <si>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</si>
  <si>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</si>
  <si>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</si>
  <si>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</si>
  <si>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</si>
  <si>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</si>
  <si>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</si>
  <si>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</si>
  <si>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</si>
  <si>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</si>
  <si>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</si>
  <si>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</si>
  <si>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</si>
  <si>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</si>
  <si>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</si>
  <si>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</si>
  <si>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</si>
  <si>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</si>
  <si>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</si>
  <si>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</si>
  <si>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</si>
  <si>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</si>
  <si>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</si>
  <si>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</si>
  <si>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</si>
  <si>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</si>
  <si>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</si>
  <si>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</si>
  <si>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</si>
  <si>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</si>
  <si>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</si>
  <si>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</si>
  <si>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</si>
  <si>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</si>
  <si>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</si>
  <si>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</si>
  <si>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</si>
  <si>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</si>
  <si>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</si>
  <si>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</si>
  <si>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</si>
  <si>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</si>
  <si>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</si>
  <si>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</si>
  <si>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</si>
  <si>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</si>
  <si>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</si>
  <si>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</si>
  <si>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</si>
  <si>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</si>
  <si>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</si>
  <si>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</si>
  <si>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</si>
  <si>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</si>
  <si>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</si>
  <si>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</si>
  <si>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</si>
  <si>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</si>
  <si>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</si>
  <si>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</si>
  <si>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</si>
  <si>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</si>
  <si>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</si>
  <si>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</si>
  <si>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</si>
  <si>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</si>
  <si>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</si>
  <si>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</si>
  <si>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</si>
  <si>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</si>
  <si>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</si>
  <si>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</si>
  <si>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</si>
  <si>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</si>
  <si>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</si>
  <si>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</si>
  <si>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</si>
  <si>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</si>
  <si>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</si>
  <si>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</si>
  <si>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</si>
  <si>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</si>
  <si>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</si>
  <si>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</si>
  <si>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</si>
  <si>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</si>
  <si>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</si>
  <si>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</si>
  <si>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</si>
  <si>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</si>
  <si>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</si>
  <si>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</si>
  <si>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</si>
  <si>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</si>
  <si>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</si>
  <si>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</si>
  <si>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</si>
  <si>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</si>
  <si>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</si>
  <si>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</si>
  <si>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</si>
  <si>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</si>
  <si>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</si>
  <si>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</si>
  <si>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</si>
  <si>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</si>
  <si>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</si>
  <si>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</si>
  <si>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</si>
  <si>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</si>
  <si>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</si>
  <si>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</si>
  <si>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</si>
  <si>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</si>
  <si>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</si>
  <si>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</si>
  <si>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</si>
  <si>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</si>
  <si>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</si>
  <si>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</si>
  <si>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</si>
  <si>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</si>
  <si>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</si>
  <si>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</si>
  <si>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</si>
  <si>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</si>
  <si>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</si>
  <si>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</si>
  <si>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</si>
  <si>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</si>
  <si>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</si>
  <si>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</si>
  <si>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</si>
  <si>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</si>
  <si>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</si>
  <si>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</si>
  <si>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</si>
  <si>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</si>
  <si>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</si>
  <si>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</si>
  <si>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</si>
  <si>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</si>
  <si>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</si>
  <si>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</si>
  <si>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</si>
  <si>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</si>
  <si>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</si>
  <si>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</si>
  <si>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</si>
  <si>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</si>
  <si>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</si>
  <si>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</si>
  <si>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</si>
  <si>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</si>
  <si>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</si>
  <si>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</si>
  <si>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</si>
  <si>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</si>
  <si>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</si>
  <si>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</si>
  <si>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</si>
  <si>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</si>
  <si>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</si>
  <si>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</si>
  <si>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</si>
  <si>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</si>
  <si>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</si>
  <si>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</si>
  <si>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</si>
  <si>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</si>
  <si>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</si>
  <si>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</si>
  <si>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</si>
  <si>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</si>
  <si>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</si>
  <si>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</si>
  <si>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</si>
  <si>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</si>
  <si>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</si>
  <si>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</si>
  <si>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</si>
  <si>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</si>
  <si>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</si>
  <si>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</si>
  <si>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</si>
  <si>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</si>
  <si>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</si>
  <si>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</si>
  <si>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</si>
  <si>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</si>
  <si>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</si>
  <si>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</si>
  <si>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</si>
  <si>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</si>
  <si>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</si>
  <si>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</si>
  <si>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</si>
  <si>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</si>
  <si>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</si>
  <si>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</si>
  <si>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</si>
  <si>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</si>
  <si>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</si>
  <si>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</si>
  <si>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</si>
  <si>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</si>
  <si>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</si>
  <si>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</si>
  <si>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</si>
  <si>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</si>
  <si>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</si>
  <si>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</si>
  <si>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</si>
  <si>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</si>
  <si>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</si>
  <si>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</si>
  <si>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</si>
  <si>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</si>
  <si>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</si>
  <si>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</si>
  <si>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</si>
  <si>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</si>
  <si>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</si>
  <si>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</si>
  <si>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</si>
  <si>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</si>
  <si>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</si>
  <si>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</si>
  <si>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</si>
  <si>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</si>
  <si>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</si>
  <si>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</si>
  <si>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</si>
  <si>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</si>
  <si>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</si>
  <si>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</si>
  <si>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</si>
  <si>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</si>
  <si>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</si>
  <si>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</si>
  <si>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</si>
  <si>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</si>
  <si>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</si>
  <si>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</si>
  <si>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</si>
  <si>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</si>
  <si>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</si>
  <si>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</si>
  <si>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</si>
  <si>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</si>
  <si>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</si>
  <si>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</si>
  <si>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</si>
  <si>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</si>
  <si>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</si>
  <si>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</si>
  <si>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</si>
  <si>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</si>
  <si>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</si>
  <si>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</si>
  <si>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</si>
  <si>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</si>
  <si>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</si>
  <si>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</si>
  <si>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</si>
  <si>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</si>
  <si>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</si>
  <si>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</si>
  <si>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</si>
  <si>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</si>
  <si>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</si>
  <si>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</si>
  <si>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</si>
  <si>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</si>
  <si>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</si>
  <si>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</si>
  <si>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</si>
  <si>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</si>
  <si>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</si>
  <si>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</si>
  <si>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</si>
  <si>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</si>
  <si>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</si>
  <si>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</si>
  <si>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</si>
  <si>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</si>
  <si>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</si>
  <si>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</si>
  <si>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</si>
  <si>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</si>
  <si>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</si>
  <si>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</si>
  <si>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</si>
  <si>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</si>
  <si>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</si>
  <si>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</si>
  <si>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</si>
  <si>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</si>
  <si>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</si>
  <si>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</si>
  <si>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</si>
  <si>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</si>
  <si>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</si>
  <si>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</si>
  <si>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</si>
  <si>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</si>
  <si>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</si>
  <si>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</si>
  <si>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</si>
  <si>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</si>
  <si>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</si>
  <si>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</si>
  <si>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</si>
  <si>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</si>
  <si>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</si>
  <si>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</si>
  <si>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</si>
  <si>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</si>
  <si>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</si>
  <si>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</si>
  <si>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</si>
  <si>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</si>
  <si>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</si>
  <si>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</si>
  <si>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</si>
  <si>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</si>
  <si>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</si>
  <si>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</si>
  <si>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</si>
  <si>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</si>
  <si>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</si>
  <si>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</si>
  <si>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</si>
  <si>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</si>
  <si>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</si>
  <si>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</si>
  <si>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</si>
  <si>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</si>
  <si>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</si>
  <si>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</si>
  <si>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</si>
  <si>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</si>
  <si>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</si>
  <si>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</si>
  <si>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</si>
  <si>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</si>
  <si>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</si>
  <si>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</si>
  <si>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</si>
  <si>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</si>
  <si>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</si>
  <si>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</si>
  <si>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</si>
  <si>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</si>
  <si>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</si>
  <si>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</si>
  <si>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</si>
  <si>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</si>
  <si>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</si>
  <si>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</si>
  <si>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</si>
  <si>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</si>
  <si>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</si>
  <si>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</si>
  <si>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</si>
  <si>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</si>
  <si>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</si>
  <si>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</si>
  <si>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</si>
  <si>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</si>
  <si>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</si>
  <si>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</si>
  <si>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</si>
  <si>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</si>
  <si>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</si>
  <si>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</si>
  <si>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</si>
  <si>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</si>
  <si>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</si>
  <si>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</si>
  <si>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</si>
  <si>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</si>
  <si>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</si>
  <si>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</si>
  <si>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</si>
  <si>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</si>
  <si>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</si>
  <si>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</si>
  <si>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</si>
  <si>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</si>
  <si>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</si>
  <si>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</si>
  <si>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</si>
  <si>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</si>
  <si>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</si>
  <si>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</si>
  <si>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</si>
  <si>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</si>
  <si>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</si>
  <si>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</si>
  <si>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</si>
  <si>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</si>
  <si>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</si>
  <si>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</si>
  <si>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</si>
  <si>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</si>
  <si>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</si>
  <si>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</si>
  <si>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</si>
  <si>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</si>
  <si>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</si>
  <si>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</si>
  <si>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</si>
  <si>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</si>
  <si>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</si>
  <si>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</si>
  <si>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</si>
  <si>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</si>
  <si>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</si>
  <si>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</si>
  <si>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</si>
  <si>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</si>
  <si>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</si>
  <si>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</si>
  <si>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</si>
  <si>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</si>
  <si>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</si>
  <si>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</si>
  <si>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</si>
  <si>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</si>
  <si>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</si>
  <si>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</si>
  <si>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</si>
  <si>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</si>
  <si>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</si>
  <si>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</si>
  <si>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</si>
  <si>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</si>
  <si>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</si>
  <si>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</si>
  <si>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</si>
  <si>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</si>
  <si>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</si>
  <si>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</si>
  <si>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</si>
  <si>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</si>
  <si>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</si>
  <si>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</si>
  <si>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</si>
  <si>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</si>
  <si>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</si>
  <si>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</si>
  <si>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</si>
  <si>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</si>
  <si>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</si>
  <si>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</si>
  <si>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</si>
  <si>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</si>
  <si>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</si>
  <si>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</si>
  <si>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</si>
  <si>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</si>
  <si>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</si>
  <si>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</si>
  <si>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</si>
  <si>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</si>
  <si>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</si>
  <si>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</si>
  <si>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</si>
  <si>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</si>
  <si>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</si>
  <si>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</si>
  <si>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</si>
  <si>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</si>
  <si>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</si>
  <si>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</si>
  <si>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</si>
  <si>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</si>
  <si>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</si>
  <si>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</si>
  <si>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</si>
  <si>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</si>
  <si>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</si>
  <si>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</si>
  <si>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</si>
  <si>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</si>
  <si>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</si>
  <si>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</si>
  <si>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</si>
  <si>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</si>
  <si>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</si>
  <si>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</si>
  <si>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</si>
  <si>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</si>
  <si>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</si>
  <si>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</si>
  <si>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</si>
  <si>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</si>
  <si>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</si>
  <si>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</si>
  <si>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</si>
  <si>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</si>
  <si>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</si>
  <si>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</si>
  <si>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</si>
  <si>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</si>
  <si>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</si>
  <si>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</si>
  <si>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</si>
  <si>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</si>
  <si>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</si>
  <si>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</si>
  <si>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</si>
  <si>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</si>
  <si>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</si>
  <si>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</si>
  <si>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</si>
  <si>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</si>
  <si>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</si>
  <si>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</si>
  <si>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</si>
  <si>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</si>
  <si>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</si>
  <si>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</si>
  <si>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</si>
  <si>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</si>
  <si>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</si>
  <si>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</si>
  <si>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</si>
  <si>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</si>
  <si>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</si>
  <si>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</si>
  <si>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</si>
  <si>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</si>
  <si>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</si>
  <si>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</si>
  <si>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</si>
  <si>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</si>
  <si>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</si>
  <si>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</si>
  <si>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</si>
  <si>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</si>
  <si>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</si>
  <si>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</si>
  <si>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</si>
  <si>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</si>
  <si>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</si>
  <si>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</si>
  <si>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</si>
  <si>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</si>
  <si>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</si>
  <si>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</si>
  <si>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</si>
  <si>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</si>
  <si>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</si>
  <si>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</si>
  <si>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</si>
  <si>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</si>
  <si>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</si>
  <si>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</si>
  <si>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</si>
  <si>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</si>
  <si>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</si>
  <si>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</si>
  <si>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</si>
  <si>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</si>
  <si>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</si>
  <si>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</si>
  <si>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</si>
  <si>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</si>
  <si>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</si>
  <si>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</si>
  <si>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</si>
  <si>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</si>
  <si>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</si>
  <si>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</si>
  <si>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</si>
  <si>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</si>
  <si>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</si>
  <si>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</si>
  <si>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</si>
  <si>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</si>
  <si>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</si>
  <si>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</si>
  <si>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</si>
  <si>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</si>
  <si>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</si>
  <si>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</si>
  <si>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</si>
  <si>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</si>
  <si>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</si>
  <si>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</si>
  <si>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</si>
  <si>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</si>
  <si>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</si>
  <si>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</si>
  <si>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</si>
  <si>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</si>
  <si>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</si>
  <si>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</si>
  <si>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</si>
  <si>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</si>
  <si>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</si>
  <si>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</si>
  <si>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</si>
  <si>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</si>
  <si>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</si>
  <si>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</si>
  <si>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</si>
  <si>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</si>
  <si>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</si>
  <si>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</si>
  <si>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</si>
  <si>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</si>
  <si>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</si>
  <si>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</si>
  <si>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</si>
  <si>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</si>
  <si>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</si>
  <si>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</si>
  <si>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</si>
  <si>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</si>
  <si>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</si>
  <si>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</si>
  <si>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</si>
  <si>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</si>
  <si>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</si>
  <si>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</si>
  <si>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</si>
  <si>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</si>
  <si>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</si>
  <si>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</si>
  <si>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</si>
  <si>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</si>
  <si>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</si>
  <si>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</si>
  <si>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</si>
  <si>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</si>
  <si>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</si>
  <si>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</si>
  <si>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</si>
  <si>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</si>
  <si>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</si>
  <si>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</si>
  <si>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</si>
  <si>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</si>
  <si>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</si>
  <si>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</si>
  <si>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</si>
  <si>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</si>
  <si>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</si>
  <si>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</si>
  <si>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</si>
  <si>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</si>
  <si>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</si>
  <si>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</si>
  <si>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</si>
  <si>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</si>
  <si>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</si>
  <si>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</si>
  <si>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</si>
  <si>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</si>
  <si>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</si>
  <si>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</si>
  <si>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</si>
  <si>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</si>
  <si>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</si>
  <si>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</si>
  <si>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</si>
  <si>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</si>
  <si>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</si>
  <si>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</si>
  <si>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</si>
  <si>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</si>
  <si>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</si>
  <si>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</si>
  <si>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</si>
  <si>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</si>
  <si>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</si>
  <si>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</si>
  <si>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</si>
  <si>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</si>
  <si>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</si>
  <si>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</si>
  <si>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</si>
  <si>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</si>
  <si>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</si>
  <si>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</si>
  <si>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</si>
  <si>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</si>
  <si>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</si>
  <si>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</si>
  <si>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</si>
  <si>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</si>
  <si>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</si>
  <si>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</si>
  <si>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</si>
  <si>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</si>
  <si>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</si>
  <si>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</si>
  <si>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</si>
  <si>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</si>
  <si>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</si>
  <si>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</si>
  <si>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</si>
  <si>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</si>
  <si>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</si>
  <si>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</si>
  <si>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</si>
  <si>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</si>
  <si>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</si>
  <si>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</si>
  <si>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</si>
  <si>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</si>
  <si>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</si>
  <si>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</si>
  <si>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</si>
  <si>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</si>
  <si>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</si>
  <si>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</si>
  <si>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</si>
  <si>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</si>
  <si>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</si>
  <si>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</si>
  <si>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</si>
  <si>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</si>
  <si>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</si>
  <si>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</si>
  <si>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</si>
  <si>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</si>
  <si>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</si>
  <si>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</si>
  <si>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</si>
  <si>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</si>
  <si>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</si>
  <si>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</si>
  <si>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</si>
  <si>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</si>
  <si>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</si>
  <si>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</si>
  <si>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</si>
  <si>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</si>
  <si>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</si>
  <si>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</si>
  <si>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</si>
  <si>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</si>
  <si>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</si>
  <si>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</si>
  <si>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</si>
  <si>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</si>
  <si>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</si>
  <si>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</si>
  <si>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</si>
  <si>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</si>
  <si>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</si>
  <si>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</si>
  <si>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</si>
  <si>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</si>
  <si>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</si>
  <si>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</si>
  <si>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</si>
  <si>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</si>
  <si>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</si>
  <si>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</si>
  <si>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</si>
  <si>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</si>
  <si>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</si>
  <si>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</si>
  <si>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</si>
  <si>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</si>
  <si>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</si>
  <si>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</si>
  <si>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</si>
  <si>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</si>
  <si>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</si>
  <si>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</si>
  <si>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</si>
  <si>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</si>
  <si>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</si>
  <si>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</si>
  <si>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</si>
  <si>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</si>
  <si>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</si>
  <si>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</si>
  <si>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</si>
  <si>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</si>
  <si>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</si>
  <si>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</si>
  <si>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</si>
  <si>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</si>
  <si>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</si>
  <si>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</si>
  <si>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</si>
  <si>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</si>
  <si>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</si>
  <si>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</si>
  <si>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</si>
  <si>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</si>
  <si>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</si>
  <si>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</si>
  <si>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</si>
  <si>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</si>
  <si>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</si>
  <si>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</si>
  <si>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</si>
  <si>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</si>
  <si>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</si>
  <si>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</si>
  <si>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</si>
  <si>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</si>
  <si>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</si>
  <si>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</si>
  <si>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</si>
  <si>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</si>
  <si>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</si>
  <si>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</si>
  <si>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</si>
  <si>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</si>
  <si>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</si>
  <si>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</si>
  <si>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</si>
  <si>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</si>
  <si>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</si>
  <si>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</si>
  <si>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</si>
  <si>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</si>
  <si>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</si>
  <si>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</si>
  <si>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</si>
  <si>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</si>
  <si>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</si>
  <si>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</si>
  <si>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</si>
  <si>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</si>
  <si>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</si>
  <si>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</si>
  <si>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</si>
  <si>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</si>
  <si>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</si>
  <si>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</si>
  <si>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</si>
  <si>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</si>
  <si>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</si>
  <si>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</si>
  <si>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</si>
  <si>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</si>
  <si>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</si>
  <si>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</si>
  <si>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</si>
  <si>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</si>
  <si>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</si>
  <si>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</si>
  <si>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</si>
  <si>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</si>
  <si>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</si>
  <si>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</si>
  <si>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</si>
  <si>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</si>
  <si>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</si>
  <si>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</si>
  <si>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</si>
  <si>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</si>
  <si>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</si>
  <si>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</si>
  <si>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</si>
  <si>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</si>
  <si>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</si>
  <si>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</si>
  <si>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</si>
  <si>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</si>
  <si>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</si>
  <si>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</si>
  <si>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</si>
  <si>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</si>
  <si>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</si>
  <si>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</si>
  <si>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</si>
  <si>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</si>
  <si>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</si>
  <si>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</si>
  <si>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</si>
  <si>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</si>
  <si>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</si>
  <si>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</si>
  <si>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</si>
  <si>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</si>
  <si>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</si>
  <si>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</si>
  <si>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</si>
  <si>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</si>
  <si>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</si>
  <si>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</si>
  <si>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</si>
  <si>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</si>
  <si>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</si>
  <si>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</si>
  <si>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</si>
  <si>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</si>
  <si>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</si>
  <si>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</si>
  <si>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</si>
  <si>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</si>
  <si>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</si>
  <si>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</si>
  <si>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</si>
  <si>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</si>
  <si>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</si>
  <si>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</si>
  <si>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</si>
  <si>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</si>
  <si>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</si>
  <si>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</si>
  <si>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</si>
  <si>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</si>
  <si>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</si>
  <si>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</si>
  <si>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</si>
  <si>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</si>
  <si>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</si>
  <si>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</si>
  <si>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</si>
  <si>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</si>
  <si>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</si>
  <si>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</si>
  <si>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</si>
  <si>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</si>
  <si>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</si>
  <si>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</si>
  <si>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</si>
  <si>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</si>
  <si>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</si>
  <si>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</si>
  <si>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</si>
  <si>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</si>
  <si>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</si>
  <si>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</si>
  <si>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</si>
  <si>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</si>
  <si>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</si>
  <si>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</si>
  <si>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</si>
  <si>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</si>
  <si>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</si>
  <si>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</si>
  <si>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</si>
  <si>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</si>
  <si>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</si>
  <si>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</si>
  <si>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</si>
  <si>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</si>
  <si>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</si>
  <si>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</si>
  <si>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</si>
  <si>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</si>
  <si>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</si>
  <si>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</si>
  <si>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</si>
  <si>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</si>
  <si>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</si>
  <si>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</si>
  <si>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</si>
  <si>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</si>
  <si>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</si>
  <si>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</si>
  <si>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</si>
  <si>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</si>
  <si>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</si>
  <si>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</si>
  <si>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</si>
  <si>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</si>
  <si>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</si>
  <si>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</si>
  <si>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</si>
  <si>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</si>
  <si>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</si>
  <si>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</si>
  <si>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</si>
  <si>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</si>
  <si>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</si>
  <si>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</si>
  <si>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</si>
  <si>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</si>
  <si>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</si>
  <si>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</si>
  <si>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</si>
  <si>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</si>
  <si>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</si>
  <si>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</si>
  <si>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</si>
  <si>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</si>
  <si>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</si>
  <si>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</si>
  <si>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</si>
  <si>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</si>
  <si>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</si>
  <si>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</si>
  <si>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</si>
  <si>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</si>
  <si>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</si>
  <si>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</si>
  <si>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</si>
  <si>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</si>
  <si>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</si>
  <si>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</si>
  <si>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</si>
  <si>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</si>
  <si>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</si>
  <si>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</si>
  <si>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</si>
  <si>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</si>
  <si>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</si>
  <si>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</si>
  <si>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</si>
  <si>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</si>
  <si>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</si>
  <si>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</si>
  <si>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</si>
  <si>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</si>
  <si>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</si>
  <si>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</si>
  <si>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</si>
  <si>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</si>
  <si>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</si>
  <si>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</si>
  <si>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</si>
  <si>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</si>
  <si>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</si>
  <si>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</si>
  <si>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</si>
  <si>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</si>
  <si>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</si>
  <si>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</si>
  <si>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</si>
  <si>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</si>
  <si>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</si>
  <si>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</si>
  <si>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</si>
  <si>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</si>
  <si>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</si>
  <si>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</si>
  <si>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</si>
  <si>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</si>
  <si>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</si>
  <si>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</si>
  <si>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</si>
  <si>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</si>
  <si>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</si>
  <si>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</si>
  <si>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</si>
  <si>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</si>
  <si>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</si>
  <si>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</si>
  <si>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</si>
  <si>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</si>
  <si>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</si>
  <si>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</si>
  <si>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</si>
  <si>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</si>
  <si>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</si>
  <si>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</si>
  <si>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</si>
  <si>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</si>
  <si>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</si>
  <si>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</si>
  <si>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</si>
  <si>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</si>
  <si>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</si>
  <si>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</si>
  <si>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</si>
  <si>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</si>
  <si>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</si>
  <si>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</si>
  <si>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</si>
  <si>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</si>
  <si>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</si>
  <si>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</si>
  <si>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</si>
  <si>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</si>
  <si>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</si>
  <si>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</si>
  <si>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</si>
  <si>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</si>
  <si>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</si>
  <si>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</si>
  <si>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</si>
  <si>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</si>
  <si>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</si>
  <si>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</si>
  <si>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</si>
  <si>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</si>
  <si>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</si>
  <si>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</si>
  <si>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</si>
  <si>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</si>
  <si>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</si>
  <si>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</si>
  <si>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</si>
  <si>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</si>
  <si>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</si>
  <si>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</si>
  <si>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</si>
  <si>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</si>
  <si>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</si>
  <si>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</si>
  <si>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</si>
  <si>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</si>
  <si>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</si>
  <si>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</si>
  <si>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</si>
  <si>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</si>
  <si>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</si>
  <si>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</si>
  <si>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</si>
  <si>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</si>
  <si>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</si>
  <si>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</si>
  <si>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</si>
  <si>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</si>
  <si>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</si>
  <si>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</si>
  <si>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</si>
  <si>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</si>
  <si>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</si>
  <si>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</si>
  <si>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</si>
  <si>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</si>
  <si>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</si>
  <si>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</si>
  <si>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</si>
  <si>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</si>
  <si>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</si>
  <si>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</si>
  <si>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</si>
  <si>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</si>
  <si>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</si>
  <si>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</si>
  <si>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</si>
  <si>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</si>
  <si>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</si>
  <si>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</si>
  <si>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</si>
  <si>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</si>
  <si>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</si>
  <si>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</si>
  <si>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</si>
  <si>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</si>
  <si>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</si>
  <si>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</si>
  <si>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</si>
  <si>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</si>
  <si>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</si>
  <si>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</si>
  <si>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</si>
  <si>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</si>
  <si>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</si>
  <si>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</si>
  <si>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</si>
  <si>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</si>
  <si>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</si>
  <si>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</si>
  <si>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</si>
  <si>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</si>
  <si>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</si>
  <si>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</si>
  <si>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</si>
  <si>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</si>
  <si>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</si>
  <si>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</si>
  <si>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</si>
  <si>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</si>
  <si>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</si>
  <si>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</si>
  <si>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</si>
  <si>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</si>
  <si>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</si>
  <si>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</si>
  <si>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</si>
  <si>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</si>
  <si>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</si>
  <si>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</si>
  <si>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</si>
  <si>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</si>
  <si>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</si>
  <si>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</si>
  <si>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</si>
  <si>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</si>
  <si>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</si>
  <si>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</si>
  <si>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</si>
  <si>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</si>
  <si>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</si>
  <si>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</si>
  <si>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</si>
  <si>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</si>
  <si>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</si>
  <si>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</si>
  <si>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</si>
  <si>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</si>
  <si>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</si>
  <si>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</si>
  <si>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</si>
  <si>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</si>
  <si>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</si>
  <si>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</si>
  <si>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</si>
  <si>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</si>
  <si>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</si>
  <si>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</si>
  <si>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</si>
  <si>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</si>
  <si>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</si>
  <si>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</si>
  <si>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</si>
  <si>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</si>
  <si>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</si>
  <si>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</si>
  <si>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</si>
  <si>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</si>
  <si>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</si>
  <si>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</si>
  <si>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</si>
  <si>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</si>
  <si>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</si>
  <si>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</si>
  <si>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</si>
  <si>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</si>
  <si>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</si>
  <si>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</si>
  <si>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</si>
  <si>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</si>
  <si>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</si>
  <si>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</si>
  <si>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</si>
  <si>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</si>
  <si>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</si>
  <si>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</si>
  <si>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</si>
  <si>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</si>
  <si>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</si>
  <si>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</si>
  <si>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</si>
  <si>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</si>
  <si>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</si>
  <si>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</si>
  <si>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</si>
  <si>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</si>
  <si>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</si>
  <si>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</si>
  <si>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</si>
  <si>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</si>
  <si>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</si>
  <si>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</si>
  <si>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</si>
  <si>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</si>
  <si>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</si>
  <si>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</si>
  <si>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</si>
  <si>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</si>
  <si>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</si>
  <si>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</si>
  <si>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</si>
  <si>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</si>
  <si>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</si>
  <si>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</si>
  <si>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</si>
  <si>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</si>
  <si>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</si>
  <si>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</si>
  <si>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</si>
  <si>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</si>
  <si>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</si>
  <si>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</si>
  <si>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</si>
  <si>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</si>
  <si>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</si>
  <si>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</si>
  <si>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</si>
  <si>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</si>
  <si>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</si>
  <si>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</si>
  <si>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</si>
  <si>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</si>
  <si>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</si>
  <si>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</si>
  <si>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</si>
  <si>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</si>
  <si>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</si>
  <si>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</si>
  <si>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</si>
  <si>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</si>
  <si>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</si>
  <si>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</si>
  <si>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</si>
  <si>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</si>
  <si>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</si>
  <si>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</si>
  <si>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</si>
  <si>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</si>
  <si>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</si>
  <si>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</si>
  <si>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</si>
  <si>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</si>
  <si>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</si>
  <si>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</si>
  <si>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</si>
  <si>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</si>
  <si>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</si>
  <si>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</si>
  <si>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</si>
  <si>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</si>
  <si>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</si>
  <si>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</si>
  <si>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</si>
  <si>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</si>
  <si>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</si>
  <si>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</si>
  <si>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</si>
  <si>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</si>
  <si>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</si>
  <si>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</si>
  <si>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</si>
  <si>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</si>
  <si>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</si>
  <si>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</si>
  <si>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</si>
  <si>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</si>
  <si>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</si>
  <si>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</si>
  <si>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</si>
  <si>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</si>
  <si>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</si>
  <si>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</si>
  <si>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</si>
  <si>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</si>
  <si>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</si>
  <si>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</si>
  <si>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</si>
  <si>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</si>
  <si>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</si>
  <si>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</si>
  <si>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</si>
  <si>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</si>
  <si>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</si>
  <si>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</si>
  <si>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</si>
  <si>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</si>
  <si>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</si>
  <si>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</si>
  <si>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</si>
  <si>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</si>
  <si>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</si>
  <si>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</si>
  <si>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</si>
  <si>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</si>
  <si>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</si>
  <si>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</si>
  <si>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</si>
  <si>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</si>
  <si>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</si>
  <si>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</si>
  <si>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</si>
  <si>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</si>
  <si>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</si>
  <si>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</si>
  <si>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</si>
  <si>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</si>
  <si>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</si>
  <si>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</si>
  <si>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</si>
  <si>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</si>
  <si>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</si>
  <si>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</si>
  <si>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</si>
  <si>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</si>
  <si>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</si>
  <si>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</si>
  <si>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</si>
  <si>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</si>
  <si>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</si>
  <si>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</si>
  <si>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</si>
  <si>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</si>
  <si>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</si>
  <si>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</si>
  <si>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</si>
  <si>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</si>
  <si>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</si>
  <si>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</si>
  <si>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</si>
  <si>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</si>
  <si>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</si>
  <si>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</si>
  <si>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</si>
  <si>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</si>
  <si>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</si>
  <si>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</si>
  <si>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</si>
  <si>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</si>
  <si>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</si>
  <si>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</si>
  <si>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</si>
  <si>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</si>
  <si>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</si>
  <si>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</si>
  <si>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</si>
  <si>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</si>
  <si>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</si>
  <si>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</si>
  <si>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</si>
  <si>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</si>
  <si>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</si>
  <si>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</si>
  <si>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</si>
  <si>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</si>
  <si>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</si>
  <si>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</si>
  <si>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</si>
  <si>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</si>
  <si>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</si>
  <si>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</si>
  <si>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</si>
  <si>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</si>
  <si>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</si>
  <si>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</si>
  <si>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</si>
  <si>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</si>
  <si>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</si>
  <si>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</si>
  <si>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</si>
  <si>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</si>
  <si>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</si>
  <si>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</si>
  <si>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</si>
  <si>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</si>
  <si>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</si>
  <si>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</si>
  <si>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</si>
  <si>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</si>
  <si>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</si>
  <si>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</si>
  <si>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</si>
  <si>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</si>
  <si>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</si>
  <si>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</si>
  <si>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</si>
  <si>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</si>
  <si>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</si>
  <si>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</si>
  <si>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</si>
  <si>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</si>
  <si>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</si>
  <si>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</si>
  <si>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</si>
  <si>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</si>
  <si>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</si>
  <si>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</si>
  <si>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</si>
  <si>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</si>
  <si>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</si>
  <si>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</si>
  <si>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</si>
  <si>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</si>
  <si>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คะแนนก่อนสอบ</t>
  </si>
  <si>
    <t>คะแนนหลังสอบ</t>
  </si>
  <si>
    <t>รวมคะแนน</t>
  </si>
  <si>
    <t>Student</t>
  </si>
  <si>
    <t>T1</t>
  </si>
  <si>
    <t>T2</t>
  </si>
  <si>
    <t>T3</t>
  </si>
  <si>
    <t>T4</t>
  </si>
  <si>
    <t>T5</t>
  </si>
  <si>
    <t>T6</t>
  </si>
  <si>
    <t>T7</t>
  </si>
  <si>
    <t>T8</t>
  </si>
  <si>
    <t>T9</t>
  </si>
  <si>
    <t>T10</t>
  </si>
  <si>
    <t>D</t>
  </si>
  <si>
    <t>M</t>
  </si>
  <si>
    <t>S</t>
  </si>
  <si>
    <t>DDD</t>
  </si>
  <si>
    <t>D1</t>
  </si>
  <si>
    <t>M1</t>
  </si>
  <si>
    <t>S1</t>
  </si>
  <si>
    <t>M2</t>
  </si>
  <si>
    <t>D2</t>
  </si>
  <si>
    <t>S2</t>
  </si>
  <si>
    <t>6820210721 นางสาวสิตีไอร์ซะห์ หะยีเด</t>
  </si>
  <si>
    <t>คะแนนรวม</t>
  </si>
  <si>
    <t>เกรด</t>
  </si>
  <si>
    <t>ผลประเมิน</t>
  </si>
  <si>
    <t>ตัดเกรด</t>
  </si>
  <si>
    <t>ปริมาณน้ำฝนเฉลี่ยรายเดือน</t>
  </si>
  <si>
    <t>ปริมาณน้ำฝนเฉลี่ยรายปี</t>
  </si>
  <si>
    <t>ต่ำสุด</t>
  </si>
  <si>
    <t>สูงสุด</t>
  </si>
  <si>
    <t>POSITIVE</t>
  </si>
  <si>
    <t>NEGATIVE</t>
  </si>
  <si>
    <t xml:space="preserve"> </t>
  </si>
  <si>
    <t>YEAR</t>
  </si>
  <si>
    <t>Column1</t>
  </si>
  <si>
    <t>Column2</t>
  </si>
  <si>
    <t>Column3</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</si>
  <si>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</si>
  <si>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</si>
  <si>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</si>
  <si>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</si>
  <si>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</si>
  <si>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</si>
  <si>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</si>
  <si>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</si>
  <si>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</si>
  <si>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</si>
  <si>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</si>
  <si>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</si>
  <si>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</si>
  <si>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</si>
  <si>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</si>
  <si>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</si>
  <si>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</si>
  <si>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</si>
  <si>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</si>
  <si>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</si>
  <si>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</si>
  <si>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</si>
  <si>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</si>
  <si>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</si>
  <si>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</si>
  <si>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</si>
  <si>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</si>
  <si>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</si>
  <si>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</si>
  <si>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</si>
  <si>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</si>
  <si>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</si>
  <si>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</si>
  <si>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</si>
  <si>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</si>
  <si>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</si>
  <si>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</si>
  <si>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</si>
  <si>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</si>
  <si>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</si>
  <si>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</si>
  <si>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</si>
  <si>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</si>
  <si>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</si>
  <si>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</si>
  <si>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</si>
  <si>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</si>
  <si>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</si>
  <si>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</si>
  <si>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</si>
  <si>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</si>
  <si>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</si>
  <si>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</si>
  <si>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</si>
  <si>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</si>
  <si>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</si>
  <si>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</si>
  <si>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</si>
  <si>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</si>
  <si>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</si>
  <si>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</si>
  <si>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</si>
  <si>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</si>
  <si>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</si>
  <si>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</si>
  <si>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</si>
  <si>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</si>
  <si>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</si>
  <si>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</si>
  <si>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</si>
  <si>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</si>
  <si>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</si>
  <si>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</si>
  <si>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</si>
  <si>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</si>
  <si>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</si>
  <si>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</si>
  <si>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</si>
  <si>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</si>
  <si>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</si>
  <si>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Row Labels</t>
  </si>
  <si>
    <t>Grand Total</t>
  </si>
  <si>
    <t>Sum of จำนวนประชากรทั้งหมด</t>
  </si>
  <si>
    <t>นางสาวสิตีไอร์ซะห์ หะยีเด 6820210721</t>
  </si>
  <si>
    <t>Sum of จำนวนประชากรชาย</t>
  </si>
  <si>
    <t>Sum of จำนวนประชากรหญิง</t>
  </si>
  <si>
    <t>Sum of จำนวนบ้าน (หลังคาเรือน)</t>
  </si>
  <si>
    <t>ภาคเหนือ</t>
  </si>
  <si>
    <t>ภาคตะวันออก</t>
  </si>
  <si>
    <t>ภาคตะวันตก</t>
  </si>
  <si>
    <t>ภาคกลาง</t>
  </si>
  <si>
    <t>ภาคใต้</t>
  </si>
  <si>
    <t>ภูมิภาค</t>
  </si>
  <si>
    <t>ทั่วประเทส</t>
  </si>
  <si>
    <t>ภาคตะวันเฉียงเหนือ</t>
  </si>
  <si>
    <t>จำนวนบ้าน(หลังคาเรือน)</t>
  </si>
  <si>
    <t>กรุงเทพมหานครและปริมณฑล</t>
  </si>
  <si>
    <t>ภาคตะวันออกเฉียงเหนือ</t>
  </si>
  <si>
    <t>POPULATION DECEMBER 2024</t>
  </si>
  <si>
    <t>Values</t>
  </si>
  <si>
    <t>W</t>
  </si>
  <si>
    <t>สัดส่วนจำนวนบ้าน(หลังคาเรือน)ที่เยอะที่สุดในจังหวัด</t>
  </si>
  <si>
    <t>นางสาว สิตีไอร์ซะห์ หะยีเด 6820210721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</si>
</sst>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4"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b/>
      <sz val="16"/>
      <color indexed="8"/>
      <name val="Angsana New"/>
      <family val="1"/>
    </font>
    <font>
      <b/>
      <sz val="16"/>
      <color rgb="FF000000"/>
      <name val="TH SarabunPSK"/>
      <family val="2"/>
    </font>
    <font>
      <sz val="9"/>
      <color rgb="FF666666"/>
      <name val="Arial"/>
      <family val="2"/>
    </font>
    <font>
      <b/>
      <sz val="11"/>
      <color theme="1"/>
      <name val="Tahoma"/>
      <family val="2"/>
      <scheme val="minor"/>
    </font>
    <font>
      <b/>
      <sz val="28"/>
      <color rgb="FF000000"/>
      <name val="Angsana New"/>
      <family val="1"/>
    </font>
    <font>
      <b/>
      <sz val="20"/>
      <color rgb="FF000000"/>
      <name val="Angsana New"/>
      <family val="1"/>
    </font>
  </fonts>
  <fills count="14">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theme="9" tint="0.79998168889431442"/>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rgb="FFFFFF9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rgb="FFCCCCCC"/>
      </left>
      <right style="medium">
        <color rgb="FFCCCCCC"/>
      </right>
      <top style="medium">
        <color rgb="FFCCCCCC"/>
      </top>
      <bottom/>
      <diagonal/>
    </border>
    <border>
      <left style="thin">
        <color rgb="FF000000"/>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000000"/>
      </left>
      <right style="thin">
        <color rgb="FF000000"/>
      </right>
      <top/>
      <bottom/>
      <diagonal/>
    </border>
  </borders>
  <cellStyleXfs count="3">
    <xf numFmtId="0" fontId="0" fillId="0" borderId="0"/>
    <xf numFmtId="0" fontId="1" fillId="0" borderId="0"/>
    <xf numFmtId="0" fontId="14" fillId="0" borderId="0"/>
  </cellStyleXfs>
  <cellXfs count="85">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11" fillId="3" borderId="7" xfId="0" applyFont="1" applyFill="1" applyBorder="1" applyAlignment="1">
      <alignment horizontal="center" vertical="center" wrapText="1"/>
    </xf>
    <xf numFmtId="0" fontId="8" fillId="2" borderId="7" xfId="1" applyFont="1" applyFill="1" applyBorder="1" applyAlignment="1">
      <alignment horizontal="center"/>
    </xf>
    <xf numFmtId="187" fontId="0" fillId="0" borderId="0" xfId="0" applyNumberFormat="1"/>
    <xf numFmtId="0" fontId="18" fillId="0" borderId="4" xfId="1" applyFont="1" applyBorder="1" applyAlignment="1">
      <alignment horizontal="center"/>
    </xf>
    <xf numFmtId="187" fontId="19" fillId="0" borderId="4" xfId="1" applyNumberFormat="1" applyFont="1" applyBorder="1" applyAlignment="1">
      <alignment horizontal="right" vertical="center"/>
    </xf>
    <xf numFmtId="0" fontId="8" fillId="0" borderId="4" xfId="1" applyFont="1" applyBorder="1" applyAlignment="1">
      <alignment horizontal="center"/>
    </xf>
    <xf numFmtId="187" fontId="8" fillId="0" borderId="4" xfId="1" applyNumberFormat="1" applyFont="1" applyBorder="1" applyAlignment="1">
      <alignment horizontal="center"/>
    </xf>
    <xf numFmtId="0" fontId="0" fillId="0" borderId="8" xfId="0" applyBorder="1"/>
    <xf numFmtId="187" fontId="0" fillId="0" borderId="8" xfId="0" applyNumberFormat="1" applyBorder="1"/>
    <xf numFmtId="0" fontId="0" fillId="0" borderId="0" xfId="0" applyFill="1" applyBorder="1" applyAlignment="1">
      <alignment horizontal="center"/>
    </xf>
    <xf numFmtId="0" fontId="0" fillId="0" borderId="0" xfId="0" applyNumberFormat="1"/>
    <xf numFmtId="0" fontId="0" fillId="9" borderId="9" xfId="0" applyFont="1" applyFill="1" applyBorder="1"/>
    <xf numFmtId="0" fontId="0" fillId="9" borderId="10" xfId="0" applyFont="1" applyFill="1" applyBorder="1"/>
    <xf numFmtId="0" fontId="0" fillId="0" borderId="9" xfId="0" applyFont="1" applyBorder="1"/>
    <xf numFmtId="0" fontId="0" fillId="0" borderId="10" xfId="0" applyFont="1" applyBorder="1"/>
    <xf numFmtId="0" fontId="0" fillId="9" borderId="11" xfId="0" applyFont="1" applyFill="1" applyBorder="1"/>
    <xf numFmtId="0" fontId="0" fillId="0" borderId="11" xfId="0" applyFont="1" applyBorder="1"/>
    <xf numFmtId="0" fontId="20" fillId="10" borderId="12" xfId="0" applyFont="1" applyFill="1" applyBorder="1" applyAlignment="1">
      <alignment horizontal="center" vertical="center" wrapText="1"/>
    </xf>
    <xf numFmtId="0" fontId="0" fillId="0" borderId="10" xfId="0" applyNumberFormat="1" applyFont="1" applyBorder="1"/>
    <xf numFmtId="0" fontId="0" fillId="9" borderId="10" xfId="0" applyNumberFormat="1" applyFont="1" applyFill="1" applyBorder="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Font="1"/>
    <xf numFmtId="3" fontId="0" fillId="0" borderId="0" xfId="0" applyNumberFormat="1"/>
    <xf numFmtId="0" fontId="6" fillId="0" borderId="13" xfId="0" applyFont="1" applyFill="1" applyBorder="1" applyAlignment="1">
      <alignment horizontal="center" wrapText="1"/>
    </xf>
    <xf numFmtId="0" fontId="6" fillId="0" borderId="13" xfId="0" applyFont="1" applyFill="1" applyBorder="1" applyAlignment="1">
      <alignment vertical="center" wrapText="1"/>
    </xf>
    <xf numFmtId="0" fontId="6" fillId="0" borderId="13" xfId="0" applyFont="1" applyFill="1" applyBorder="1" applyAlignment="1">
      <alignment horizontal="center" vertical="center" wrapText="1"/>
    </xf>
    <xf numFmtId="3" fontId="7" fillId="0" borderId="0" xfId="0" applyNumberFormat="1" applyFont="1" applyFill="1" applyBorder="1" applyAlignment="1">
      <alignment wrapText="1"/>
    </xf>
    <xf numFmtId="0" fontId="21" fillId="0" borderId="0" xfId="0" applyFont="1" applyAlignment="1">
      <alignment horizontal="center" vertical="center"/>
    </xf>
    <xf numFmtId="0" fontId="0" fillId="11" borderId="0" xfId="0" applyFill="1"/>
    <xf numFmtId="0" fontId="0" fillId="12" borderId="0" xfId="0" applyFill="1"/>
    <xf numFmtId="0" fontId="0" fillId="13" borderId="0" xfId="0" applyFill="1"/>
    <xf numFmtId="0" fontId="22" fillId="13" borderId="0" xfId="0" applyFont="1" applyFill="1"/>
    <xf numFmtId="0" fontId="6" fillId="0" borderId="23" xfId="0" applyFont="1" applyFill="1" applyBorder="1" applyAlignment="1">
      <alignment horizontal="center" vertical="center" wrapText="1"/>
    </xf>
    <xf numFmtId="2" fontId="0" fillId="0" borderId="0" xfId="0" applyNumberFormat="1"/>
    <xf numFmtId="0" fontId="23" fillId="0" borderId="0" xfId="0" applyFont="1" applyAlignment="1">
      <alignment horizontal="center" vertical="center"/>
    </xf>
    <xf numFmtId="0" fontId="0" fillId="0" borderId="14" xfId="0" applyFont="1" applyBorder="1"/>
    <xf numFmtId="0" fontId="0" fillId="0" borderId="15" xfId="0" applyFont="1" applyBorder="1"/>
    <xf numFmtId="0" fontId="0" fillId="0" borderId="16" xfId="0" applyFont="1" applyBorder="1"/>
    <xf numFmtId="3" fontId="0" fillId="0" borderId="17" xfId="0" applyNumberFormat="1" applyFont="1" applyBorder="1"/>
    <xf numFmtId="3" fontId="0" fillId="0" borderId="18" xfId="0" applyNumberFormat="1" applyFont="1" applyBorder="1"/>
    <xf numFmtId="3" fontId="0" fillId="0" borderId="19" xfId="0" applyNumberFormat="1" applyFont="1" applyBorder="1"/>
    <xf numFmtId="3" fontId="0" fillId="0" borderId="20" xfId="0" applyNumberFormat="1" applyFont="1" applyBorder="1"/>
    <xf numFmtId="3" fontId="0" fillId="0" borderId="21" xfId="0" applyNumberFormat="1" applyFont="1" applyBorder="1"/>
    <xf numFmtId="3" fontId="0" fillId="0" borderId="22" xfId="0" applyNumberFormat="1" applyFont="1" applyBorder="1"/>
    <xf numFmtId="1" fontId="0" fillId="0" borderId="0" xfId="0" applyNumberFormat="1" applyAlignment="1">
      <alignment horizontal="center"/>
    </xf>
  </cellXfs>
  <cellStyles count="3">
    <cellStyle name="Normal" xfId="0" builtinId="0"/>
    <cellStyle name="Normal 4" xfId="1" xr:uid="{2F7F5015-314A-415E-B050-117ED820CA19}"/>
    <cellStyle name="Normal_DERIVADORES" xfId="2" xr:uid="{6F0E226B-C987-47A0-B18C-E63A6D0D5092}"/>
  </cellStyles>
  <dxfs count="123">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font>
    </dxf>
    <dxf>
      <font>
        <b val="0"/>
      </font>
    </dxf>
    <dxf>
      <font>
        <b val="0"/>
      </font>
    </dxf>
    <dxf>
      <font>
        <b val="0"/>
      </font>
    </dxf>
    <dxf>
      <font>
        <b val="0"/>
      </font>
    </dxf>
    <dxf>
      <numFmt numFmtId="3" formatCode="#,##0"/>
    </dxf>
    <dxf>
      <numFmt numFmtId="0" formatCode="General"/>
    </dxf>
    <dxf>
      <numFmt numFmtId="3" formatCode="#,##0"/>
    </dxf>
    <dxf>
      <font>
        <b val="0"/>
      </font>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ED8787"/>
      <color rgb="FFFFFF99"/>
      <color rgb="FFB0E2D3"/>
      <color rgb="FF99FFCC"/>
      <color rgb="FFA195FD"/>
      <color rgb="FFF89ADF"/>
      <color rgb="FFB6E1F0"/>
      <color rgb="FFDCF9AD"/>
      <color rgb="FFB3A0E4"/>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(A).xlsx]PIVOT3!ภาค</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FFFF0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PIVOT3!$B$3</c:f>
              <c:strCache>
                <c:ptCount val="1"/>
                <c:pt idx="0">
                  <c:v>Total</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4F-47CC-A477-CE0032801A99}"/>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4F-47CC-A477-CE0032801A99}"/>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4F-47CC-A477-CE0032801A99}"/>
              </c:ext>
            </c:extLst>
          </c:dPt>
          <c:dPt>
            <c:idx val="3"/>
            <c:bubble3D val="0"/>
            <c:spPr>
              <a:solidFill>
                <a:srgbClr val="FF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54F-47CC-A477-CE0032801A99}"/>
              </c:ext>
            </c:extLst>
          </c:dPt>
          <c:dPt>
            <c:idx val="4"/>
            <c:bubble3D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54F-47CC-A477-CE0032801A99}"/>
              </c:ext>
            </c:extLst>
          </c:dPt>
          <c:dPt>
            <c:idx val="5"/>
            <c:bubble3D val="0"/>
            <c:spPr>
              <a:solidFill>
                <a:srgbClr val="00B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54F-47CC-A477-CE0032801A99}"/>
              </c:ext>
            </c:extLst>
          </c:dPt>
          <c:dPt>
            <c:idx val="6"/>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54F-47CC-A477-CE0032801A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PIVOT3!$A$4:$A$11</c:f>
              <c:strCache>
                <c:ptCount val="7"/>
                <c:pt idx="0">
                  <c:v>กรุงเทพมหานครและปริมณฑล</c:v>
                </c:pt>
                <c:pt idx="1">
                  <c:v>ภาคกลาง</c:v>
                </c:pt>
                <c:pt idx="2">
                  <c:v>ภาคตะวันตก</c:v>
                </c:pt>
                <c:pt idx="3">
                  <c:v>ภาคตะวันออก</c:v>
                </c:pt>
                <c:pt idx="4">
                  <c:v>ภาคตะวันออกเฉียงเหนือ</c:v>
                </c:pt>
                <c:pt idx="5">
                  <c:v>ภาคใต้</c:v>
                </c:pt>
                <c:pt idx="6">
                  <c:v>ภาคเหนือ</c:v>
                </c:pt>
              </c:strCache>
            </c:strRef>
          </c:cat>
          <c:val>
            <c:numRef>
              <c:f>PIVOT3!$B$4:$B$11</c:f>
              <c:numCache>
                <c:formatCode>#,##0</c:formatCode>
                <c:ptCount val="7"/>
                <c:pt idx="0">
                  <c:v>10906861</c:v>
                </c:pt>
                <c:pt idx="1">
                  <c:v>9164591</c:v>
                </c:pt>
                <c:pt idx="2">
                  <c:v>4277070</c:v>
                </c:pt>
                <c:pt idx="3">
                  <c:v>4194410</c:v>
                </c:pt>
                <c:pt idx="4">
                  <c:v>21619050</c:v>
                </c:pt>
                <c:pt idx="5">
                  <c:v>9520292</c:v>
                </c:pt>
                <c:pt idx="6">
                  <c:v>6268936</c:v>
                </c:pt>
              </c:numCache>
            </c:numRef>
          </c:val>
          <c:extLst>
            <c:ext xmlns:c16="http://schemas.microsoft.com/office/drawing/2014/chart" uri="{C3380CC4-5D6E-409C-BE32-E72D297353CC}">
              <c16:uniqueId val="{0000000E-854F-47CC-A477-CE0032801A9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(A).xlsx]PIVOT3!จังหวัดประชากรทั้งหมด</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PIVOT3!$B$14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PIVOT3!$A$15:$A$20</c:f>
              <c:strCache>
                <c:ptCount val="5"/>
                <c:pt idx="0">
                  <c:v>จังหวัดพะเยา</c:v>
                </c:pt>
                <c:pt idx="1">
                  <c:v>จังหวัดน่าน</c:v>
                </c:pt>
                <c:pt idx="2">
                  <c:v>จังหวัดลำปาง</c:v>
                </c:pt>
                <c:pt idx="3">
                  <c:v>จังหวัดเชียงราย</c:v>
                </c:pt>
                <c:pt idx="4">
                  <c:v>จังหวัดเชียงใหม่</c:v>
                </c:pt>
              </c:strCache>
            </c:strRef>
          </c:cat>
          <c:val>
            <c:numRef>
              <c:f>PIVOT3!$B$15:$B$20</c:f>
              <c:numCache>
                <c:formatCode>#,##0</c:formatCode>
                <c:ptCount val="5"/>
                <c:pt idx="0">
                  <c:v>454764</c:v>
                </c:pt>
                <c:pt idx="1">
                  <c:v>470507</c:v>
                </c:pt>
                <c:pt idx="2">
                  <c:v>704126</c:v>
                </c:pt>
                <c:pt idx="3">
                  <c:v>1297657</c:v>
                </c:pt>
                <c:pt idx="4">
                  <c:v>1799019</c:v>
                </c:pt>
              </c:numCache>
            </c:numRef>
          </c:val>
          <c:extLst>
            <c:ext xmlns:c16="http://schemas.microsoft.com/office/drawing/2014/chart" uri="{C3380CC4-5D6E-409C-BE32-E72D297353CC}">
              <c16:uniqueId val="{00000000-9699-4A59-959E-655891BA627A}"/>
            </c:ext>
          </c:extLst>
        </c:ser>
        <c:dLbls>
          <c:dLblPos val="outEnd"/>
          <c:showLegendKey val="0"/>
          <c:showVal val="1"/>
          <c:showCatName val="0"/>
          <c:showSerName val="0"/>
          <c:showPercent val="0"/>
          <c:showBubbleSize val="0"/>
        </c:dLbls>
        <c:gapWidth val="182"/>
        <c:axId val="1500147023"/>
        <c:axId val="1500144111"/>
      </c:barChart>
      <c:catAx>
        <c:axId val="150014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500144111"/>
        <c:crosses val="autoZero"/>
        <c:auto val="1"/>
        <c:lblAlgn val="ctr"/>
        <c:lblOffset val="100"/>
        <c:noMultiLvlLbl val="0"/>
      </c:catAx>
      <c:valAx>
        <c:axId val="1500144111"/>
        <c:scaling>
          <c:orientation val="minMax"/>
        </c:scaling>
        <c:delete val="1"/>
        <c:axPos val="b"/>
        <c:numFmt formatCode="#,##0" sourceLinked="1"/>
        <c:majorTickMark val="none"/>
        <c:minorTickMark val="none"/>
        <c:tickLblPos val="nextTo"/>
        <c:crossAx val="150014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(A).xlsx]PIVOT3!จังหวัดประชารกรน้อย</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PIVOT3!$B$22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PIVOT3!$A$23:$A$28</c:f>
              <c:strCache>
                <c:ptCount val="5"/>
                <c:pt idx="0">
                  <c:v>จังหวัดพะเยา</c:v>
                </c:pt>
                <c:pt idx="1">
                  <c:v>จังหวัดอุตรดิตถ์</c:v>
                </c:pt>
                <c:pt idx="2">
                  <c:v>จังหวัดแพร่</c:v>
                </c:pt>
                <c:pt idx="3">
                  <c:v>จังหวัดลำพูน</c:v>
                </c:pt>
                <c:pt idx="4">
                  <c:v>จังหวัดแม่ฮ่องสอน</c:v>
                </c:pt>
              </c:strCache>
            </c:strRef>
          </c:cat>
          <c:val>
            <c:numRef>
              <c:f>PIVOT3!$B$23:$B$28</c:f>
              <c:numCache>
                <c:formatCode>#,##0</c:formatCode>
                <c:ptCount val="5"/>
                <c:pt idx="0">
                  <c:v>454764</c:v>
                </c:pt>
                <c:pt idx="1">
                  <c:v>436283</c:v>
                </c:pt>
                <c:pt idx="2">
                  <c:v>421745</c:v>
                </c:pt>
                <c:pt idx="3">
                  <c:v>396753</c:v>
                </c:pt>
                <c:pt idx="4">
                  <c:v>288082</c:v>
                </c:pt>
              </c:numCache>
            </c:numRef>
          </c:val>
          <c:extLst>
            <c:ext xmlns:c16="http://schemas.microsoft.com/office/drawing/2014/chart" uri="{C3380CC4-5D6E-409C-BE32-E72D297353CC}">
              <c16:uniqueId val="{00000000-FD77-498D-AB80-BBF0627D597F}"/>
            </c:ext>
          </c:extLst>
        </c:ser>
        <c:dLbls>
          <c:dLblPos val="outEnd"/>
          <c:showLegendKey val="0"/>
          <c:showVal val="1"/>
          <c:showCatName val="0"/>
          <c:showSerName val="0"/>
          <c:showPercent val="0"/>
          <c:showBubbleSize val="0"/>
        </c:dLbls>
        <c:gapWidth val="182"/>
        <c:axId val="1626710831"/>
        <c:axId val="1626712495"/>
      </c:barChart>
      <c:catAx>
        <c:axId val="162671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26712495"/>
        <c:crosses val="autoZero"/>
        <c:auto val="1"/>
        <c:lblAlgn val="ctr"/>
        <c:lblOffset val="100"/>
        <c:noMultiLvlLbl val="0"/>
      </c:catAx>
      <c:valAx>
        <c:axId val="1626712495"/>
        <c:scaling>
          <c:orientation val="minMax"/>
        </c:scaling>
        <c:delete val="1"/>
        <c:axPos val="b"/>
        <c:numFmt formatCode="#,##0" sourceLinked="1"/>
        <c:majorTickMark val="none"/>
        <c:minorTickMark val="none"/>
        <c:tickLblPos val="nextTo"/>
        <c:crossAx val="162671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(A).xlsx]PIVOT3!บ้าน</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00B050"/>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7"/>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19"/>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ED8787"/>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PIVOT3!$B$30</c:f>
              <c:strCache>
                <c:ptCount val="1"/>
                <c:pt idx="0">
                  <c:v>Total</c:v>
                </c:pt>
              </c:strCache>
            </c:strRef>
          </c:tx>
          <c:dPt>
            <c:idx val="0"/>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81A-4186-A765-03CFDC236473}"/>
              </c:ext>
            </c:extLst>
          </c:dPt>
          <c:dPt>
            <c:idx val="1"/>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81A-4186-A765-03CFDC236473}"/>
              </c:ext>
            </c:extLst>
          </c:dPt>
          <c:dPt>
            <c:idx val="2"/>
            <c:bubble3D val="0"/>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81A-4186-A765-03CFDC236473}"/>
              </c:ext>
            </c:extLst>
          </c:dPt>
          <c:dPt>
            <c:idx val="3"/>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81A-4186-A765-03CFDC236473}"/>
              </c:ext>
            </c:extLst>
          </c:dPt>
          <c:dPt>
            <c:idx val="4"/>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81A-4186-A765-03CFDC2364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PIVOT3!$A$31:$A$36</c:f>
              <c:strCache>
                <c:ptCount val="5"/>
                <c:pt idx="0">
                  <c:v>จังหวัดเชียงราย</c:v>
                </c:pt>
                <c:pt idx="1">
                  <c:v>จังหวัดเชียงใหม่</c:v>
                </c:pt>
                <c:pt idx="2">
                  <c:v>จังหวัดพะเยา</c:v>
                </c:pt>
                <c:pt idx="3">
                  <c:v>จังหวัดลำปาง</c:v>
                </c:pt>
                <c:pt idx="4">
                  <c:v>จังหวัดลำพูน</c:v>
                </c:pt>
              </c:strCache>
            </c:strRef>
          </c:cat>
          <c:val>
            <c:numRef>
              <c:f>PIVOT3!$B$31:$B$36</c:f>
              <c:numCache>
                <c:formatCode>#,##0</c:formatCode>
                <c:ptCount val="5"/>
                <c:pt idx="0">
                  <c:v>594808</c:v>
                </c:pt>
                <c:pt idx="1">
                  <c:v>900484</c:v>
                </c:pt>
                <c:pt idx="2">
                  <c:v>204387</c:v>
                </c:pt>
                <c:pt idx="3">
                  <c:v>307969</c:v>
                </c:pt>
                <c:pt idx="4">
                  <c:v>193492</c:v>
                </c:pt>
              </c:numCache>
            </c:numRef>
          </c:val>
          <c:extLst>
            <c:ext xmlns:c16="http://schemas.microsoft.com/office/drawing/2014/chart" uri="{C3380CC4-5D6E-409C-BE32-E72D297353CC}">
              <c16:uniqueId val="{0000000A-581A-4186-A765-03CFDC23647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(A).xlsx]PIVOT3!ชาย</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solidFill>
              <a:schemeClr val="bg1"/>
            </a:solidFill>
          </a:ln>
          <a:effectLst/>
          <a:sp3d>
            <a:contourClr>
              <a:schemeClr val="bg1"/>
            </a:contourClr>
          </a:sp3d>
        </c:spPr>
        <c:dLbl>
          <c:idx val="0"/>
          <c:layout>
            <c:manualLayout>
              <c:x val="-2.0592025600265655E-3"/>
              <c:y val="-5.587300469981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solidFill>
              <a:schemeClr val="bg1"/>
            </a:solidFill>
          </a:ln>
          <a:effectLst/>
          <a:sp3d>
            <a:contourClr>
              <a:schemeClr val="bg1"/>
            </a:contourClr>
          </a:sp3d>
        </c:spPr>
        <c:dLbl>
          <c:idx val="0"/>
          <c:layout>
            <c:manualLayout>
              <c:x val="2.0592025600265655E-3"/>
              <c:y val="-5.587300469981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solidFill>
              <a:schemeClr val="bg1"/>
            </a:solidFill>
          </a:ln>
          <a:effectLst/>
          <a:sp3d>
            <a:contourClr>
              <a:schemeClr val="bg1"/>
            </a:contourClr>
          </a:sp3d>
        </c:spPr>
        <c:dLbl>
          <c:idx val="0"/>
          <c:layout>
            <c:manualLayout>
              <c:x val="0"/>
              <c:y val="-6.603173282705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bg1"/>
            </a:solidFill>
          </a:ln>
          <a:effectLst/>
          <a:sp3d>
            <a:contourClr>
              <a:schemeClr val="bg1"/>
            </a:contourClr>
          </a:sp3d>
        </c:spPr>
        <c:dLbl>
          <c:idx val="0"/>
          <c:layout>
            <c:manualLayout>
              <c:x val="0"/>
              <c:y val="-6.6031732827050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solidFill>
              <a:schemeClr val="bg1"/>
            </a:solidFill>
          </a:ln>
          <a:effectLst/>
          <a:sp3d>
            <a:contourClr>
              <a:schemeClr val="bg1"/>
            </a:contourClr>
          </a:sp3d>
        </c:spPr>
        <c:dLbl>
          <c:idx val="0"/>
          <c:layout>
            <c:manualLayout>
              <c:x val="6.1776076800796956E-3"/>
              <c:y val="-6.0952368763430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solidFill>
              <a:schemeClr val="bg1"/>
            </a:solidFill>
          </a:ln>
          <a:effectLst/>
          <a:sp3d>
            <a:contourClr>
              <a:schemeClr val="bg1"/>
            </a:contourClr>
          </a:sp3d>
        </c:spPr>
        <c:dLbl>
          <c:idx val="0"/>
          <c:layout>
            <c:manualLayout>
              <c:x val="-6.9998012370360895E-17"/>
              <c:y val="-6.4557804455935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solidFill>
              <a:schemeClr val="bg1"/>
            </a:solidFill>
          </a:ln>
          <a:effectLst/>
          <a:sp3d>
            <a:contourClr>
              <a:schemeClr val="bg1"/>
            </a:contourClr>
          </a:sp3d>
        </c:spPr>
        <c:dLbl>
          <c:idx val="0"/>
          <c:layout>
            <c:manualLayout>
              <c:x val="1.9090587543647171E-3"/>
              <c:y val="-5.959181949778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solidFill>
              <a:schemeClr val="bg1"/>
            </a:solidFill>
          </a:ln>
          <a:effectLst/>
          <a:sp3d>
            <a:contourClr>
              <a:schemeClr val="bg1"/>
            </a:contourClr>
          </a:sp3d>
        </c:spPr>
        <c:dLbl>
          <c:idx val="0"/>
          <c:layout>
            <c:manualLayout>
              <c:x val="0"/>
              <c:y val="-6.4557804455935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solidFill>
              <a:schemeClr val="bg1"/>
            </a:solidFill>
          </a:ln>
          <a:effectLst/>
          <a:sp3d>
            <a:contourClr>
              <a:schemeClr val="bg1"/>
            </a:contourClr>
          </a:sp3d>
        </c:spPr>
        <c:dLbl>
          <c:idx val="0"/>
          <c:layout>
            <c:manualLayout>
              <c:x val="0"/>
              <c:y val="-4.9659849581488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4.9659849581488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3.8181175087294342E-3"/>
              <c:y val="-4.46938646233398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5.4625834539637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3.8181175087294342E-3"/>
              <c:y val="-5.46258345396375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7499503092590224E-17"/>
              <c:y val="-4.4693864623339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8181175087294516E-3"/>
              <c:y val="-5.46258345396375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9090587543647171E-3"/>
              <c:y val="-5.46258345396375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9090587543646995E-3"/>
              <c:y val="-5.9591819497786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3.4999006185180448E-17"/>
              <c:y val="-4.46938646233398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4.9659849581488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9090587543647872E-3"/>
              <c:y val="-5.9591819497786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3999602474072179E-16"/>
              <c:y val="-3.4761894707042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5.959181949778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909058754364752E-3"/>
              <c:y val="-5.959181949778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5.959181949778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9090587543647872E-3"/>
              <c:y val="-5.4625834539637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4.4693864623339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0"/>
              <c:y val="-6.9523789414084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5.959181949778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3.8181175087294342E-3"/>
              <c:y val="-4.46938646233398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9998012370360895E-17"/>
              <c:y val="-3.9727879665190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
              <c:y val="-3.9727879665190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9998012370360895E-17"/>
              <c:y val="-4.46938646233398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8.4421744288530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1.9090587543647171E-3"/>
              <c:y val="-7.4489774372233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5.7271762630941511E-3"/>
              <c:y val="-8.93877292466796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PIVOT3!$B$38</c:f>
              <c:strCache>
                <c:ptCount val="1"/>
                <c:pt idx="0">
                  <c:v>Total</c:v>
                </c:pt>
              </c:strCache>
            </c:strRef>
          </c:tx>
          <c:spPr>
            <a:solidFill>
              <a:schemeClr val="accent4">
                <a:lumMod val="40000"/>
                <a:lumOff val="60000"/>
              </a:schemeClr>
            </a:solidFill>
            <a:ln>
              <a:solidFill>
                <a:schemeClr val="bg1"/>
              </a:solidFill>
            </a:ln>
            <a:effectLst/>
            <a:sp3d>
              <a:contourClr>
                <a:schemeClr val="bg1"/>
              </a:contourClr>
            </a:sp3d>
          </c:spPr>
          <c:invertIfNegative val="0"/>
          <c:dPt>
            <c:idx val="0"/>
            <c:invertIfNegative val="0"/>
            <c:bubble3D val="0"/>
            <c:extLst>
              <c:ext xmlns:c16="http://schemas.microsoft.com/office/drawing/2014/chart" uri="{C3380CC4-5D6E-409C-BE32-E72D297353CC}">
                <c16:uniqueId val="{00000002-8D95-452B-B76A-8A762AC070D7}"/>
              </c:ext>
            </c:extLst>
          </c:dPt>
          <c:dPt>
            <c:idx val="1"/>
            <c:invertIfNegative val="0"/>
            <c:bubble3D val="0"/>
            <c:extLst>
              <c:ext xmlns:c16="http://schemas.microsoft.com/office/drawing/2014/chart" uri="{C3380CC4-5D6E-409C-BE32-E72D297353CC}">
                <c16:uniqueId val="{00000003-8D95-452B-B76A-8A762AC070D7}"/>
              </c:ext>
            </c:extLst>
          </c:dPt>
          <c:dPt>
            <c:idx val="2"/>
            <c:invertIfNegative val="0"/>
            <c:bubble3D val="0"/>
            <c:extLst>
              <c:ext xmlns:c16="http://schemas.microsoft.com/office/drawing/2014/chart" uri="{C3380CC4-5D6E-409C-BE32-E72D297353CC}">
                <c16:uniqueId val="{00000004-8D95-452B-B76A-8A762AC070D7}"/>
              </c:ext>
            </c:extLst>
          </c:dPt>
          <c:dPt>
            <c:idx val="3"/>
            <c:invertIfNegative val="0"/>
            <c:bubble3D val="0"/>
            <c:extLst>
              <c:ext xmlns:c16="http://schemas.microsoft.com/office/drawing/2014/chart" uri="{C3380CC4-5D6E-409C-BE32-E72D297353CC}">
                <c16:uniqueId val="{00000005-8D95-452B-B76A-8A762AC070D7}"/>
              </c:ext>
            </c:extLst>
          </c:dPt>
          <c:dPt>
            <c:idx val="4"/>
            <c:invertIfNegative val="0"/>
            <c:bubble3D val="0"/>
            <c:spPr>
              <a:solidFill>
                <a:schemeClr val="accent4">
                  <a:lumMod val="40000"/>
                  <a:lumOff val="60000"/>
                </a:schemeClr>
              </a:solidFill>
              <a:ln>
                <a:solidFill>
                  <a:schemeClr val="bg1"/>
                </a:solidFill>
              </a:ln>
              <a:effectLst/>
              <a:sp3d>
                <a:contourClr>
                  <a:schemeClr val="bg1"/>
                </a:contourClr>
              </a:sp3d>
            </c:spPr>
            <c:extLst>
              <c:ext xmlns:c16="http://schemas.microsoft.com/office/drawing/2014/chart" uri="{C3380CC4-5D6E-409C-BE32-E72D297353CC}">
                <c16:uniqueId val="{00000006-8D95-452B-B76A-8A762AC070D7}"/>
              </c:ext>
            </c:extLst>
          </c:dPt>
          <c:dLbls>
            <c:dLbl>
              <c:idx val="0"/>
              <c:layout>
                <c:manualLayout>
                  <c:x val="0"/>
                  <c:y val="-4.9659849581488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95-452B-B76A-8A762AC070D7}"/>
                </c:ext>
              </c:extLst>
            </c:dLbl>
            <c:dLbl>
              <c:idx val="1"/>
              <c:layout>
                <c:manualLayout>
                  <c:x val="0"/>
                  <c:y val="-6.4557804455935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95-452B-B76A-8A762AC070D7}"/>
                </c:ext>
              </c:extLst>
            </c:dLbl>
            <c:dLbl>
              <c:idx val="2"/>
              <c:layout>
                <c:manualLayout>
                  <c:x val="1.9090587543647171E-3"/>
                  <c:y val="-5.9591819497786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95-452B-B76A-8A762AC070D7}"/>
                </c:ext>
              </c:extLst>
            </c:dLbl>
            <c:dLbl>
              <c:idx val="3"/>
              <c:layout>
                <c:manualLayout>
                  <c:x val="-6.9998012370360895E-17"/>
                  <c:y val="-6.45578044559352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95-452B-B76A-8A762AC070D7}"/>
                </c:ext>
              </c:extLst>
            </c:dLbl>
            <c:dLbl>
              <c:idx val="4"/>
              <c:layout>
                <c:manualLayout>
                  <c:x val="0"/>
                  <c:y val="-6.6031732827050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95-452B-B76A-8A762AC070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PIVOT3!$A$39:$A$44</c:f>
              <c:strCache>
                <c:ptCount val="5"/>
                <c:pt idx="0">
                  <c:v>จังหวัดพะเยา</c:v>
                </c:pt>
                <c:pt idx="1">
                  <c:v>จังหวัดน่าน</c:v>
                </c:pt>
                <c:pt idx="2">
                  <c:v>จังหวัดลำปาง</c:v>
                </c:pt>
                <c:pt idx="3">
                  <c:v>จังหวัดเชียงราย</c:v>
                </c:pt>
                <c:pt idx="4">
                  <c:v>จังหวัดเชียงใหม่</c:v>
                </c:pt>
              </c:strCache>
            </c:strRef>
          </c:cat>
          <c:val>
            <c:numRef>
              <c:f>PIVOT3!$B$39:$B$44</c:f>
              <c:numCache>
                <c:formatCode>#,##0</c:formatCode>
                <c:ptCount val="5"/>
                <c:pt idx="0">
                  <c:v>220378</c:v>
                </c:pt>
                <c:pt idx="1">
                  <c:v>234647</c:v>
                </c:pt>
                <c:pt idx="2">
                  <c:v>341663</c:v>
                </c:pt>
                <c:pt idx="3">
                  <c:v>628811</c:v>
                </c:pt>
                <c:pt idx="4">
                  <c:v>865486</c:v>
                </c:pt>
              </c:numCache>
            </c:numRef>
          </c:val>
          <c:extLst>
            <c:ext xmlns:c16="http://schemas.microsoft.com/office/drawing/2014/chart" uri="{C3380CC4-5D6E-409C-BE32-E72D297353CC}">
              <c16:uniqueId val="{00000000-8D95-452B-B76A-8A762AC070D7}"/>
            </c:ext>
          </c:extLst>
        </c:ser>
        <c:dLbls>
          <c:showLegendKey val="0"/>
          <c:showVal val="1"/>
          <c:showCatName val="0"/>
          <c:showSerName val="0"/>
          <c:showPercent val="0"/>
          <c:showBubbleSize val="0"/>
        </c:dLbls>
        <c:gapWidth val="150"/>
        <c:shape val="box"/>
        <c:axId val="1627548319"/>
        <c:axId val="1627547487"/>
        <c:axId val="0"/>
      </c:bar3DChart>
      <c:catAx>
        <c:axId val="162754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27547487"/>
        <c:crosses val="autoZero"/>
        <c:auto val="1"/>
        <c:lblAlgn val="ctr"/>
        <c:lblOffset val="100"/>
        <c:noMultiLvlLbl val="0"/>
      </c:catAx>
      <c:valAx>
        <c:axId val="1627547487"/>
        <c:scaling>
          <c:orientation val="minMax"/>
        </c:scaling>
        <c:delete val="1"/>
        <c:axPos val="l"/>
        <c:numFmt formatCode="#,##0" sourceLinked="1"/>
        <c:majorTickMark val="none"/>
        <c:minorTickMark val="none"/>
        <c:tickLblPos val="nextTo"/>
        <c:crossAx val="162754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(A).xlsx]PIVOT3!PivotTable7</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0292278763536162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0292278763536162E-1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2.807017543859597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5.614035087719297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5.614035087719297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807017543859597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0292278763536162E-1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0292278763536162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40000"/>
              <a:lumOff val="60000"/>
            </a:schemeClr>
          </a:solidFill>
          <a:ln>
            <a:solidFill>
              <a:schemeClr val="bg1"/>
            </a:solidFill>
          </a:ln>
          <a:effectLst/>
          <a:sp3d>
            <a:contourClr>
              <a:schemeClr val="bg1"/>
            </a:contourClr>
          </a:sp3d>
        </c:spPr>
        <c:dLbl>
          <c:idx val="0"/>
          <c:layout>
            <c:manualLayout>
              <c:x val="0"/>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solidFill>
              <a:schemeClr val="bg1"/>
            </a:solidFill>
          </a:ln>
          <a:effectLst/>
          <a:sp3d>
            <a:contourClr>
              <a:schemeClr val="bg1"/>
            </a:contourClr>
          </a:sp3d>
        </c:spPr>
        <c:dLbl>
          <c:idx val="0"/>
          <c:layout>
            <c:manualLayout>
              <c:x val="5.6140350877192978E-3"/>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40000"/>
              <a:lumOff val="60000"/>
            </a:schemeClr>
          </a:solidFill>
          <a:ln>
            <a:solidFill>
              <a:schemeClr val="bg1"/>
            </a:solidFill>
          </a:ln>
          <a:effectLst/>
          <a:sp3d>
            <a:contourClr>
              <a:schemeClr val="bg1"/>
            </a:contourClr>
          </a:sp3d>
        </c:spPr>
        <c:dLbl>
          <c:idx val="0"/>
          <c:layout>
            <c:manualLayout>
              <c:x val="2.807017543859597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40000"/>
              <a:lumOff val="60000"/>
            </a:schemeClr>
          </a:solidFill>
          <a:ln>
            <a:solidFill>
              <a:schemeClr val="bg1"/>
            </a:solidFill>
          </a:ln>
          <a:effectLst/>
          <a:sp3d>
            <a:contourClr>
              <a:schemeClr val="bg1"/>
            </a:contourClr>
          </a:sp3d>
        </c:spPr>
        <c:dLbl>
          <c:idx val="0"/>
          <c:layout>
            <c:manualLayout>
              <c:x val="-1.0292278763536162E-1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40000"/>
              <a:lumOff val="60000"/>
            </a:schemeClr>
          </a:solidFill>
          <a:ln>
            <a:solidFill>
              <a:schemeClr val="bg1"/>
            </a:solidFill>
          </a:ln>
          <a:effectLst/>
          <a:sp3d>
            <a:contourClr>
              <a:schemeClr val="bg1"/>
            </a:contourClr>
          </a:sp3d>
        </c:spPr>
        <c:dLbl>
          <c:idx val="0"/>
          <c:layout>
            <c:manualLayout>
              <c:x val="-1.0292278763536162E-16"/>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40000"/>
              <a:lumOff val="60000"/>
            </a:schemeClr>
          </a:solidFill>
          <a:ln>
            <a:solidFill>
              <a:schemeClr val="bg1"/>
            </a:solidFill>
          </a:ln>
          <a:effectLst/>
          <a:sp3d>
            <a:contourClr>
              <a:schemeClr val="bg1"/>
            </a:contourClr>
          </a:sp3d>
        </c:spPr>
        <c:dLbl>
          <c:idx val="0"/>
          <c:layout>
            <c:manualLayout>
              <c:x val="-4.3657013997744961E-3"/>
              <c:y val="-4.528659281505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40000"/>
              <a:lumOff val="60000"/>
            </a:schemeClr>
          </a:solidFill>
          <a:ln>
            <a:solidFill>
              <a:schemeClr val="bg1"/>
            </a:solidFill>
          </a:ln>
          <a:effectLst/>
          <a:sp3d>
            <a:contourClr>
              <a:schemeClr val="bg1"/>
            </a:contourClr>
          </a:sp3d>
        </c:spPr>
        <c:dLbl>
          <c:idx val="0"/>
          <c:layout>
            <c:manualLayout>
              <c:x val="0"/>
              <c:y val="-6.7929889222575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40000"/>
              <a:lumOff val="60000"/>
            </a:schemeClr>
          </a:solidFill>
          <a:ln>
            <a:solidFill>
              <a:schemeClr val="bg1"/>
            </a:solidFill>
          </a:ln>
          <a:effectLst/>
          <a:sp3d>
            <a:contourClr>
              <a:schemeClr val="bg1"/>
            </a:contourClr>
          </a:sp3d>
        </c:spPr>
        <c:dLbl>
          <c:idx val="0"/>
          <c:layout>
            <c:manualLayout>
              <c:x val="-4.365701399774536E-3"/>
              <c:y val="-3.6229274252040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40000"/>
              <a:lumOff val="60000"/>
            </a:schemeClr>
          </a:solidFill>
          <a:ln>
            <a:solidFill>
              <a:schemeClr val="bg1"/>
            </a:solidFill>
          </a:ln>
          <a:effectLst/>
          <a:sp3d>
            <a:contourClr>
              <a:schemeClr val="bg1"/>
            </a:contourClr>
          </a:sp3d>
        </c:spPr>
        <c:dLbl>
          <c:idx val="0"/>
          <c:layout>
            <c:manualLayout>
              <c:x val="-2.1828506998872481E-3"/>
              <c:y val="-4.0757933533545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4.3657013997745161E-3"/>
              <c:y val="-4.075793353354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4.9815252096555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6.5485520996617442E-3"/>
              <c:y val="-5.4343911378060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8.0036934402369726E-17"/>
              <c:y val="-4.0757933533545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2.2643296407525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365701399774536E-3"/>
              <c:y val="-5.4343911378060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0"/>
              <c:y val="-4.528659281505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2.182850699887088E-3"/>
              <c:y val="-3.1700614970535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6.5485520996617442E-3"/>
              <c:y val="-6.7929889222575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
              <c:y val="-3.6229274252040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2.1828506998872481E-3"/>
              <c:y val="-3.17006149705351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
              <c:y val="-3.6229274252040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1828506998872481E-3"/>
              <c:y val="-4.07579335335452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2.1828506998872481E-3"/>
              <c:y val="-3.170061497053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1828506998872481E-3"/>
              <c:y val="-4.5286592815050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
              <c:y val="-4.528659281505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8.7314027995489922E-3"/>
              <c:y val="-5.88725706595653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3657013997744961E-3"/>
              <c:y val="-6.340122994107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2.1828506998872481E-3"/>
              <c:y val="-7.2458548504080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
              <c:y val="-4.528659281505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
              <c:y val="-4.9815252096555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2.1828506998872481E-3"/>
              <c:y val="-4.52865928150502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2.1828506998872481E-3"/>
              <c:y val="-4.9815252096555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
              <c:y val="-6.7929889222575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4.0018467201184863E-17"/>
              <c:y val="-4.0757933533545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8.7314027995489922E-3"/>
              <c:y val="-5.88725706595654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PIVOT3!$B$46</c:f>
              <c:strCache>
                <c:ptCount val="1"/>
                <c:pt idx="0">
                  <c:v>Total</c:v>
                </c:pt>
              </c:strCache>
            </c:strRef>
          </c:tx>
          <c:spPr>
            <a:solidFill>
              <a:schemeClr val="accent5">
                <a:lumMod val="40000"/>
                <a:lumOff val="60000"/>
              </a:schemeClr>
            </a:solidFill>
            <a:ln>
              <a:solidFill>
                <a:schemeClr val="bg1"/>
              </a:solidFill>
            </a:ln>
            <a:effectLst/>
            <a:sp3d>
              <a:contourClr>
                <a:schemeClr val="bg1"/>
              </a:contourClr>
            </a:sp3d>
          </c:spPr>
          <c:invertIfNegative val="0"/>
          <c:dPt>
            <c:idx val="0"/>
            <c:invertIfNegative val="0"/>
            <c:bubble3D val="0"/>
            <c:extLst>
              <c:ext xmlns:c16="http://schemas.microsoft.com/office/drawing/2014/chart" uri="{C3380CC4-5D6E-409C-BE32-E72D297353CC}">
                <c16:uniqueId val="{00000000-64D6-42D3-915C-DF1BE7E153D3}"/>
              </c:ext>
            </c:extLst>
          </c:dPt>
          <c:dPt>
            <c:idx val="1"/>
            <c:invertIfNegative val="0"/>
            <c:bubble3D val="0"/>
            <c:extLst>
              <c:ext xmlns:c16="http://schemas.microsoft.com/office/drawing/2014/chart" uri="{C3380CC4-5D6E-409C-BE32-E72D297353CC}">
                <c16:uniqueId val="{00000001-64D6-42D3-915C-DF1BE7E153D3}"/>
              </c:ext>
            </c:extLst>
          </c:dPt>
          <c:dPt>
            <c:idx val="2"/>
            <c:invertIfNegative val="0"/>
            <c:bubble3D val="0"/>
            <c:extLst>
              <c:ext xmlns:c16="http://schemas.microsoft.com/office/drawing/2014/chart" uri="{C3380CC4-5D6E-409C-BE32-E72D297353CC}">
                <c16:uniqueId val="{00000002-64D6-42D3-915C-DF1BE7E153D3}"/>
              </c:ext>
            </c:extLst>
          </c:dPt>
          <c:dPt>
            <c:idx val="3"/>
            <c:invertIfNegative val="0"/>
            <c:bubble3D val="0"/>
            <c:extLst>
              <c:ext xmlns:c16="http://schemas.microsoft.com/office/drawing/2014/chart" uri="{C3380CC4-5D6E-409C-BE32-E72D297353CC}">
                <c16:uniqueId val="{00000003-64D6-42D3-915C-DF1BE7E153D3}"/>
              </c:ext>
            </c:extLst>
          </c:dPt>
          <c:dPt>
            <c:idx val="4"/>
            <c:invertIfNegative val="0"/>
            <c:bubble3D val="0"/>
            <c:spPr>
              <a:solidFill>
                <a:schemeClr val="accent5">
                  <a:lumMod val="40000"/>
                  <a:lumOff val="60000"/>
                </a:schemeClr>
              </a:solidFill>
              <a:ln>
                <a:solidFill>
                  <a:schemeClr val="bg1"/>
                </a:solidFill>
              </a:ln>
              <a:effectLst/>
              <a:sp3d>
                <a:contourClr>
                  <a:schemeClr val="bg1"/>
                </a:contourClr>
              </a:sp3d>
            </c:spPr>
            <c:extLst>
              <c:ext xmlns:c16="http://schemas.microsoft.com/office/drawing/2014/chart" uri="{C3380CC4-5D6E-409C-BE32-E72D297353CC}">
                <c16:uniqueId val="{00000004-64D6-42D3-915C-DF1BE7E153D3}"/>
              </c:ext>
            </c:extLst>
          </c:dPt>
          <c:dLbls>
            <c:dLbl>
              <c:idx val="0"/>
              <c:layout>
                <c:manualLayout>
                  <c:x val="-2.1828506998872481E-3"/>
                  <c:y val="-4.0757933533545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D6-42D3-915C-DF1BE7E153D3}"/>
                </c:ext>
              </c:extLst>
            </c:dLbl>
            <c:dLbl>
              <c:idx val="1"/>
              <c:layout>
                <c:manualLayout>
                  <c:x val="-4.365701399774536E-3"/>
                  <c:y val="-3.62292742520402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D6-42D3-915C-DF1BE7E153D3}"/>
                </c:ext>
              </c:extLst>
            </c:dLbl>
            <c:dLbl>
              <c:idx val="2"/>
              <c:layout>
                <c:manualLayout>
                  <c:x val="0"/>
                  <c:y val="-6.7929889222575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D6-42D3-915C-DF1BE7E153D3}"/>
                </c:ext>
              </c:extLst>
            </c:dLbl>
            <c:dLbl>
              <c:idx val="3"/>
              <c:layout>
                <c:manualLayout>
                  <c:x val="-4.3657013997744961E-3"/>
                  <c:y val="-4.52865928150502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D6-42D3-915C-DF1BE7E153D3}"/>
                </c:ext>
              </c:extLst>
            </c:dLbl>
            <c:dLbl>
              <c:idx val="4"/>
              <c:layout>
                <c:manualLayout>
                  <c:x val="5.6140350877192978E-3"/>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D6-42D3-915C-DF1BE7E153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PIVOT3!$A$47:$A$52</c:f>
              <c:strCache>
                <c:ptCount val="5"/>
                <c:pt idx="0">
                  <c:v>จังหวัดพะเยา</c:v>
                </c:pt>
                <c:pt idx="1">
                  <c:v>จังหวัดน่าน</c:v>
                </c:pt>
                <c:pt idx="2">
                  <c:v>จังหวัดลำปาง</c:v>
                </c:pt>
                <c:pt idx="3">
                  <c:v>จังหวัดเชียงราย</c:v>
                </c:pt>
                <c:pt idx="4">
                  <c:v>จังหวัดเชียงใหม่</c:v>
                </c:pt>
              </c:strCache>
            </c:strRef>
          </c:cat>
          <c:val>
            <c:numRef>
              <c:f>PIVOT3!$B$47:$B$52</c:f>
              <c:numCache>
                <c:formatCode>#,##0</c:formatCode>
                <c:ptCount val="5"/>
                <c:pt idx="0">
                  <c:v>234386</c:v>
                </c:pt>
                <c:pt idx="1">
                  <c:v>235860</c:v>
                </c:pt>
                <c:pt idx="2">
                  <c:v>362463</c:v>
                </c:pt>
                <c:pt idx="3">
                  <c:v>668846</c:v>
                </c:pt>
                <c:pt idx="4">
                  <c:v>933533</c:v>
                </c:pt>
              </c:numCache>
            </c:numRef>
          </c:val>
          <c:extLst>
            <c:ext xmlns:c16="http://schemas.microsoft.com/office/drawing/2014/chart" uri="{C3380CC4-5D6E-409C-BE32-E72D297353CC}">
              <c16:uniqueId val="{00000005-64D6-42D3-915C-DF1BE7E153D3}"/>
            </c:ext>
          </c:extLst>
        </c:ser>
        <c:dLbls>
          <c:showLegendKey val="0"/>
          <c:showVal val="1"/>
          <c:showCatName val="0"/>
          <c:showSerName val="0"/>
          <c:showPercent val="0"/>
          <c:showBubbleSize val="0"/>
        </c:dLbls>
        <c:gapWidth val="150"/>
        <c:shape val="box"/>
        <c:axId val="255701584"/>
        <c:axId val="255698672"/>
        <c:axId val="0"/>
      </c:bar3DChart>
      <c:catAx>
        <c:axId val="25570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55698672"/>
        <c:crosses val="autoZero"/>
        <c:auto val="1"/>
        <c:lblAlgn val="ctr"/>
        <c:lblOffset val="100"/>
        <c:noMultiLvlLbl val="0"/>
      </c:catAx>
      <c:valAx>
        <c:axId val="255698672"/>
        <c:scaling>
          <c:orientation val="minMax"/>
        </c:scaling>
        <c:delete val="1"/>
        <c:axPos val="l"/>
        <c:numFmt formatCode="#,##0" sourceLinked="1"/>
        <c:majorTickMark val="none"/>
        <c:minorTickMark val="none"/>
        <c:tickLblPos val="nextTo"/>
        <c:crossAx val="25570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(A).xlsx]PIVOT3!PivotTable9</c:name>
    <c:fmtId val="5"/>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PIVOT3!$E$3</c:f>
              <c:strCache>
                <c:ptCount val="1"/>
                <c:pt idx="0">
                  <c:v>Total</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1AC-40C4-AB2F-10301E166355}"/>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1AC-40C4-AB2F-10301E166355}"/>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1AC-40C4-AB2F-10301E166355}"/>
              </c:ext>
            </c:extLst>
          </c:dPt>
          <c:dPt>
            <c:idx val="3"/>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1AC-40C4-AB2F-10301E166355}"/>
              </c:ext>
            </c:extLst>
          </c:dPt>
          <c:dPt>
            <c:idx val="4"/>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1AC-40C4-AB2F-10301E16635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1AC-40C4-AB2F-10301E166355}"/>
              </c:ext>
            </c:extLst>
          </c:dPt>
          <c:dPt>
            <c:idx val="6"/>
            <c:bubble3D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1AC-40C4-AB2F-10301E1663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h-TH"/>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PIVOT3!$D$4:$D$11</c:f>
              <c:strCache>
                <c:ptCount val="7"/>
                <c:pt idx="0">
                  <c:v>กรุงเทพมหานครและปริมณฑล</c:v>
                </c:pt>
                <c:pt idx="1">
                  <c:v>ภาคกลาง</c:v>
                </c:pt>
                <c:pt idx="2">
                  <c:v>ภาคตะวันตก</c:v>
                </c:pt>
                <c:pt idx="3">
                  <c:v>ภาคตะวันออก</c:v>
                </c:pt>
                <c:pt idx="4">
                  <c:v>ภาคตะวันออกเฉียงเหนือ</c:v>
                </c:pt>
                <c:pt idx="5">
                  <c:v>ภาคใต้</c:v>
                </c:pt>
                <c:pt idx="6">
                  <c:v>ภาคเหนือ</c:v>
                </c:pt>
              </c:strCache>
            </c:strRef>
          </c:cat>
          <c:val>
            <c:numRef>
              <c:f>PIVOT3!$E$4:$E$11</c:f>
              <c:numCache>
                <c:formatCode>#,##0</c:formatCode>
                <c:ptCount val="7"/>
                <c:pt idx="0">
                  <c:v>6337823</c:v>
                </c:pt>
                <c:pt idx="1">
                  <c:v>3859627</c:v>
                </c:pt>
                <c:pt idx="2">
                  <c:v>2071835</c:v>
                </c:pt>
                <c:pt idx="3">
                  <c:v>2370294</c:v>
                </c:pt>
                <c:pt idx="4">
                  <c:v>7686839</c:v>
                </c:pt>
                <c:pt idx="5">
                  <c:v>3931492</c:v>
                </c:pt>
                <c:pt idx="6">
                  <c:v>2870609</c:v>
                </c:pt>
              </c:numCache>
            </c:numRef>
          </c:val>
          <c:extLst>
            <c:ext xmlns:c16="http://schemas.microsoft.com/office/drawing/2014/chart" uri="{C3380CC4-5D6E-409C-BE32-E72D297353CC}">
              <c16:uniqueId val="{0000000E-81AC-40C4-AB2F-10301E1663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TH Sarabun new"/>
                <a:ea typeface="+mn-ea"/>
                <a:cs typeface="+mn-cs"/>
              </a:defRPr>
            </a:pPr>
            <a:r>
              <a:rPr lang="en-US" sz="2800" b="1">
                <a:latin typeface="TH Sarabun new"/>
              </a:rPr>
              <a:t>ENSO</a:t>
            </a:r>
            <a:r>
              <a:rPr lang="en-US" sz="2800" b="1" baseline="0">
                <a:latin typeface="TH Sarabun new"/>
              </a:rPr>
              <a:t> INDEX 2000-2010</a:t>
            </a:r>
            <a:endParaRPr lang="en-US" sz="2800" b="1">
              <a:latin typeface="TH Sarabun new"/>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TH Sarabun new"/>
              <a:ea typeface="+mn-ea"/>
              <a:cs typeface="+mn-cs"/>
            </a:defRPr>
          </a:pPr>
          <a:endParaRPr lang="th-TH"/>
        </a:p>
      </c:txPr>
    </c:title>
    <c:autoTitleDeleted val="0"/>
    <c:plotArea>
      <c:layout>
        <c:manualLayout>
          <c:layoutTarget val="inner"/>
          <c:xMode val="edge"/>
          <c:yMode val="edge"/>
          <c:x val="4.3435904536719312E-2"/>
          <c:y val="0.14063253433517656"/>
          <c:w val="0.92579628654508184"/>
          <c:h val="0.69072761481383049"/>
        </c:manualLayout>
      </c:layout>
      <c:areaChart>
        <c:grouping val="standard"/>
        <c:varyColors val="0"/>
        <c:ser>
          <c:idx val="1"/>
          <c:order val="1"/>
          <c:tx>
            <c:strRef>
              <c:f>ENSO_data!$Q$1</c:f>
              <c:strCache>
                <c:ptCount val="1"/>
                <c:pt idx="0">
                  <c:v>POSITIVE</c:v>
                </c:pt>
              </c:strCache>
            </c:strRef>
          </c:tx>
          <c:spPr>
            <a:solidFill>
              <a:srgbClr val="FF0000"/>
            </a:solidFill>
            <a:ln>
              <a:noFill/>
            </a:ln>
            <a:effectLst/>
          </c:spPr>
          <c:cat>
            <c:numRef>
              <c:f>ENSO_data!$O$2:$O$144</c:f>
              <c:numCache>
                <c:formatCode>General</c:formatCode>
                <c:ptCount val="143"/>
                <c:pt idx="0">
                  <c:v>2000</c:v>
                </c:pt>
                <c:pt idx="13">
                  <c:v>2001</c:v>
                </c:pt>
                <c:pt idx="26">
                  <c:v>2002</c:v>
                </c:pt>
                <c:pt idx="39">
                  <c:v>2003</c:v>
                </c:pt>
                <c:pt idx="52">
                  <c:v>2004</c:v>
                </c:pt>
                <c:pt idx="65">
                  <c:v>2005</c:v>
                </c:pt>
                <c:pt idx="78">
                  <c:v>2006</c:v>
                </c:pt>
                <c:pt idx="91">
                  <c:v>2007</c:v>
                </c:pt>
                <c:pt idx="104">
                  <c:v>2008</c:v>
                </c:pt>
                <c:pt idx="117">
                  <c:v>2009</c:v>
                </c:pt>
                <c:pt idx="130">
                  <c:v>2010</c:v>
                </c:pt>
              </c:numCache>
            </c:numRef>
          </c:cat>
          <c:val>
            <c:numRef>
              <c:f>ENSO_data!$Q$2:$Q$144</c:f>
              <c:numCache>
                <c:formatCode>General</c:formatCode>
                <c:ptCount val="143"/>
                <c:pt idx="1">
                  <c:v>0</c:v>
                </c:pt>
                <c:pt idx="2">
                  <c:v>0</c:v>
                </c:pt>
                <c:pt idx="3">
                  <c:v>0</c:v>
                </c:pt>
                <c:pt idx="4">
                  <c:v>0</c:v>
                </c:pt>
                <c:pt idx="5">
                  <c:v>0</c:v>
                </c:pt>
                <c:pt idx="6">
                  <c:v>0</c:v>
                </c:pt>
                <c:pt idx="7">
                  <c:v>0</c:v>
                </c:pt>
                <c:pt idx="8">
                  <c:v>0</c:v>
                </c:pt>
                <c:pt idx="9">
                  <c:v>0</c:v>
                </c:pt>
                <c:pt idx="10">
                  <c:v>0</c:v>
                </c:pt>
                <c:pt idx="11">
                  <c:v>0</c:v>
                </c:pt>
                <c:pt idx="12">
                  <c:v>0</c:v>
                </c:pt>
                <c:pt idx="14">
                  <c:v>0</c:v>
                </c:pt>
                <c:pt idx="15">
                  <c:v>0</c:v>
                </c:pt>
                <c:pt idx="16">
                  <c:v>0</c:v>
                </c:pt>
                <c:pt idx="17">
                  <c:v>0</c:v>
                </c:pt>
                <c:pt idx="18">
                  <c:v>0</c:v>
                </c:pt>
                <c:pt idx="19">
                  <c:v>0</c:v>
                </c:pt>
                <c:pt idx="20">
                  <c:v>0</c:v>
                </c:pt>
                <c:pt idx="21">
                  <c:v>0</c:v>
                </c:pt>
                <c:pt idx="22">
                  <c:v>0</c:v>
                </c:pt>
                <c:pt idx="23">
                  <c:v>0</c:v>
                </c:pt>
                <c:pt idx="24">
                  <c:v>0</c:v>
                </c:pt>
                <c:pt idx="25">
                  <c:v>0</c:v>
                </c:pt>
                <c:pt idx="27">
                  <c:v>0</c:v>
                </c:pt>
                <c:pt idx="28">
                  <c:v>0</c:v>
                </c:pt>
                <c:pt idx="29">
                  <c:v>0.1</c:v>
                </c:pt>
                <c:pt idx="30">
                  <c:v>0.2</c:v>
                </c:pt>
                <c:pt idx="31">
                  <c:v>0.4</c:v>
                </c:pt>
                <c:pt idx="32">
                  <c:v>0.7</c:v>
                </c:pt>
                <c:pt idx="33">
                  <c:v>0.8</c:v>
                </c:pt>
                <c:pt idx="34">
                  <c:v>0.9</c:v>
                </c:pt>
                <c:pt idx="35">
                  <c:v>1</c:v>
                </c:pt>
                <c:pt idx="36">
                  <c:v>1.2</c:v>
                </c:pt>
                <c:pt idx="37">
                  <c:v>1.3</c:v>
                </c:pt>
                <c:pt idx="38">
                  <c:v>1.1000000000000001</c:v>
                </c:pt>
                <c:pt idx="40">
                  <c:v>0.9</c:v>
                </c:pt>
                <c:pt idx="41">
                  <c:v>0.6</c:v>
                </c:pt>
                <c:pt idx="42">
                  <c:v>0.4</c:v>
                </c:pt>
                <c:pt idx="43">
                  <c:v>0</c:v>
                </c:pt>
                <c:pt idx="44">
                  <c:v>0</c:v>
                </c:pt>
                <c:pt idx="45">
                  <c:v>0</c:v>
                </c:pt>
                <c:pt idx="46">
                  <c:v>0.1</c:v>
                </c:pt>
                <c:pt idx="47">
                  <c:v>0.2</c:v>
                </c:pt>
                <c:pt idx="48">
                  <c:v>0.3</c:v>
                </c:pt>
                <c:pt idx="49">
                  <c:v>0.3</c:v>
                </c:pt>
                <c:pt idx="50">
                  <c:v>0.4</c:v>
                </c:pt>
                <c:pt idx="51">
                  <c:v>0.4</c:v>
                </c:pt>
                <c:pt idx="53">
                  <c:v>0.4</c:v>
                </c:pt>
                <c:pt idx="54">
                  <c:v>0.3</c:v>
                </c:pt>
                <c:pt idx="55">
                  <c:v>0.2</c:v>
                </c:pt>
                <c:pt idx="56">
                  <c:v>0.2</c:v>
                </c:pt>
                <c:pt idx="57">
                  <c:v>0.2</c:v>
                </c:pt>
                <c:pt idx="58">
                  <c:v>0.3</c:v>
                </c:pt>
                <c:pt idx="59">
                  <c:v>0.5</c:v>
                </c:pt>
                <c:pt idx="60">
                  <c:v>0.6</c:v>
                </c:pt>
                <c:pt idx="61">
                  <c:v>0.7</c:v>
                </c:pt>
                <c:pt idx="62">
                  <c:v>0.7</c:v>
                </c:pt>
                <c:pt idx="63">
                  <c:v>0.7</c:v>
                </c:pt>
                <c:pt idx="64">
                  <c:v>0.7</c:v>
                </c:pt>
                <c:pt idx="66">
                  <c:v>0.6</c:v>
                </c:pt>
                <c:pt idx="67">
                  <c:v>0.6</c:v>
                </c:pt>
                <c:pt idx="68">
                  <c:v>0.4</c:v>
                </c:pt>
                <c:pt idx="69">
                  <c:v>0.4</c:v>
                </c:pt>
                <c:pt idx="70">
                  <c:v>0.3</c:v>
                </c:pt>
                <c:pt idx="71">
                  <c:v>0.1</c:v>
                </c:pt>
                <c:pt idx="72">
                  <c:v>0</c:v>
                </c:pt>
                <c:pt idx="73">
                  <c:v>0</c:v>
                </c:pt>
                <c:pt idx="74">
                  <c:v>0</c:v>
                </c:pt>
                <c:pt idx="75">
                  <c:v>0</c:v>
                </c:pt>
                <c:pt idx="76">
                  <c:v>0</c:v>
                </c:pt>
                <c:pt idx="77">
                  <c:v>0</c:v>
                </c:pt>
                <c:pt idx="79">
                  <c:v>0</c:v>
                </c:pt>
                <c:pt idx="80">
                  <c:v>0</c:v>
                </c:pt>
                <c:pt idx="81">
                  <c:v>0</c:v>
                </c:pt>
                <c:pt idx="82">
                  <c:v>0</c:v>
                </c:pt>
                <c:pt idx="83">
                  <c:v>0</c:v>
                </c:pt>
                <c:pt idx="84">
                  <c:v>0</c:v>
                </c:pt>
                <c:pt idx="85">
                  <c:v>0.1</c:v>
                </c:pt>
                <c:pt idx="86">
                  <c:v>0.3</c:v>
                </c:pt>
                <c:pt idx="87">
                  <c:v>0.5</c:v>
                </c:pt>
                <c:pt idx="88">
                  <c:v>0.8</c:v>
                </c:pt>
                <c:pt idx="89">
                  <c:v>0.9</c:v>
                </c:pt>
                <c:pt idx="90">
                  <c:v>0.9</c:v>
                </c:pt>
                <c:pt idx="92">
                  <c:v>0.7</c:v>
                </c:pt>
                <c:pt idx="93">
                  <c:v>0.2</c:v>
                </c:pt>
                <c:pt idx="94">
                  <c:v>0</c:v>
                </c:pt>
                <c:pt idx="95">
                  <c:v>0</c:v>
                </c:pt>
                <c:pt idx="96">
                  <c:v>0</c:v>
                </c:pt>
                <c:pt idx="97">
                  <c:v>0</c:v>
                </c:pt>
                <c:pt idx="98">
                  <c:v>0</c:v>
                </c:pt>
                <c:pt idx="99">
                  <c:v>0</c:v>
                </c:pt>
                <c:pt idx="100">
                  <c:v>0</c:v>
                </c:pt>
                <c:pt idx="101">
                  <c:v>0</c:v>
                </c:pt>
                <c:pt idx="102">
                  <c:v>0</c:v>
                </c:pt>
                <c:pt idx="103">
                  <c:v>0</c:v>
                </c:pt>
                <c:pt idx="105">
                  <c:v>0</c:v>
                </c:pt>
                <c:pt idx="106">
                  <c:v>0</c:v>
                </c:pt>
                <c:pt idx="107">
                  <c:v>0</c:v>
                </c:pt>
                <c:pt idx="108">
                  <c:v>0</c:v>
                </c:pt>
                <c:pt idx="109">
                  <c:v>0</c:v>
                </c:pt>
                <c:pt idx="110">
                  <c:v>0</c:v>
                </c:pt>
                <c:pt idx="111">
                  <c:v>0</c:v>
                </c:pt>
                <c:pt idx="112">
                  <c:v>0</c:v>
                </c:pt>
                <c:pt idx="113">
                  <c:v>0</c:v>
                </c:pt>
                <c:pt idx="114">
                  <c:v>0</c:v>
                </c:pt>
                <c:pt idx="115">
                  <c:v>0</c:v>
                </c:pt>
                <c:pt idx="116">
                  <c:v>0</c:v>
                </c:pt>
                <c:pt idx="118">
                  <c:v>0</c:v>
                </c:pt>
                <c:pt idx="119">
                  <c:v>0</c:v>
                </c:pt>
                <c:pt idx="120">
                  <c:v>0</c:v>
                </c:pt>
                <c:pt idx="121">
                  <c:v>0</c:v>
                </c:pt>
                <c:pt idx="122">
                  <c:v>0</c:v>
                </c:pt>
                <c:pt idx="123">
                  <c:v>0.3</c:v>
                </c:pt>
                <c:pt idx="124">
                  <c:v>0.5</c:v>
                </c:pt>
                <c:pt idx="125">
                  <c:v>0.6</c:v>
                </c:pt>
                <c:pt idx="126">
                  <c:v>0.7</c:v>
                </c:pt>
                <c:pt idx="127">
                  <c:v>1</c:v>
                </c:pt>
                <c:pt idx="128">
                  <c:v>1.4</c:v>
                </c:pt>
                <c:pt idx="129">
                  <c:v>1.6</c:v>
                </c:pt>
                <c:pt idx="131">
                  <c:v>1.5</c:v>
                </c:pt>
                <c:pt idx="132">
                  <c:v>1.2</c:v>
                </c:pt>
                <c:pt idx="133">
                  <c:v>0.8</c:v>
                </c:pt>
                <c:pt idx="134">
                  <c:v>0.4</c:v>
                </c:pt>
                <c:pt idx="135">
                  <c:v>0</c:v>
                </c:pt>
                <c:pt idx="136">
                  <c:v>0</c:v>
                </c:pt>
                <c:pt idx="137">
                  <c:v>0</c:v>
                </c:pt>
                <c:pt idx="138">
                  <c:v>0</c:v>
                </c:pt>
                <c:pt idx="139">
                  <c:v>0</c:v>
                </c:pt>
                <c:pt idx="140">
                  <c:v>0</c:v>
                </c:pt>
                <c:pt idx="141">
                  <c:v>0</c:v>
                </c:pt>
                <c:pt idx="142">
                  <c:v>0</c:v>
                </c:pt>
              </c:numCache>
            </c:numRef>
          </c:val>
          <c:extLst>
            <c:ext xmlns:c16="http://schemas.microsoft.com/office/drawing/2014/chart" uri="{C3380CC4-5D6E-409C-BE32-E72D297353CC}">
              <c16:uniqueId val="{00000001-6EE7-42FE-85E0-692CFEC84567}"/>
            </c:ext>
          </c:extLst>
        </c:ser>
        <c:ser>
          <c:idx val="2"/>
          <c:order val="2"/>
          <c:tx>
            <c:strRef>
              <c:f>ENSO_data!$R$1</c:f>
              <c:strCache>
                <c:ptCount val="1"/>
                <c:pt idx="0">
                  <c:v>NEGATIVE</c:v>
                </c:pt>
              </c:strCache>
            </c:strRef>
          </c:tx>
          <c:spPr>
            <a:solidFill>
              <a:srgbClr val="0070C0"/>
            </a:solidFill>
            <a:ln>
              <a:noFill/>
            </a:ln>
            <a:effectLst/>
          </c:spPr>
          <c:cat>
            <c:numRef>
              <c:f>ENSO_data!$O$2:$O$144</c:f>
              <c:numCache>
                <c:formatCode>General</c:formatCode>
                <c:ptCount val="143"/>
                <c:pt idx="0">
                  <c:v>2000</c:v>
                </c:pt>
                <c:pt idx="13">
                  <c:v>2001</c:v>
                </c:pt>
                <c:pt idx="26">
                  <c:v>2002</c:v>
                </c:pt>
                <c:pt idx="39">
                  <c:v>2003</c:v>
                </c:pt>
                <c:pt idx="52">
                  <c:v>2004</c:v>
                </c:pt>
                <c:pt idx="65">
                  <c:v>2005</c:v>
                </c:pt>
                <c:pt idx="78">
                  <c:v>2006</c:v>
                </c:pt>
                <c:pt idx="91">
                  <c:v>2007</c:v>
                </c:pt>
                <c:pt idx="104">
                  <c:v>2008</c:v>
                </c:pt>
                <c:pt idx="117">
                  <c:v>2009</c:v>
                </c:pt>
                <c:pt idx="130">
                  <c:v>2010</c:v>
                </c:pt>
              </c:numCache>
            </c:numRef>
          </c:cat>
          <c:val>
            <c:numRef>
              <c:f>ENSO_data!$R$2:$R$144</c:f>
              <c:numCache>
                <c:formatCode>General</c:formatCode>
                <c:ptCount val="143"/>
                <c:pt idx="1">
                  <c:v>-1.7</c:v>
                </c:pt>
                <c:pt idx="2">
                  <c:v>-1.4</c:v>
                </c:pt>
                <c:pt idx="3">
                  <c:v>-1.1000000000000001</c:v>
                </c:pt>
                <c:pt idx="4">
                  <c:v>-0.8</c:v>
                </c:pt>
                <c:pt idx="5">
                  <c:v>-0.7</c:v>
                </c:pt>
                <c:pt idx="6">
                  <c:v>-0.6</c:v>
                </c:pt>
                <c:pt idx="7">
                  <c:v>-0.6</c:v>
                </c:pt>
                <c:pt idx="8">
                  <c:v>-0.5</c:v>
                </c:pt>
                <c:pt idx="9">
                  <c:v>-0.5</c:v>
                </c:pt>
                <c:pt idx="10">
                  <c:v>-0.6</c:v>
                </c:pt>
                <c:pt idx="11">
                  <c:v>-0.7</c:v>
                </c:pt>
                <c:pt idx="12">
                  <c:v>-0.7</c:v>
                </c:pt>
                <c:pt idx="14">
                  <c:v>-0.7</c:v>
                </c:pt>
                <c:pt idx="15">
                  <c:v>-0.5</c:v>
                </c:pt>
                <c:pt idx="16">
                  <c:v>-0.4</c:v>
                </c:pt>
                <c:pt idx="17">
                  <c:v>-0.3</c:v>
                </c:pt>
                <c:pt idx="18">
                  <c:v>-0.3</c:v>
                </c:pt>
                <c:pt idx="19">
                  <c:v>-0.1</c:v>
                </c:pt>
                <c:pt idx="20">
                  <c:v>-0.1</c:v>
                </c:pt>
                <c:pt idx="21">
                  <c:v>-0.1</c:v>
                </c:pt>
                <c:pt idx="22">
                  <c:v>-0.2</c:v>
                </c:pt>
                <c:pt idx="23">
                  <c:v>-0.3</c:v>
                </c:pt>
                <c:pt idx="24">
                  <c:v>-0.3</c:v>
                </c:pt>
                <c:pt idx="25">
                  <c:v>-0.3</c:v>
                </c:pt>
                <c:pt idx="27">
                  <c:v>-0.1</c:v>
                </c:pt>
                <c:pt idx="28">
                  <c:v>0</c:v>
                </c:pt>
                <c:pt idx="29">
                  <c:v>0</c:v>
                </c:pt>
                <c:pt idx="30">
                  <c:v>0</c:v>
                </c:pt>
                <c:pt idx="31">
                  <c:v>0</c:v>
                </c:pt>
                <c:pt idx="32">
                  <c:v>0</c:v>
                </c:pt>
                <c:pt idx="33">
                  <c:v>0</c:v>
                </c:pt>
                <c:pt idx="34">
                  <c:v>0</c:v>
                </c:pt>
                <c:pt idx="35">
                  <c:v>0</c:v>
                </c:pt>
                <c:pt idx="36">
                  <c:v>0</c:v>
                </c:pt>
                <c:pt idx="37">
                  <c:v>0</c:v>
                </c:pt>
                <c:pt idx="38">
                  <c:v>0</c:v>
                </c:pt>
                <c:pt idx="40">
                  <c:v>0</c:v>
                </c:pt>
                <c:pt idx="41">
                  <c:v>0</c:v>
                </c:pt>
                <c:pt idx="42">
                  <c:v>0</c:v>
                </c:pt>
                <c:pt idx="43">
                  <c:v>0</c:v>
                </c:pt>
                <c:pt idx="44">
                  <c:v>-0.3</c:v>
                </c:pt>
                <c:pt idx="45">
                  <c:v>-0.2</c:v>
                </c:pt>
                <c:pt idx="46">
                  <c:v>0</c:v>
                </c:pt>
                <c:pt idx="47">
                  <c:v>0</c:v>
                </c:pt>
                <c:pt idx="48">
                  <c:v>0</c:v>
                </c:pt>
                <c:pt idx="49">
                  <c:v>0</c:v>
                </c:pt>
                <c:pt idx="50">
                  <c:v>0</c:v>
                </c:pt>
                <c:pt idx="51">
                  <c:v>0</c:v>
                </c:pt>
                <c:pt idx="53">
                  <c:v>0</c:v>
                </c:pt>
                <c:pt idx="54">
                  <c:v>0</c:v>
                </c:pt>
                <c:pt idx="55">
                  <c:v>0</c:v>
                </c:pt>
                <c:pt idx="56">
                  <c:v>0</c:v>
                </c:pt>
                <c:pt idx="57">
                  <c:v>0</c:v>
                </c:pt>
                <c:pt idx="58">
                  <c:v>0</c:v>
                </c:pt>
                <c:pt idx="59">
                  <c:v>0</c:v>
                </c:pt>
                <c:pt idx="60">
                  <c:v>0</c:v>
                </c:pt>
                <c:pt idx="61">
                  <c:v>0</c:v>
                </c:pt>
                <c:pt idx="62">
                  <c:v>0</c:v>
                </c:pt>
                <c:pt idx="63">
                  <c:v>0</c:v>
                </c:pt>
                <c:pt idx="64">
                  <c:v>0</c:v>
                </c:pt>
                <c:pt idx="66">
                  <c:v>0</c:v>
                </c:pt>
                <c:pt idx="67">
                  <c:v>0</c:v>
                </c:pt>
                <c:pt idx="68">
                  <c:v>0</c:v>
                </c:pt>
                <c:pt idx="69">
                  <c:v>0</c:v>
                </c:pt>
                <c:pt idx="70">
                  <c:v>0</c:v>
                </c:pt>
                <c:pt idx="71">
                  <c:v>0</c:v>
                </c:pt>
                <c:pt idx="72">
                  <c:v>-0.1</c:v>
                </c:pt>
                <c:pt idx="73">
                  <c:v>-0.1</c:v>
                </c:pt>
                <c:pt idx="74">
                  <c:v>-0.1</c:v>
                </c:pt>
                <c:pt idx="75">
                  <c:v>-0.3</c:v>
                </c:pt>
                <c:pt idx="76">
                  <c:v>-0.6</c:v>
                </c:pt>
                <c:pt idx="77">
                  <c:v>-0.8</c:v>
                </c:pt>
                <c:pt idx="79">
                  <c:v>-0.9</c:v>
                </c:pt>
                <c:pt idx="80">
                  <c:v>-0.8</c:v>
                </c:pt>
                <c:pt idx="81">
                  <c:v>-0.6</c:v>
                </c:pt>
                <c:pt idx="82">
                  <c:v>-0.4</c:v>
                </c:pt>
                <c:pt idx="83">
                  <c:v>-0.1</c:v>
                </c:pt>
                <c:pt idx="84">
                  <c:v>0</c:v>
                </c:pt>
                <c:pt idx="85">
                  <c:v>0</c:v>
                </c:pt>
                <c:pt idx="86">
                  <c:v>0</c:v>
                </c:pt>
                <c:pt idx="87">
                  <c:v>0</c:v>
                </c:pt>
                <c:pt idx="88">
                  <c:v>0</c:v>
                </c:pt>
                <c:pt idx="89">
                  <c:v>0</c:v>
                </c:pt>
                <c:pt idx="90">
                  <c:v>0</c:v>
                </c:pt>
                <c:pt idx="92">
                  <c:v>0</c:v>
                </c:pt>
                <c:pt idx="93">
                  <c:v>0</c:v>
                </c:pt>
                <c:pt idx="94">
                  <c:v>-0.1</c:v>
                </c:pt>
                <c:pt idx="95">
                  <c:v>-0.3</c:v>
                </c:pt>
                <c:pt idx="96">
                  <c:v>-0.4</c:v>
                </c:pt>
                <c:pt idx="97">
                  <c:v>-0.5</c:v>
                </c:pt>
                <c:pt idx="98">
                  <c:v>-0.6</c:v>
                </c:pt>
                <c:pt idx="99">
                  <c:v>-0.8</c:v>
                </c:pt>
                <c:pt idx="100">
                  <c:v>-1.1000000000000001</c:v>
                </c:pt>
                <c:pt idx="101">
                  <c:v>-1.3</c:v>
                </c:pt>
                <c:pt idx="102">
                  <c:v>-1.5</c:v>
                </c:pt>
                <c:pt idx="103">
                  <c:v>-1.6</c:v>
                </c:pt>
                <c:pt idx="105">
                  <c:v>-1.6</c:v>
                </c:pt>
                <c:pt idx="106">
                  <c:v>-1.5</c:v>
                </c:pt>
                <c:pt idx="107">
                  <c:v>-1.3</c:v>
                </c:pt>
                <c:pt idx="108">
                  <c:v>-1</c:v>
                </c:pt>
                <c:pt idx="109">
                  <c:v>-0.8</c:v>
                </c:pt>
                <c:pt idx="110">
                  <c:v>-0.6</c:v>
                </c:pt>
                <c:pt idx="111">
                  <c:v>-0.4</c:v>
                </c:pt>
                <c:pt idx="112">
                  <c:v>-0.2</c:v>
                </c:pt>
                <c:pt idx="113">
                  <c:v>-0.2</c:v>
                </c:pt>
                <c:pt idx="114">
                  <c:v>-0.4</c:v>
                </c:pt>
                <c:pt idx="115">
                  <c:v>-0.6</c:v>
                </c:pt>
                <c:pt idx="116">
                  <c:v>-0.7</c:v>
                </c:pt>
                <c:pt idx="118">
                  <c:v>-0.8</c:v>
                </c:pt>
                <c:pt idx="119">
                  <c:v>-0.8</c:v>
                </c:pt>
                <c:pt idx="120">
                  <c:v>-0.6</c:v>
                </c:pt>
                <c:pt idx="121">
                  <c:v>-0.3</c:v>
                </c:pt>
                <c:pt idx="122">
                  <c:v>0</c:v>
                </c:pt>
                <c:pt idx="123">
                  <c:v>0</c:v>
                </c:pt>
                <c:pt idx="124">
                  <c:v>0</c:v>
                </c:pt>
                <c:pt idx="125">
                  <c:v>0</c:v>
                </c:pt>
                <c:pt idx="126">
                  <c:v>0</c:v>
                </c:pt>
                <c:pt idx="127">
                  <c:v>0</c:v>
                </c:pt>
                <c:pt idx="128">
                  <c:v>0</c:v>
                </c:pt>
                <c:pt idx="129">
                  <c:v>0</c:v>
                </c:pt>
                <c:pt idx="131">
                  <c:v>0</c:v>
                </c:pt>
                <c:pt idx="132">
                  <c:v>0</c:v>
                </c:pt>
                <c:pt idx="133">
                  <c:v>0</c:v>
                </c:pt>
                <c:pt idx="134">
                  <c:v>-0.2</c:v>
                </c:pt>
                <c:pt idx="135">
                  <c:v>-0.7</c:v>
                </c:pt>
                <c:pt idx="136">
                  <c:v>-1</c:v>
                </c:pt>
                <c:pt idx="137">
                  <c:v>-1.3</c:v>
                </c:pt>
                <c:pt idx="138">
                  <c:v>-1.6</c:v>
                </c:pt>
                <c:pt idx="139">
                  <c:v>-1.6</c:v>
                </c:pt>
                <c:pt idx="140">
                  <c:v>-1.6</c:v>
                </c:pt>
                <c:pt idx="141">
                  <c:v>-1.6</c:v>
                </c:pt>
                <c:pt idx="142">
                  <c:v>0</c:v>
                </c:pt>
              </c:numCache>
            </c:numRef>
          </c:val>
          <c:extLst>
            <c:ext xmlns:c16="http://schemas.microsoft.com/office/drawing/2014/chart" uri="{C3380CC4-5D6E-409C-BE32-E72D297353CC}">
              <c16:uniqueId val="{00000002-6EE7-42FE-85E0-692CFEC84567}"/>
            </c:ext>
          </c:extLst>
        </c:ser>
        <c:dLbls>
          <c:showLegendKey val="0"/>
          <c:showVal val="0"/>
          <c:showCatName val="0"/>
          <c:showSerName val="0"/>
          <c:showPercent val="0"/>
          <c:showBubbleSize val="0"/>
        </c:dLbls>
        <c:axId val="1195894432"/>
        <c:axId val="1195891104"/>
        <c:extLst>
          <c:ext xmlns:c15="http://schemas.microsoft.com/office/drawing/2012/chart" uri="{02D57815-91ED-43cb-92C2-25804820EDAC}">
            <c15:filteredAreaSeries>
              <c15:ser>
                <c:idx val="0"/>
                <c:order val="0"/>
                <c:tx>
                  <c:v>ปี/เดือน</c:v>
                </c:tx>
                <c:spPr>
                  <a:solidFill>
                    <a:schemeClr val="accent1"/>
                  </a:solidFill>
                  <a:ln>
                    <a:noFill/>
                  </a:ln>
                  <a:effectLst/>
                </c:spPr>
                <c:cat>
                  <c:numRef>
                    <c:extLst>
                      <c:ext uri="{02D57815-91ED-43cb-92C2-25804820EDAC}">
                        <c15:formulaRef>
                          <c15:sqref>ENSO_data!$O$2:$O$144</c15:sqref>
                        </c15:formulaRef>
                      </c:ext>
                    </c:extLst>
                    <c:numCache>
                      <c:formatCode>General</c:formatCode>
                      <c:ptCount val="143"/>
                      <c:pt idx="0">
                        <c:v>2000</c:v>
                      </c:pt>
                      <c:pt idx="13">
                        <c:v>2001</c:v>
                      </c:pt>
                      <c:pt idx="26">
                        <c:v>2002</c:v>
                      </c:pt>
                      <c:pt idx="39">
                        <c:v>2003</c:v>
                      </c:pt>
                      <c:pt idx="52">
                        <c:v>2004</c:v>
                      </c:pt>
                      <c:pt idx="65">
                        <c:v>2005</c:v>
                      </c:pt>
                      <c:pt idx="78">
                        <c:v>2006</c:v>
                      </c:pt>
                      <c:pt idx="91">
                        <c:v>2007</c:v>
                      </c:pt>
                      <c:pt idx="104">
                        <c:v>2008</c:v>
                      </c:pt>
                      <c:pt idx="117">
                        <c:v>2009</c:v>
                      </c:pt>
                      <c:pt idx="130">
                        <c:v>2010</c:v>
                      </c:pt>
                    </c:numCache>
                  </c:numRef>
                </c:cat>
                <c:val>
                  <c:numRef>
                    <c:extLst>
                      <c:ext uri="{02D57815-91ED-43cb-92C2-25804820EDAC}">
                        <c15:formulaRef>
                          <c15:sqref>ENSO_data!$P$2:$P$144</c15:sqref>
                        </c15:formulaRef>
                      </c:ext>
                    </c:extLst>
                    <c:numCache>
                      <c:formatCode>0.0</c:formatCode>
                      <c:ptCount val="143"/>
                      <c:pt idx="1">
                        <c:v>-1.7</c:v>
                      </c:pt>
                      <c:pt idx="2">
                        <c:v>-1.4</c:v>
                      </c:pt>
                      <c:pt idx="3">
                        <c:v>-1.1000000000000001</c:v>
                      </c:pt>
                      <c:pt idx="4">
                        <c:v>-0.8</c:v>
                      </c:pt>
                      <c:pt idx="5">
                        <c:v>-0.7</c:v>
                      </c:pt>
                      <c:pt idx="6">
                        <c:v>-0.6</c:v>
                      </c:pt>
                      <c:pt idx="7">
                        <c:v>-0.6</c:v>
                      </c:pt>
                      <c:pt idx="8">
                        <c:v>-0.5</c:v>
                      </c:pt>
                      <c:pt idx="9">
                        <c:v>-0.5</c:v>
                      </c:pt>
                      <c:pt idx="10">
                        <c:v>-0.6</c:v>
                      </c:pt>
                      <c:pt idx="11">
                        <c:v>-0.7</c:v>
                      </c:pt>
                      <c:pt idx="12">
                        <c:v>-0.7</c:v>
                      </c:pt>
                      <c:pt idx="14">
                        <c:v>-0.7</c:v>
                      </c:pt>
                      <c:pt idx="15">
                        <c:v>-0.5</c:v>
                      </c:pt>
                      <c:pt idx="16">
                        <c:v>-0.4</c:v>
                      </c:pt>
                      <c:pt idx="17">
                        <c:v>-0.3</c:v>
                      </c:pt>
                      <c:pt idx="18">
                        <c:v>-0.3</c:v>
                      </c:pt>
                      <c:pt idx="19">
                        <c:v>-0.1</c:v>
                      </c:pt>
                      <c:pt idx="20">
                        <c:v>-0.1</c:v>
                      </c:pt>
                      <c:pt idx="21">
                        <c:v>-0.1</c:v>
                      </c:pt>
                      <c:pt idx="22">
                        <c:v>-0.2</c:v>
                      </c:pt>
                      <c:pt idx="23">
                        <c:v>-0.3</c:v>
                      </c:pt>
                      <c:pt idx="24">
                        <c:v>-0.3</c:v>
                      </c:pt>
                      <c:pt idx="25">
                        <c:v>-0.3</c:v>
                      </c:pt>
                      <c:pt idx="27">
                        <c:v>-0.1</c:v>
                      </c:pt>
                      <c:pt idx="28">
                        <c:v>0</c:v>
                      </c:pt>
                      <c:pt idx="29">
                        <c:v>0.1</c:v>
                      </c:pt>
                      <c:pt idx="30">
                        <c:v>0.2</c:v>
                      </c:pt>
                      <c:pt idx="31">
                        <c:v>0.4</c:v>
                      </c:pt>
                      <c:pt idx="32">
                        <c:v>0.7</c:v>
                      </c:pt>
                      <c:pt idx="33">
                        <c:v>0.8</c:v>
                      </c:pt>
                      <c:pt idx="34">
                        <c:v>0.9</c:v>
                      </c:pt>
                      <c:pt idx="35">
                        <c:v>1</c:v>
                      </c:pt>
                      <c:pt idx="36">
                        <c:v>1.2</c:v>
                      </c:pt>
                      <c:pt idx="37">
                        <c:v>1.3</c:v>
                      </c:pt>
                      <c:pt idx="38">
                        <c:v>1.1000000000000001</c:v>
                      </c:pt>
                      <c:pt idx="40">
                        <c:v>0.9</c:v>
                      </c:pt>
                      <c:pt idx="41">
                        <c:v>0.6</c:v>
                      </c:pt>
                      <c:pt idx="42">
                        <c:v>0.4</c:v>
                      </c:pt>
                      <c:pt idx="43">
                        <c:v>0</c:v>
                      </c:pt>
                      <c:pt idx="44">
                        <c:v>-0.3</c:v>
                      </c:pt>
                      <c:pt idx="45">
                        <c:v>-0.2</c:v>
                      </c:pt>
                      <c:pt idx="46">
                        <c:v>0.1</c:v>
                      </c:pt>
                      <c:pt idx="47">
                        <c:v>0.2</c:v>
                      </c:pt>
                      <c:pt idx="48">
                        <c:v>0.3</c:v>
                      </c:pt>
                      <c:pt idx="49">
                        <c:v>0.3</c:v>
                      </c:pt>
                      <c:pt idx="50">
                        <c:v>0.4</c:v>
                      </c:pt>
                      <c:pt idx="51">
                        <c:v>0.4</c:v>
                      </c:pt>
                      <c:pt idx="53">
                        <c:v>0.4</c:v>
                      </c:pt>
                      <c:pt idx="54">
                        <c:v>0.3</c:v>
                      </c:pt>
                      <c:pt idx="55">
                        <c:v>0.2</c:v>
                      </c:pt>
                      <c:pt idx="56">
                        <c:v>0.2</c:v>
                      </c:pt>
                      <c:pt idx="57">
                        <c:v>0.2</c:v>
                      </c:pt>
                      <c:pt idx="58">
                        <c:v>0.3</c:v>
                      </c:pt>
                      <c:pt idx="59">
                        <c:v>0.5</c:v>
                      </c:pt>
                      <c:pt idx="60">
                        <c:v>0.6</c:v>
                      </c:pt>
                      <c:pt idx="61">
                        <c:v>0.7</c:v>
                      </c:pt>
                      <c:pt idx="62">
                        <c:v>0.7</c:v>
                      </c:pt>
                      <c:pt idx="63">
                        <c:v>0.7</c:v>
                      </c:pt>
                      <c:pt idx="64">
                        <c:v>0.7</c:v>
                      </c:pt>
                      <c:pt idx="66">
                        <c:v>0.6</c:v>
                      </c:pt>
                      <c:pt idx="67">
                        <c:v>0.6</c:v>
                      </c:pt>
                      <c:pt idx="68">
                        <c:v>0.4</c:v>
                      </c:pt>
                      <c:pt idx="69">
                        <c:v>0.4</c:v>
                      </c:pt>
                      <c:pt idx="70">
                        <c:v>0.3</c:v>
                      </c:pt>
                      <c:pt idx="71">
                        <c:v>0.1</c:v>
                      </c:pt>
                      <c:pt idx="72">
                        <c:v>-0.1</c:v>
                      </c:pt>
                      <c:pt idx="73">
                        <c:v>-0.1</c:v>
                      </c:pt>
                      <c:pt idx="74">
                        <c:v>-0.1</c:v>
                      </c:pt>
                      <c:pt idx="75">
                        <c:v>-0.3</c:v>
                      </c:pt>
                      <c:pt idx="76">
                        <c:v>-0.6</c:v>
                      </c:pt>
                      <c:pt idx="77">
                        <c:v>-0.8</c:v>
                      </c:pt>
                      <c:pt idx="79">
                        <c:v>-0.9</c:v>
                      </c:pt>
                      <c:pt idx="80">
                        <c:v>-0.8</c:v>
                      </c:pt>
                      <c:pt idx="81">
                        <c:v>-0.6</c:v>
                      </c:pt>
                      <c:pt idx="82">
                        <c:v>-0.4</c:v>
                      </c:pt>
                      <c:pt idx="83">
                        <c:v>-0.1</c:v>
                      </c:pt>
                      <c:pt idx="84">
                        <c:v>0</c:v>
                      </c:pt>
                      <c:pt idx="85">
                        <c:v>0.1</c:v>
                      </c:pt>
                      <c:pt idx="86">
                        <c:v>0.3</c:v>
                      </c:pt>
                      <c:pt idx="87">
                        <c:v>0.5</c:v>
                      </c:pt>
                      <c:pt idx="88">
                        <c:v>0.8</c:v>
                      </c:pt>
                      <c:pt idx="89">
                        <c:v>0.9</c:v>
                      </c:pt>
                      <c:pt idx="90">
                        <c:v>0.9</c:v>
                      </c:pt>
                      <c:pt idx="92">
                        <c:v>0.7</c:v>
                      </c:pt>
                      <c:pt idx="93">
                        <c:v>0.2</c:v>
                      </c:pt>
                      <c:pt idx="94">
                        <c:v>-0.1</c:v>
                      </c:pt>
                      <c:pt idx="95">
                        <c:v>-0.3</c:v>
                      </c:pt>
                      <c:pt idx="96">
                        <c:v>-0.4</c:v>
                      </c:pt>
                      <c:pt idx="97">
                        <c:v>-0.5</c:v>
                      </c:pt>
                      <c:pt idx="98">
                        <c:v>-0.6</c:v>
                      </c:pt>
                      <c:pt idx="99">
                        <c:v>-0.8</c:v>
                      </c:pt>
                      <c:pt idx="100">
                        <c:v>-1.1000000000000001</c:v>
                      </c:pt>
                      <c:pt idx="101">
                        <c:v>-1.3</c:v>
                      </c:pt>
                      <c:pt idx="102">
                        <c:v>-1.5</c:v>
                      </c:pt>
                      <c:pt idx="103">
                        <c:v>-1.6</c:v>
                      </c:pt>
                      <c:pt idx="105">
                        <c:v>-1.6</c:v>
                      </c:pt>
                      <c:pt idx="106">
                        <c:v>-1.5</c:v>
                      </c:pt>
                      <c:pt idx="107">
                        <c:v>-1.3</c:v>
                      </c:pt>
                      <c:pt idx="108">
                        <c:v>-1</c:v>
                      </c:pt>
                      <c:pt idx="109">
                        <c:v>-0.8</c:v>
                      </c:pt>
                      <c:pt idx="110">
                        <c:v>-0.6</c:v>
                      </c:pt>
                      <c:pt idx="111">
                        <c:v>-0.4</c:v>
                      </c:pt>
                      <c:pt idx="112">
                        <c:v>-0.2</c:v>
                      </c:pt>
                      <c:pt idx="113">
                        <c:v>-0.2</c:v>
                      </c:pt>
                      <c:pt idx="114">
                        <c:v>-0.4</c:v>
                      </c:pt>
                      <c:pt idx="115">
                        <c:v>-0.6</c:v>
                      </c:pt>
                      <c:pt idx="116">
                        <c:v>-0.7</c:v>
                      </c:pt>
                      <c:pt idx="118">
                        <c:v>-0.8</c:v>
                      </c:pt>
                      <c:pt idx="119">
                        <c:v>-0.8</c:v>
                      </c:pt>
                      <c:pt idx="120">
                        <c:v>-0.6</c:v>
                      </c:pt>
                      <c:pt idx="121">
                        <c:v>-0.3</c:v>
                      </c:pt>
                      <c:pt idx="122">
                        <c:v>0</c:v>
                      </c:pt>
                      <c:pt idx="123">
                        <c:v>0.3</c:v>
                      </c:pt>
                      <c:pt idx="124">
                        <c:v>0.5</c:v>
                      </c:pt>
                      <c:pt idx="125">
                        <c:v>0.6</c:v>
                      </c:pt>
                      <c:pt idx="126">
                        <c:v>0.7</c:v>
                      </c:pt>
                      <c:pt idx="127">
                        <c:v>1</c:v>
                      </c:pt>
                      <c:pt idx="128">
                        <c:v>1.4</c:v>
                      </c:pt>
                      <c:pt idx="129">
                        <c:v>1.6</c:v>
                      </c:pt>
                      <c:pt idx="131">
                        <c:v>1.5</c:v>
                      </c:pt>
                      <c:pt idx="132">
                        <c:v>1.2</c:v>
                      </c:pt>
                      <c:pt idx="133">
                        <c:v>0.8</c:v>
                      </c:pt>
                      <c:pt idx="134">
                        <c:v>0.4</c:v>
                      </c:pt>
                      <c:pt idx="135">
                        <c:v>-0.2</c:v>
                      </c:pt>
                      <c:pt idx="136">
                        <c:v>-0.7</c:v>
                      </c:pt>
                      <c:pt idx="137">
                        <c:v>-1</c:v>
                      </c:pt>
                      <c:pt idx="138">
                        <c:v>-1.3</c:v>
                      </c:pt>
                      <c:pt idx="139">
                        <c:v>-1.6</c:v>
                      </c:pt>
                      <c:pt idx="140">
                        <c:v>-1.6</c:v>
                      </c:pt>
                      <c:pt idx="141">
                        <c:v>-1.6</c:v>
                      </c:pt>
                      <c:pt idx="142">
                        <c:v>-1.6</c:v>
                      </c:pt>
                    </c:numCache>
                  </c:numRef>
                </c:val>
                <c:extLst>
                  <c:ext xmlns:c16="http://schemas.microsoft.com/office/drawing/2014/chart" uri="{C3380CC4-5D6E-409C-BE32-E72D297353CC}">
                    <c16:uniqueId val="{00000000-6EE7-42FE-85E0-692CFEC84567}"/>
                  </c:ext>
                </c:extLst>
              </c15:ser>
            </c15:filteredAreaSeries>
          </c:ext>
        </c:extLst>
      </c:areaChart>
      <c:catAx>
        <c:axId val="1195894432"/>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95891104"/>
        <c:crosses val="autoZero"/>
        <c:auto val="1"/>
        <c:lblAlgn val="ctr"/>
        <c:lblOffset val="100"/>
        <c:noMultiLvlLbl val="0"/>
      </c:catAx>
      <c:valAx>
        <c:axId val="119589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95894432"/>
        <c:crosses val="autoZero"/>
        <c:crossBetween val="midCat"/>
      </c:valAx>
      <c:spPr>
        <a:noFill/>
        <a:ln>
          <a:noFill/>
        </a:ln>
        <a:effectLst/>
      </c:spPr>
    </c:plotArea>
    <c:legend>
      <c:legendPos val="b"/>
      <c:layout>
        <c:manualLayout>
          <c:xMode val="edge"/>
          <c:yMode val="edge"/>
          <c:x val="0.43636209951332966"/>
          <c:y val="0.91638374058381122"/>
          <c:w val="0.12493213238766096"/>
          <c:h val="5.00363758117386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th-TH" sz="2000">
                <a:latin typeface="Angsana New" panose="02020603050405020304" pitchFamily="18" charset="-34"/>
                <a:cs typeface="Angsana New" panose="02020603050405020304" pitchFamily="18" charset="-34"/>
              </a:rPr>
              <a:t>ข้อมูลภูมิอากาศสถานี</a:t>
            </a:r>
            <a:r>
              <a:rPr lang="th-TH" sz="2000" baseline="0">
                <a:latin typeface="Angsana New" panose="02020603050405020304" pitchFamily="18" charset="-34"/>
                <a:cs typeface="Angsana New" panose="02020603050405020304" pitchFamily="18" charset="-34"/>
              </a:rPr>
              <a:t>จังหวัดปัตตานี ในช่วง 2551-2560</a:t>
            </a:r>
            <a:endParaRPr lang="en-US" sz="2000">
              <a:latin typeface="Angsana New" panose="02020603050405020304" pitchFamily="18" charset="-34"/>
              <a:cs typeface="Angsana New" panose="02020603050405020304" pitchFamily="18" charset="-34"/>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9.7994254970826269E-2"/>
          <c:y val="0.20973246446454219"/>
          <c:w val="0.81450153630890698"/>
          <c:h val="0.5843281289337684"/>
        </c:manualLayout>
      </c:layout>
      <c:barChart>
        <c:barDir val="col"/>
        <c:grouping val="clustered"/>
        <c:varyColors val="0"/>
        <c:ser>
          <c:idx val="0"/>
          <c:order val="0"/>
          <c:tx>
            <c:strRef>
              <c:f>Temperature_graph!$A$12</c:f>
              <c:strCache>
                <c:ptCount val="1"/>
                <c:pt idx="0">
                  <c:v>อุณหภูมิเฉลี่ย</c:v>
                </c:pt>
              </c:strCache>
            </c:strRef>
          </c:tx>
          <c:spPr>
            <a:solidFill>
              <a:schemeClr val="accent4">
                <a:lumMod val="20000"/>
                <a:lumOff val="80000"/>
              </a:schemeClr>
            </a:solidFill>
            <a:ln>
              <a:solidFill>
                <a:schemeClr val="accent4">
                  <a:lumMod val="40000"/>
                  <a:lumOff val="60000"/>
                </a:schemeClr>
              </a:solid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CE3F-4F8F-89A1-77CA8ECE24B2}"/>
            </c:ext>
          </c:extLst>
        </c:ser>
        <c:dLbls>
          <c:showLegendKey val="0"/>
          <c:showVal val="0"/>
          <c:showCatName val="0"/>
          <c:showSerName val="0"/>
          <c:showPercent val="0"/>
          <c:showBubbleSize val="0"/>
        </c:dLbls>
        <c:gapWidth val="11"/>
        <c:axId val="1691484191"/>
        <c:axId val="1691501663"/>
      </c:barChart>
      <c:lineChart>
        <c:grouping val="standard"/>
        <c:varyColors val="0"/>
        <c:ser>
          <c:idx val="1"/>
          <c:order val="1"/>
          <c:tx>
            <c:strRef>
              <c:f>Temperature_graph!$A$13</c:f>
              <c:strCache>
                <c:ptCount val="1"/>
                <c:pt idx="0">
                  <c:v>ปริมาณน้ำฝนเฉลี่ยรายเดือน</c:v>
                </c:pt>
              </c:strCache>
            </c:strRef>
          </c:tx>
          <c:spPr>
            <a:ln w="28575" cap="rnd">
              <a:solidFill>
                <a:srgbClr val="FF0000"/>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CE3F-4F8F-89A1-77CA8ECE24B2}"/>
            </c:ext>
          </c:extLst>
        </c:ser>
        <c:dLbls>
          <c:showLegendKey val="0"/>
          <c:showVal val="0"/>
          <c:showCatName val="0"/>
          <c:showSerName val="0"/>
          <c:showPercent val="0"/>
          <c:showBubbleSize val="0"/>
        </c:dLbls>
        <c:marker val="1"/>
        <c:smooth val="0"/>
        <c:axId val="1734333759"/>
        <c:axId val="1734331679"/>
      </c:lineChart>
      <c:catAx>
        <c:axId val="169148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91501663"/>
        <c:crosses val="autoZero"/>
        <c:auto val="1"/>
        <c:lblAlgn val="ctr"/>
        <c:lblOffset val="100"/>
        <c:noMultiLvlLbl val="0"/>
      </c:catAx>
      <c:valAx>
        <c:axId val="169150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691484191"/>
        <c:crosses val="autoZero"/>
        <c:crossBetween val="between"/>
      </c:valAx>
      <c:valAx>
        <c:axId val="1734331679"/>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734333759"/>
        <c:crosses val="max"/>
        <c:crossBetween val="between"/>
      </c:valAx>
      <c:catAx>
        <c:axId val="1734333759"/>
        <c:scaling>
          <c:orientation val="minMax"/>
        </c:scaling>
        <c:delete val="1"/>
        <c:axPos val="b"/>
        <c:majorTickMark val="out"/>
        <c:minorTickMark val="none"/>
        <c:tickLblPos val="nextTo"/>
        <c:crossAx val="17343316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133350</xdr:colOff>
      <xdr:row>5</xdr:row>
      <xdr:rowOff>0</xdr:rowOff>
    </xdr:from>
    <xdr:to>
      <xdr:col>7</xdr:col>
      <xdr:colOff>588573</xdr:colOff>
      <xdr:row>10</xdr:row>
      <xdr:rowOff>60385</xdr:rowOff>
    </xdr:to>
    <xdr:sp macro="" textlink="">
      <xdr:nvSpPr>
        <xdr:cNvPr id="2" name="Rectangle: Rounded Corners 1">
          <a:extLst>
            <a:ext uri="{FF2B5EF4-FFF2-40B4-BE49-F238E27FC236}">
              <a16:creationId xmlns:a16="http://schemas.microsoft.com/office/drawing/2014/main" id="{A25469CD-EBDF-40AF-BE6A-3A1D4E5AD7C7}"/>
            </a:ext>
          </a:extLst>
        </xdr:cNvPr>
        <xdr:cNvSpPr/>
      </xdr:nvSpPr>
      <xdr:spPr>
        <a:xfrm>
          <a:off x="2876550" y="1238250"/>
          <a:ext cx="2512623" cy="965260"/>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4</xdr:col>
      <xdr:colOff>520700</xdr:colOff>
      <xdr:row>5</xdr:row>
      <xdr:rowOff>109904</xdr:rowOff>
    </xdr:from>
    <xdr:to>
      <xdr:col>7</xdr:col>
      <xdr:colOff>157938</xdr:colOff>
      <xdr:row>7</xdr:row>
      <xdr:rowOff>70754</xdr:rowOff>
    </xdr:to>
    <xdr:sp macro="" textlink="">
      <xdr:nvSpPr>
        <xdr:cNvPr id="3" name="TextBox 2">
          <a:extLst>
            <a:ext uri="{FF2B5EF4-FFF2-40B4-BE49-F238E27FC236}">
              <a16:creationId xmlns:a16="http://schemas.microsoft.com/office/drawing/2014/main" id="{1B7C8494-1932-400C-98FB-D9E2D0643094}"/>
            </a:ext>
          </a:extLst>
        </xdr:cNvPr>
        <xdr:cNvSpPr txBox="1"/>
      </xdr:nvSpPr>
      <xdr:spPr>
        <a:xfrm>
          <a:off x="3263900" y="1348154"/>
          <a:ext cx="1694638" cy="3228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400"/>
            <a:t>ประชากรทั้งหมด</a:t>
          </a:r>
        </a:p>
      </xdr:txBody>
    </xdr:sp>
    <xdr:clientData/>
  </xdr:twoCellAnchor>
  <xdr:twoCellAnchor>
    <xdr:from>
      <xdr:col>5</xdr:col>
      <xdr:colOff>71108</xdr:colOff>
      <xdr:row>7</xdr:row>
      <xdr:rowOff>52862</xdr:rowOff>
    </xdr:from>
    <xdr:to>
      <xdr:col>6</xdr:col>
      <xdr:colOff>573949</xdr:colOff>
      <xdr:row>9</xdr:row>
      <xdr:rowOff>105723</xdr:rowOff>
    </xdr:to>
    <xdr:sp macro="" textlink="PIVOT3!B56">
      <xdr:nvSpPr>
        <xdr:cNvPr id="4" name="TextBox 3">
          <a:extLst>
            <a:ext uri="{FF2B5EF4-FFF2-40B4-BE49-F238E27FC236}">
              <a16:creationId xmlns:a16="http://schemas.microsoft.com/office/drawing/2014/main" id="{98E2B0D6-28D8-46BD-9AB7-2FD1AB5436A4}"/>
            </a:ext>
          </a:extLst>
        </xdr:cNvPr>
        <xdr:cNvSpPr txBox="1"/>
      </xdr:nvSpPr>
      <xdr:spPr>
        <a:xfrm>
          <a:off x="3500108" y="1653062"/>
          <a:ext cx="1188641" cy="414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F2EC63-025B-4EBA-8D07-087C73CC6A41}" type="TxLink">
            <a:rPr lang="en-US" sz="1600" b="0" i="0" u="none" strike="noStrike">
              <a:solidFill>
                <a:srgbClr val="000000"/>
              </a:solidFill>
              <a:latin typeface="Tahoma"/>
              <a:ea typeface="Tahoma"/>
              <a:cs typeface="Tahoma"/>
            </a:rPr>
            <a:pPr algn="ctr"/>
            <a:t>6,268,936</a:t>
          </a:fld>
          <a:endParaRPr lang="en-US" sz="1600"/>
        </a:p>
      </xdr:txBody>
    </xdr:sp>
    <xdr:clientData/>
  </xdr:twoCellAnchor>
  <xdr:twoCellAnchor>
    <xdr:from>
      <xdr:col>9</xdr:col>
      <xdr:colOff>571500</xdr:colOff>
      <xdr:row>4</xdr:row>
      <xdr:rowOff>171450</xdr:rowOff>
    </xdr:from>
    <xdr:to>
      <xdr:col>13</xdr:col>
      <xdr:colOff>343130</xdr:colOff>
      <xdr:row>10</xdr:row>
      <xdr:rowOff>51503</xdr:rowOff>
    </xdr:to>
    <xdr:sp macro="" textlink="">
      <xdr:nvSpPr>
        <xdr:cNvPr id="5" name="Rectangle: Rounded Corners 4">
          <a:extLst>
            <a:ext uri="{FF2B5EF4-FFF2-40B4-BE49-F238E27FC236}">
              <a16:creationId xmlns:a16="http://schemas.microsoft.com/office/drawing/2014/main" id="{D1FA21BC-92A9-4AC5-BD2F-1345323D1C70}"/>
            </a:ext>
          </a:extLst>
        </xdr:cNvPr>
        <xdr:cNvSpPr/>
      </xdr:nvSpPr>
      <xdr:spPr>
        <a:xfrm>
          <a:off x="6743700" y="1228725"/>
          <a:ext cx="2514830" cy="965903"/>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10</xdr:col>
      <xdr:colOff>304621</xdr:colOff>
      <xdr:row>5</xdr:row>
      <xdr:rowOff>88810</xdr:rowOff>
    </xdr:from>
    <xdr:to>
      <xdr:col>12</xdr:col>
      <xdr:colOff>626374</xdr:colOff>
      <xdr:row>7</xdr:row>
      <xdr:rowOff>49660</xdr:rowOff>
    </xdr:to>
    <xdr:sp macro="" textlink="">
      <xdr:nvSpPr>
        <xdr:cNvPr id="6" name="TextBox 5">
          <a:extLst>
            <a:ext uri="{FF2B5EF4-FFF2-40B4-BE49-F238E27FC236}">
              <a16:creationId xmlns:a16="http://schemas.microsoft.com/office/drawing/2014/main" id="{E73EA2A6-4EF8-46E6-A0A2-04E9402C55BA}"/>
            </a:ext>
          </a:extLst>
        </xdr:cNvPr>
        <xdr:cNvSpPr txBox="1"/>
      </xdr:nvSpPr>
      <xdr:spPr>
        <a:xfrm>
          <a:off x="7162621" y="1327060"/>
          <a:ext cx="1693353" cy="3228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400"/>
            <a:t>ประชากรชายทั้งหมด</a:t>
          </a:r>
        </a:p>
      </xdr:txBody>
    </xdr:sp>
    <xdr:clientData/>
  </xdr:twoCellAnchor>
  <xdr:twoCellAnchor>
    <xdr:from>
      <xdr:col>10</xdr:col>
      <xdr:colOff>280055</xdr:colOff>
      <xdr:row>7</xdr:row>
      <xdr:rowOff>19157</xdr:rowOff>
    </xdr:from>
    <xdr:to>
      <xdr:col>12</xdr:col>
      <xdr:colOff>606751</xdr:colOff>
      <xdr:row>9</xdr:row>
      <xdr:rowOff>145298</xdr:rowOff>
    </xdr:to>
    <xdr:sp macro="" textlink="PIVOT3!B57">
      <xdr:nvSpPr>
        <xdr:cNvPr id="7" name="TextBox 6">
          <a:extLst>
            <a:ext uri="{FF2B5EF4-FFF2-40B4-BE49-F238E27FC236}">
              <a16:creationId xmlns:a16="http://schemas.microsoft.com/office/drawing/2014/main" id="{2CEF8319-6DC1-4B84-A1EB-4EE5537F11CA}"/>
            </a:ext>
          </a:extLst>
        </xdr:cNvPr>
        <xdr:cNvSpPr txBox="1"/>
      </xdr:nvSpPr>
      <xdr:spPr>
        <a:xfrm>
          <a:off x="7138055" y="1619357"/>
          <a:ext cx="1698296" cy="488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4149BE-EDE2-4CE3-AC5D-CC129B816C27}" type="TxLink">
            <a:rPr lang="en-US" sz="1600" b="0" i="0" u="none" strike="noStrike">
              <a:solidFill>
                <a:srgbClr val="000000"/>
              </a:solidFill>
              <a:latin typeface="Tahoma"/>
              <a:ea typeface="Tahoma"/>
              <a:cs typeface="Tahoma"/>
            </a:rPr>
            <a:pPr marL="0" indent="0" algn="ctr"/>
            <a:t>3,040,738</a:t>
          </a:fld>
          <a:endParaRPr lang="en-US" sz="1600" b="0" i="0" u="none" strike="noStrike">
            <a:solidFill>
              <a:srgbClr val="000000"/>
            </a:solidFill>
            <a:latin typeface="Tahoma"/>
            <a:ea typeface="Tahoma"/>
            <a:cs typeface="Tahoma"/>
          </a:endParaRPr>
        </a:p>
      </xdr:txBody>
    </xdr:sp>
    <xdr:clientData/>
  </xdr:twoCellAnchor>
  <xdr:twoCellAnchor>
    <xdr:from>
      <xdr:col>15</xdr:col>
      <xdr:colOff>352425</xdr:colOff>
      <xdr:row>4</xdr:row>
      <xdr:rowOff>171450</xdr:rowOff>
    </xdr:from>
    <xdr:to>
      <xdr:col>19</xdr:col>
      <xdr:colOff>127851</xdr:colOff>
      <xdr:row>10</xdr:row>
      <xdr:rowOff>15510</xdr:rowOff>
    </xdr:to>
    <xdr:sp macro="" textlink="">
      <xdr:nvSpPr>
        <xdr:cNvPr id="8" name="Rectangle: Rounded Corners 7">
          <a:extLst>
            <a:ext uri="{FF2B5EF4-FFF2-40B4-BE49-F238E27FC236}">
              <a16:creationId xmlns:a16="http://schemas.microsoft.com/office/drawing/2014/main" id="{09F33F06-6FDB-4541-9381-417D08752639}"/>
            </a:ext>
          </a:extLst>
        </xdr:cNvPr>
        <xdr:cNvSpPr/>
      </xdr:nvSpPr>
      <xdr:spPr>
        <a:xfrm>
          <a:off x="10639425" y="1228725"/>
          <a:ext cx="2518626" cy="929910"/>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16</xdr:col>
      <xdr:colOff>63318</xdr:colOff>
      <xdr:row>5</xdr:row>
      <xdr:rowOff>82082</xdr:rowOff>
    </xdr:from>
    <xdr:to>
      <xdr:col>18</xdr:col>
      <xdr:colOff>475635</xdr:colOff>
      <xdr:row>7</xdr:row>
      <xdr:rowOff>32301</xdr:rowOff>
    </xdr:to>
    <xdr:sp macro="" textlink="">
      <xdr:nvSpPr>
        <xdr:cNvPr id="9" name="TextBox 8">
          <a:extLst>
            <a:ext uri="{FF2B5EF4-FFF2-40B4-BE49-F238E27FC236}">
              <a16:creationId xmlns:a16="http://schemas.microsoft.com/office/drawing/2014/main" id="{FF7B1A4A-4265-42DB-8993-9A15BA5771B5}"/>
            </a:ext>
          </a:extLst>
        </xdr:cNvPr>
        <xdr:cNvSpPr txBox="1"/>
      </xdr:nvSpPr>
      <xdr:spPr>
        <a:xfrm>
          <a:off x="11036118" y="1320332"/>
          <a:ext cx="1783917" cy="31216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400"/>
            <a:t>ประชากรหญิงทั้งหมด</a:t>
          </a:r>
        </a:p>
      </xdr:txBody>
    </xdr:sp>
    <xdr:clientData/>
  </xdr:twoCellAnchor>
  <xdr:twoCellAnchor>
    <xdr:from>
      <xdr:col>16</xdr:col>
      <xdr:colOff>384603</xdr:colOff>
      <xdr:row>7</xdr:row>
      <xdr:rowOff>29198</xdr:rowOff>
    </xdr:from>
    <xdr:to>
      <xdr:col>18</xdr:col>
      <xdr:colOff>66480</xdr:colOff>
      <xdr:row>9</xdr:row>
      <xdr:rowOff>71428</xdr:rowOff>
    </xdr:to>
    <xdr:sp macro="" textlink="PIVOT3!B58">
      <xdr:nvSpPr>
        <xdr:cNvPr id="10" name="TextBox 9">
          <a:extLst>
            <a:ext uri="{FF2B5EF4-FFF2-40B4-BE49-F238E27FC236}">
              <a16:creationId xmlns:a16="http://schemas.microsoft.com/office/drawing/2014/main" id="{3DAD8045-A730-4E69-B9B4-E0E61505DF7F}"/>
            </a:ext>
          </a:extLst>
        </xdr:cNvPr>
        <xdr:cNvSpPr txBox="1"/>
      </xdr:nvSpPr>
      <xdr:spPr>
        <a:xfrm>
          <a:off x="11433603" y="1612729"/>
          <a:ext cx="1063002" cy="399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AE7F03-E01B-42F9-A943-0F0E10DEFA9B}" type="TxLink">
            <a:rPr lang="en-US" sz="1600" b="0" i="0" u="none" strike="noStrike">
              <a:solidFill>
                <a:srgbClr val="000000"/>
              </a:solidFill>
              <a:latin typeface="Tahoma"/>
              <a:ea typeface="Tahoma"/>
              <a:cs typeface="Tahoma"/>
            </a:rPr>
            <a:pPr marL="0" indent="0" algn="ctr"/>
            <a:t>3,228,198</a:t>
          </a:fld>
          <a:endParaRPr lang="en-US" sz="1600" b="0" i="0" u="none" strike="noStrike">
            <a:solidFill>
              <a:srgbClr val="000000"/>
            </a:solidFill>
            <a:latin typeface="Tahoma"/>
            <a:ea typeface="Tahoma"/>
            <a:cs typeface="Tahoma"/>
          </a:endParaRPr>
        </a:p>
      </xdr:txBody>
    </xdr:sp>
    <xdr:clientData/>
  </xdr:twoCellAnchor>
  <xdr:twoCellAnchor>
    <xdr:from>
      <xdr:col>21</xdr:col>
      <xdr:colOff>161925</xdr:colOff>
      <xdr:row>5</xdr:row>
      <xdr:rowOff>0</xdr:rowOff>
    </xdr:from>
    <xdr:to>
      <xdr:col>25</xdr:col>
      <xdr:colOff>88768</xdr:colOff>
      <xdr:row>10</xdr:row>
      <xdr:rowOff>19916</xdr:rowOff>
    </xdr:to>
    <xdr:sp macro="" textlink="">
      <xdr:nvSpPr>
        <xdr:cNvPr id="12" name="Rectangle: Rounded Corners 11">
          <a:extLst>
            <a:ext uri="{FF2B5EF4-FFF2-40B4-BE49-F238E27FC236}">
              <a16:creationId xmlns:a16="http://schemas.microsoft.com/office/drawing/2014/main" id="{DF7BA18D-186A-4240-AD2B-390DD3992ACB}"/>
            </a:ext>
          </a:extLst>
        </xdr:cNvPr>
        <xdr:cNvSpPr/>
      </xdr:nvSpPr>
      <xdr:spPr>
        <a:xfrm>
          <a:off x="14563725" y="1238250"/>
          <a:ext cx="2670043" cy="924791"/>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clientData/>
  </xdr:twoCellAnchor>
  <xdr:twoCellAnchor>
    <xdr:from>
      <xdr:col>21</xdr:col>
      <xdr:colOff>223462</xdr:colOff>
      <xdr:row>5</xdr:row>
      <xdr:rowOff>70141</xdr:rowOff>
    </xdr:from>
    <xdr:to>
      <xdr:col>25</xdr:col>
      <xdr:colOff>37430</xdr:colOff>
      <xdr:row>6</xdr:row>
      <xdr:rowOff>171980</xdr:rowOff>
    </xdr:to>
    <xdr:sp macro="" textlink="">
      <xdr:nvSpPr>
        <xdr:cNvPr id="13" name="TextBox 12">
          <a:extLst>
            <a:ext uri="{FF2B5EF4-FFF2-40B4-BE49-F238E27FC236}">
              <a16:creationId xmlns:a16="http://schemas.microsoft.com/office/drawing/2014/main" id="{08394B04-48A8-4AFA-AC34-DDE12CAA5962}"/>
            </a:ext>
          </a:extLst>
        </xdr:cNvPr>
        <xdr:cNvSpPr txBox="1"/>
      </xdr:nvSpPr>
      <xdr:spPr>
        <a:xfrm>
          <a:off x="14625262" y="1308391"/>
          <a:ext cx="2557168" cy="28281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1400"/>
            <a:t>จำนวนบ้าน(หลังคาเรือน)ทั้งหมด</a:t>
          </a:r>
        </a:p>
      </xdr:txBody>
    </xdr:sp>
    <xdr:clientData/>
  </xdr:twoCellAnchor>
  <xdr:twoCellAnchor>
    <xdr:from>
      <xdr:col>22</xdr:col>
      <xdr:colOff>173063</xdr:colOff>
      <xdr:row>7</xdr:row>
      <xdr:rowOff>19372</xdr:rowOff>
    </xdr:from>
    <xdr:to>
      <xdr:col>24</xdr:col>
      <xdr:colOff>9709</xdr:colOff>
      <xdr:row>9</xdr:row>
      <xdr:rowOff>59162</xdr:rowOff>
    </xdr:to>
    <xdr:sp macro="" textlink="PIVOT3!B59">
      <xdr:nvSpPr>
        <xdr:cNvPr id="14" name="TextBox 13">
          <a:extLst>
            <a:ext uri="{FF2B5EF4-FFF2-40B4-BE49-F238E27FC236}">
              <a16:creationId xmlns:a16="http://schemas.microsoft.com/office/drawing/2014/main" id="{D7323918-9F2C-4BD0-BC5E-2B03A627E7BC}"/>
            </a:ext>
          </a:extLst>
        </xdr:cNvPr>
        <xdr:cNvSpPr txBox="1"/>
      </xdr:nvSpPr>
      <xdr:spPr>
        <a:xfrm>
          <a:off x="15260663" y="1619572"/>
          <a:ext cx="1208246" cy="401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ABB68F-92F2-4FF3-8974-1984E63AD2A5}" type="TxLink">
            <a:rPr lang="en-US" sz="1600" b="0" i="0" u="none" strike="noStrike">
              <a:solidFill>
                <a:srgbClr val="000000"/>
              </a:solidFill>
              <a:latin typeface="Tahoma"/>
              <a:ea typeface="Tahoma"/>
              <a:cs typeface="Tahoma"/>
            </a:rPr>
            <a:pPr marL="0" indent="0" algn="ctr"/>
            <a:t>2,870,609</a:t>
          </a:fld>
          <a:endParaRPr lang="en-US" sz="1600" b="0" i="0" u="none" strike="noStrike">
            <a:solidFill>
              <a:srgbClr val="000000"/>
            </a:solidFill>
            <a:latin typeface="Tahoma"/>
            <a:ea typeface="Tahoma"/>
            <a:cs typeface="Tahoma"/>
          </a:endParaRPr>
        </a:p>
      </xdr:txBody>
    </xdr:sp>
    <xdr:clientData/>
  </xdr:twoCellAnchor>
  <xdr:twoCellAnchor>
    <xdr:from>
      <xdr:col>3</xdr:col>
      <xdr:colOff>11906</xdr:colOff>
      <xdr:row>15</xdr:row>
      <xdr:rowOff>0</xdr:rowOff>
    </xdr:from>
    <xdr:to>
      <xdr:col>9</xdr:col>
      <xdr:colOff>440531</xdr:colOff>
      <xdr:row>30</xdr:row>
      <xdr:rowOff>64293</xdr:rowOff>
    </xdr:to>
    <xdr:graphicFrame macro="">
      <xdr:nvGraphicFramePr>
        <xdr:cNvPr id="15" name="Chart 14">
          <a:extLst>
            <a:ext uri="{FF2B5EF4-FFF2-40B4-BE49-F238E27FC236}">
              <a16:creationId xmlns:a16="http://schemas.microsoft.com/office/drawing/2014/main" id="{2E10852D-3CC2-418C-8561-4529C6081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12</xdr:row>
      <xdr:rowOff>107156</xdr:rowOff>
    </xdr:from>
    <xdr:to>
      <xdr:col>7</xdr:col>
      <xdr:colOff>466928</xdr:colOff>
      <xdr:row>14</xdr:row>
      <xdr:rowOff>54905</xdr:rowOff>
    </xdr:to>
    <xdr:sp macro="" textlink="">
      <xdr:nvSpPr>
        <xdr:cNvPr id="16" name="TextBox 15">
          <a:extLst>
            <a:ext uri="{FF2B5EF4-FFF2-40B4-BE49-F238E27FC236}">
              <a16:creationId xmlns:a16="http://schemas.microsoft.com/office/drawing/2014/main" id="{B43A62EB-D09F-4936-98B2-18C96B2E7F9C}"/>
            </a:ext>
          </a:extLst>
        </xdr:cNvPr>
        <xdr:cNvSpPr txBox="1"/>
      </xdr:nvSpPr>
      <xdr:spPr>
        <a:xfrm>
          <a:off x="2071687" y="2583656"/>
          <a:ext cx="3229179" cy="3049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th-TH" sz="2000" b="1">
              <a:solidFill>
                <a:schemeClr val="tx1"/>
              </a:solidFill>
              <a:latin typeface="Angsana New" panose="02020603050405020304" pitchFamily="18" charset="-34"/>
              <a:ea typeface="+mn-ea"/>
              <a:cs typeface="Angsana New" panose="02020603050405020304" pitchFamily="18" charset="-34"/>
            </a:rPr>
            <a:t>สัดส่วนประชากรทั้งหมดทั่วประเทศ</a:t>
          </a:r>
        </a:p>
      </xdr:txBody>
    </xdr:sp>
    <xdr:clientData/>
  </xdr:twoCellAnchor>
  <xdr:twoCellAnchor>
    <xdr:from>
      <xdr:col>16</xdr:col>
      <xdr:colOff>545306</xdr:colOff>
      <xdr:row>12</xdr:row>
      <xdr:rowOff>152400</xdr:rowOff>
    </xdr:from>
    <xdr:to>
      <xdr:col>21</xdr:col>
      <xdr:colOff>315633</xdr:colOff>
      <xdr:row>14</xdr:row>
      <xdr:rowOff>87779</xdr:rowOff>
    </xdr:to>
    <xdr:sp macro="" textlink="">
      <xdr:nvSpPr>
        <xdr:cNvPr id="17" name="TextBox 16">
          <a:extLst>
            <a:ext uri="{FF2B5EF4-FFF2-40B4-BE49-F238E27FC236}">
              <a16:creationId xmlns:a16="http://schemas.microsoft.com/office/drawing/2014/main" id="{622FB562-8C13-4197-8CDE-006934FF25F3}"/>
            </a:ext>
          </a:extLst>
        </xdr:cNvPr>
        <xdr:cNvSpPr txBox="1"/>
      </xdr:nvSpPr>
      <xdr:spPr>
        <a:xfrm>
          <a:off x="11518106" y="2762250"/>
          <a:ext cx="3199327" cy="3163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2800" b="1">
              <a:solidFill>
                <a:schemeClr val="tx1"/>
              </a:solidFill>
              <a:latin typeface="Angsana New" panose="02020603050405020304" pitchFamily="18" charset="-34"/>
              <a:cs typeface="Angsana New" panose="02020603050405020304" pitchFamily="18" charset="-34"/>
            </a:rPr>
            <a:t>5</a:t>
          </a:r>
          <a:r>
            <a:rPr lang="th-TH" sz="2000" b="1">
              <a:solidFill>
                <a:schemeClr val="tx1"/>
              </a:solidFill>
              <a:latin typeface="Angsana New" panose="02020603050405020304" pitchFamily="18" charset="-34"/>
              <a:cs typeface="Angsana New" panose="02020603050405020304" pitchFamily="18" charset="-34"/>
            </a:rPr>
            <a:t> อันดับจังหวัดประชากรเยอะที่สุด</a:t>
          </a:r>
        </a:p>
      </xdr:txBody>
    </xdr:sp>
    <xdr:clientData/>
  </xdr:twoCellAnchor>
  <xdr:twoCellAnchor>
    <xdr:from>
      <xdr:col>17</xdr:col>
      <xdr:colOff>16667</xdr:colOff>
      <xdr:row>14</xdr:row>
      <xdr:rowOff>126207</xdr:rowOff>
    </xdr:from>
    <xdr:to>
      <xdr:col>24</xdr:col>
      <xdr:colOff>678656</xdr:colOff>
      <xdr:row>30</xdr:row>
      <xdr:rowOff>0</xdr:rowOff>
    </xdr:to>
    <xdr:graphicFrame macro="">
      <xdr:nvGraphicFramePr>
        <xdr:cNvPr id="18" name="Chart 17">
          <a:extLst>
            <a:ext uri="{FF2B5EF4-FFF2-40B4-BE49-F238E27FC236}">
              <a16:creationId xmlns:a16="http://schemas.microsoft.com/office/drawing/2014/main" id="{57FB0932-16AE-4A28-A645-83BB68187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595313</xdr:colOff>
      <xdr:row>12</xdr:row>
      <xdr:rowOff>47626</xdr:rowOff>
    </xdr:from>
    <xdr:to>
      <xdr:col>30</xdr:col>
      <xdr:colOff>355074</xdr:colOff>
      <xdr:row>13</xdr:row>
      <xdr:rowOff>188917</xdr:rowOff>
    </xdr:to>
    <xdr:sp macro="" textlink="">
      <xdr:nvSpPr>
        <xdr:cNvPr id="19" name="TextBox 18">
          <a:extLst>
            <a:ext uri="{FF2B5EF4-FFF2-40B4-BE49-F238E27FC236}">
              <a16:creationId xmlns:a16="http://schemas.microsoft.com/office/drawing/2014/main" id="{DFD98327-97E3-4DB8-8701-AEA2D0E3D918}"/>
            </a:ext>
          </a:extLst>
        </xdr:cNvPr>
        <xdr:cNvSpPr txBox="1"/>
      </xdr:nvSpPr>
      <xdr:spPr>
        <a:xfrm>
          <a:off x="17740313" y="2657476"/>
          <a:ext cx="3188761" cy="3317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h-TH" sz="2800" b="1">
              <a:solidFill>
                <a:schemeClr val="tx1"/>
              </a:solidFill>
              <a:latin typeface="Angsana New" panose="02020603050405020304" pitchFamily="18" charset="-34"/>
              <a:cs typeface="Angsana New" panose="02020603050405020304" pitchFamily="18" charset="-34"/>
            </a:rPr>
            <a:t>5 </a:t>
          </a:r>
          <a:r>
            <a:rPr lang="th-TH" sz="2000" b="1">
              <a:solidFill>
                <a:schemeClr val="tx1"/>
              </a:solidFill>
              <a:latin typeface="Angsana New" panose="02020603050405020304" pitchFamily="18" charset="-34"/>
              <a:cs typeface="Angsana New" panose="02020603050405020304" pitchFamily="18" charset="-34"/>
            </a:rPr>
            <a:t>อันดับจังหวัดที่ประชากรน้อยที่สุด</a:t>
          </a:r>
        </a:p>
      </xdr:txBody>
    </xdr:sp>
    <xdr:clientData/>
  </xdr:twoCellAnchor>
  <xdr:twoCellAnchor>
    <xdr:from>
      <xdr:col>25</xdr:col>
      <xdr:colOff>573881</xdr:colOff>
      <xdr:row>14</xdr:row>
      <xdr:rowOff>138113</xdr:rowOff>
    </xdr:from>
    <xdr:to>
      <xdr:col>32</xdr:col>
      <xdr:colOff>597692</xdr:colOff>
      <xdr:row>30</xdr:row>
      <xdr:rowOff>11906</xdr:rowOff>
    </xdr:to>
    <xdr:graphicFrame macro="">
      <xdr:nvGraphicFramePr>
        <xdr:cNvPr id="20" name="Chart 19">
          <a:extLst>
            <a:ext uri="{FF2B5EF4-FFF2-40B4-BE49-F238E27FC236}">
              <a16:creationId xmlns:a16="http://schemas.microsoft.com/office/drawing/2014/main" id="{043EDB73-8886-4C79-8E47-28501A795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34</xdr:row>
      <xdr:rowOff>0</xdr:rowOff>
    </xdr:from>
    <xdr:to>
      <xdr:col>9</xdr:col>
      <xdr:colOff>428625</xdr:colOff>
      <xdr:row>49</xdr:row>
      <xdr:rowOff>64294</xdr:rowOff>
    </xdr:to>
    <xdr:graphicFrame macro="">
      <xdr:nvGraphicFramePr>
        <xdr:cNvPr id="21" name="Chart 20">
          <a:extLst>
            <a:ext uri="{FF2B5EF4-FFF2-40B4-BE49-F238E27FC236}">
              <a16:creationId xmlns:a16="http://schemas.microsoft.com/office/drawing/2014/main" id="{584DC1E4-78BF-4377-A115-5B185F58E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35720</xdr:colOff>
      <xdr:row>34</xdr:row>
      <xdr:rowOff>23811</xdr:rowOff>
    </xdr:from>
    <xdr:to>
      <xdr:col>19</xdr:col>
      <xdr:colOff>464343</xdr:colOff>
      <xdr:row>48</xdr:row>
      <xdr:rowOff>23812</xdr:rowOff>
    </xdr:to>
    <xdr:graphicFrame macro="">
      <xdr:nvGraphicFramePr>
        <xdr:cNvPr id="22" name="Chart 21">
          <a:extLst>
            <a:ext uri="{FF2B5EF4-FFF2-40B4-BE49-F238E27FC236}">
              <a16:creationId xmlns:a16="http://schemas.microsoft.com/office/drawing/2014/main" id="{9D7EC6F4-188B-4839-A2A4-C0B03F338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32</xdr:row>
      <xdr:rowOff>0</xdr:rowOff>
    </xdr:from>
    <xdr:to>
      <xdr:col>14</xdr:col>
      <xdr:colOff>467816</xdr:colOff>
      <xdr:row>32</xdr:row>
      <xdr:rowOff>306152</xdr:rowOff>
    </xdr:to>
    <xdr:sp macro="" textlink="">
      <xdr:nvSpPr>
        <xdr:cNvPr id="23" name="TextBox 22">
          <a:extLst>
            <a:ext uri="{FF2B5EF4-FFF2-40B4-BE49-F238E27FC236}">
              <a16:creationId xmlns:a16="http://schemas.microsoft.com/office/drawing/2014/main" id="{C0B54E32-1135-4C8E-B541-7B485E8ECCF6}"/>
            </a:ext>
          </a:extLst>
        </xdr:cNvPr>
        <xdr:cNvSpPr txBox="1"/>
      </xdr:nvSpPr>
      <xdr:spPr>
        <a:xfrm>
          <a:off x="6905625" y="6048375"/>
          <a:ext cx="3230066" cy="3061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th-TH" sz="2800" b="1">
              <a:solidFill>
                <a:schemeClr val="tx1"/>
              </a:solidFill>
              <a:latin typeface="Angsana New" panose="02020603050405020304" pitchFamily="18" charset="-34"/>
              <a:ea typeface="+mn-ea"/>
              <a:cs typeface="Angsana New" panose="02020603050405020304" pitchFamily="18" charset="-34"/>
            </a:rPr>
            <a:t>5</a:t>
          </a:r>
          <a:r>
            <a:rPr lang="th-TH" sz="2000" b="1">
              <a:solidFill>
                <a:schemeClr val="tx1"/>
              </a:solidFill>
              <a:latin typeface="Angsana New" panose="02020603050405020304" pitchFamily="18" charset="-34"/>
              <a:ea typeface="+mn-ea"/>
              <a:cs typeface="Angsana New" panose="02020603050405020304" pitchFamily="18" charset="-34"/>
            </a:rPr>
            <a:t> อันดับประชากรชายที่เยอะที่สุด</a:t>
          </a:r>
        </a:p>
      </xdr:txBody>
    </xdr:sp>
    <xdr:clientData/>
  </xdr:twoCellAnchor>
  <xdr:twoCellAnchor>
    <xdr:from>
      <xdr:col>19</xdr:col>
      <xdr:colOff>0</xdr:colOff>
      <xdr:row>32</xdr:row>
      <xdr:rowOff>0</xdr:rowOff>
    </xdr:from>
    <xdr:to>
      <xdr:col>23</xdr:col>
      <xdr:colOff>467816</xdr:colOff>
      <xdr:row>32</xdr:row>
      <xdr:rowOff>306152</xdr:rowOff>
    </xdr:to>
    <xdr:sp macro="" textlink="">
      <xdr:nvSpPr>
        <xdr:cNvPr id="24" name="TextBox 23">
          <a:extLst>
            <a:ext uri="{FF2B5EF4-FFF2-40B4-BE49-F238E27FC236}">
              <a16:creationId xmlns:a16="http://schemas.microsoft.com/office/drawing/2014/main" id="{BD2B7B3D-DE80-4B49-92A8-698ED9DC4382}"/>
            </a:ext>
          </a:extLst>
        </xdr:cNvPr>
        <xdr:cNvSpPr txBox="1"/>
      </xdr:nvSpPr>
      <xdr:spPr>
        <a:xfrm>
          <a:off x="13120688" y="6048375"/>
          <a:ext cx="3230066" cy="30615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th-TH" sz="2800" b="1">
              <a:solidFill>
                <a:schemeClr val="tx1"/>
              </a:solidFill>
              <a:latin typeface="Angsana New" panose="02020603050405020304" pitchFamily="18" charset="-34"/>
              <a:ea typeface="+mn-ea"/>
              <a:cs typeface="Angsana New" panose="02020603050405020304" pitchFamily="18" charset="-34"/>
            </a:rPr>
            <a:t>5</a:t>
          </a:r>
          <a:r>
            <a:rPr lang="th-TH" sz="2000" b="1">
              <a:solidFill>
                <a:schemeClr val="tx1"/>
              </a:solidFill>
              <a:latin typeface="Angsana New" panose="02020603050405020304" pitchFamily="18" charset="-34"/>
              <a:ea typeface="+mn-ea"/>
              <a:cs typeface="Angsana New" panose="02020603050405020304" pitchFamily="18" charset="-34"/>
            </a:rPr>
            <a:t> อันดับประชากรชายที่น้อยที่สุด</a:t>
          </a:r>
        </a:p>
      </xdr:txBody>
    </xdr:sp>
    <xdr:clientData/>
  </xdr:twoCellAnchor>
  <xdr:twoCellAnchor>
    <xdr:from>
      <xdr:col>19</xdr:col>
      <xdr:colOff>23810</xdr:colOff>
      <xdr:row>33</xdr:row>
      <xdr:rowOff>23812</xdr:rowOff>
    </xdr:from>
    <xdr:to>
      <xdr:col>27</xdr:col>
      <xdr:colOff>309561</xdr:colOff>
      <xdr:row>48</xdr:row>
      <xdr:rowOff>88106</xdr:rowOff>
    </xdr:to>
    <xdr:graphicFrame macro="">
      <xdr:nvGraphicFramePr>
        <xdr:cNvPr id="25" name="Chart 24">
          <a:extLst>
            <a:ext uri="{FF2B5EF4-FFF2-40B4-BE49-F238E27FC236}">
              <a16:creationId xmlns:a16="http://schemas.microsoft.com/office/drawing/2014/main" id="{E9E73694-216F-477C-A061-F27EA65CC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98465</xdr:colOff>
      <xdr:row>1</xdr:row>
      <xdr:rowOff>11638</xdr:rowOff>
    </xdr:from>
    <xdr:to>
      <xdr:col>2</xdr:col>
      <xdr:colOff>544604</xdr:colOff>
      <xdr:row>13</xdr:row>
      <xdr:rowOff>18520</xdr:rowOff>
    </xdr:to>
    <mc:AlternateContent xmlns:mc="http://schemas.openxmlformats.org/markup-compatibility/2006" xmlns:a14="http://schemas.microsoft.com/office/drawing/2010/main">
      <mc:Choice Requires="a14">
        <xdr:graphicFrame macro="">
          <xdr:nvGraphicFramePr>
            <xdr:cNvPr id="11" name="ภูมิภาค 1">
              <a:extLst>
                <a:ext uri="{FF2B5EF4-FFF2-40B4-BE49-F238E27FC236}">
                  <a16:creationId xmlns:a16="http://schemas.microsoft.com/office/drawing/2014/main" id="{6ADC9E5F-BEF5-4C9C-8724-B3B44CC4EC7F}"/>
                </a:ext>
              </a:extLst>
            </xdr:cNvPr>
            <xdr:cNvGraphicFramePr/>
          </xdr:nvGraphicFramePr>
          <xdr:xfrm>
            <a:off x="0" y="0"/>
            <a:ext cx="0" cy="0"/>
          </xdr:xfrm>
          <a:graphic>
            <a:graphicData uri="http://schemas.microsoft.com/office/drawing/2010/slicer">
              <sle:slicer xmlns:sle="http://schemas.microsoft.com/office/drawing/2010/slicer" name="ภูมิภาค 1"/>
            </a:graphicData>
          </a:graphic>
        </xdr:graphicFrame>
      </mc:Choice>
      <mc:Fallback xmlns="">
        <xdr:sp macro="" textlink="">
          <xdr:nvSpPr>
            <xdr:cNvPr id="0" name=""/>
            <xdr:cNvSpPr>
              <a:spLocks noTextEdit="1"/>
            </xdr:cNvSpPr>
          </xdr:nvSpPr>
          <xdr:spPr>
            <a:xfrm>
              <a:off x="98465" y="202138"/>
              <a:ext cx="1817739" cy="2616732"/>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628650</xdr:colOff>
      <xdr:row>14</xdr:row>
      <xdr:rowOff>133350</xdr:rowOff>
    </xdr:from>
    <xdr:to>
      <xdr:col>16</xdr:col>
      <xdr:colOff>400050</xdr:colOff>
      <xdr:row>29</xdr:row>
      <xdr:rowOff>19050</xdr:rowOff>
    </xdr:to>
    <xdr:graphicFrame macro="">
      <xdr:nvGraphicFramePr>
        <xdr:cNvPr id="26" name="Chart 25">
          <a:extLst>
            <a:ext uri="{FF2B5EF4-FFF2-40B4-BE49-F238E27FC236}">
              <a16:creationId xmlns:a16="http://schemas.microsoft.com/office/drawing/2014/main" id="{A2C8197A-0FA1-4014-B5D8-0EB976E5D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190500</xdr:colOff>
      <xdr:row>12</xdr:row>
      <xdr:rowOff>133350</xdr:rowOff>
    </xdr:from>
    <xdr:to>
      <xdr:col>13</xdr:col>
      <xdr:colOff>657429</xdr:colOff>
      <xdr:row>14</xdr:row>
      <xdr:rowOff>81099</xdr:rowOff>
    </xdr:to>
    <xdr:sp macro="" textlink="">
      <xdr:nvSpPr>
        <xdr:cNvPr id="27" name="TextBox 26">
          <a:extLst>
            <a:ext uri="{FF2B5EF4-FFF2-40B4-BE49-F238E27FC236}">
              <a16:creationId xmlns:a16="http://schemas.microsoft.com/office/drawing/2014/main" id="{4DAA217D-C61B-40C8-A109-2396CF8E451F}"/>
            </a:ext>
          </a:extLst>
        </xdr:cNvPr>
        <xdr:cNvSpPr txBox="1"/>
      </xdr:nvSpPr>
      <xdr:spPr>
        <a:xfrm>
          <a:off x="6362700" y="2743200"/>
          <a:ext cx="3210129" cy="3287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th-TH" sz="2000" b="1">
              <a:solidFill>
                <a:schemeClr val="tx1"/>
              </a:solidFill>
              <a:latin typeface="Angsana New" panose="02020603050405020304" pitchFamily="18" charset="-34"/>
              <a:ea typeface="+mn-ea"/>
              <a:cs typeface="Angsana New" panose="02020603050405020304" pitchFamily="18" charset="-34"/>
            </a:rPr>
            <a:t>สัดส่วนประชากรทั้งหมดทั่วประเทศ</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576866</xdr:colOff>
      <xdr:row>1</xdr:row>
      <xdr:rowOff>151821</xdr:rowOff>
    </xdr:from>
    <xdr:to>
      <xdr:col>41</xdr:col>
      <xdr:colOff>71887</xdr:colOff>
      <xdr:row>29</xdr:row>
      <xdr:rowOff>86591</xdr:rowOff>
    </xdr:to>
    <xdr:graphicFrame macro="">
      <xdr:nvGraphicFramePr>
        <xdr:cNvPr id="10" name="Chart 9">
          <a:extLst>
            <a:ext uri="{FF2B5EF4-FFF2-40B4-BE49-F238E27FC236}">
              <a16:creationId xmlns:a16="http://schemas.microsoft.com/office/drawing/2014/main" id="{38D99111-FF7F-43EE-857C-3EB350C41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485590</xdr:colOff>
      <xdr:row>1</xdr:row>
      <xdr:rowOff>237681</xdr:rowOff>
    </xdr:from>
    <xdr:to>
      <xdr:col>26</xdr:col>
      <xdr:colOff>197469</xdr:colOff>
      <xdr:row>13</xdr:row>
      <xdr:rowOff>0</xdr:rowOff>
    </xdr:to>
    <xdr:graphicFrame macro="">
      <xdr:nvGraphicFramePr>
        <xdr:cNvPr id="3" name="Chart 2">
          <a:extLst>
            <a:ext uri="{FF2B5EF4-FFF2-40B4-BE49-F238E27FC236}">
              <a16:creationId xmlns:a16="http://schemas.microsoft.com/office/drawing/2014/main" id="{FE4A714B-937B-41D0-B693-A7D4A7EC8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0.02371</cdr:x>
      <cdr:y>0.39374</cdr:y>
    </cdr:from>
    <cdr:to>
      <cdr:x>0.04859</cdr:x>
      <cdr:y>0.75719</cdr:y>
    </cdr:to>
    <cdr:sp macro="" textlink="">
      <cdr:nvSpPr>
        <cdr:cNvPr id="2" name="TextBox 1">
          <a:extLst xmlns:a="http://schemas.openxmlformats.org/drawingml/2006/main">
            <a:ext uri="{FF2B5EF4-FFF2-40B4-BE49-F238E27FC236}">
              <a16:creationId xmlns:a16="http://schemas.microsoft.com/office/drawing/2014/main" id="{19B414AB-891D-4948-9C05-E51A78257392}"/>
            </a:ext>
          </a:extLst>
        </cdr:cNvPr>
        <cdr:cNvSpPr txBox="1"/>
      </cdr:nvSpPr>
      <cdr:spPr>
        <a:xfrm xmlns:a="http://schemas.openxmlformats.org/drawingml/2006/main" rot="16200000">
          <a:off x="-302863" y="1768737"/>
          <a:ext cx="1179455" cy="19746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อุณหภูมิเฉลี่ย (เซลเซียส)</a:t>
          </a:r>
        </a:p>
      </cdr:txBody>
    </cdr:sp>
  </cdr:relSizeAnchor>
  <cdr:relSizeAnchor xmlns:cdr="http://schemas.openxmlformats.org/drawingml/2006/chartDrawing">
    <cdr:from>
      <cdr:x>0.96268</cdr:x>
      <cdr:y>0.29544</cdr:y>
    </cdr:from>
    <cdr:to>
      <cdr:x>0.99561</cdr:x>
      <cdr:y>0.71245</cdr:y>
    </cdr:to>
    <cdr:sp macro="" textlink="">
      <cdr:nvSpPr>
        <cdr:cNvPr id="3" name="TextBox 2">
          <a:extLst xmlns:a="http://schemas.openxmlformats.org/drawingml/2006/main">
            <a:ext uri="{FF2B5EF4-FFF2-40B4-BE49-F238E27FC236}">
              <a16:creationId xmlns:a16="http://schemas.microsoft.com/office/drawing/2014/main" id="{33AE635B-3073-4C68-8EC5-0BA88E782823}"/>
            </a:ext>
          </a:extLst>
        </cdr:cNvPr>
        <cdr:cNvSpPr txBox="1"/>
      </cdr:nvSpPr>
      <cdr:spPr>
        <a:xfrm xmlns:a="http://schemas.openxmlformats.org/drawingml/2006/main" rot="16200000">
          <a:off x="7093758" y="1504698"/>
          <a:ext cx="1353248" cy="2613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ปริมาณน้ำฝน (มม.)</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38.093292245372" createdVersion="7" refreshedVersion="7" minRefreshableVersion="3" recordCount="2452" xr:uid="{37697457-A057-441C-B2B3-3D9F1711B51A}">
  <cacheSource type="worksheet">
    <worksheetSource ref="A1:H2453" sheet="ประชากรไทย"/>
  </cacheSource>
  <cacheFields count="8">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1001" maxValue="9699"/>
    </cacheField>
    <cacheField name="ชื่อสำนักทะเบียน" numFmtId="0">
      <sharedItems count="2388">
        <s v="ท้องถิ่นเขตพระนคร"/>
        <s v="ท้องถิ่นเขตดุสิต"/>
        <s v="ท้องถิ่นเขตหนองจอก"/>
        <s v="ท้องถิ่นเขตบางรัก"/>
        <s v="ท้องถิ่นเขตบางเขน"/>
        <s v="ท้องถิ่นเขตบางกะปิ"/>
        <s v="ท้องถิ่นเขตปทุมวัน"/>
        <s v="ท้องถิ่นเขตป้อมปราบศัตรูพ่าย"/>
        <s v="ท้องถิ่นเขตพระโขนง"/>
        <s v="ท้องถิ่นเขตมีนบุรี"/>
        <s v="ท้องถิ่นเขตลาดกระบัง"/>
        <s v="ท้องถิ่นเขตยานนาวา"/>
        <s v="ท้องถิ่นเขตสัมพันธวงศ์"/>
        <s v="ท้องถิ่นเขตพญาไท"/>
        <s v="ท้องถิ่นเขตธนบุรี"/>
        <s v="ท้องถิ่นเขตบางกอกใหญ่"/>
        <s v="ท้องถิ่นเขตห้วยขวาง"/>
        <s v="ท้องถิ่นเขตคลองสาน"/>
        <s v="ท้องถิ่นเขตตลิ่งชัน"/>
        <s v="ท้องถิ่นเขตบางกอกน้อย"/>
        <s v="ท้องถิ่นเขตบางขุนเทียน"/>
        <s v="ท้องถิ่นเขตภาษีเจริญ"/>
        <s v="ท้องถิ่นเขตหนองแขม"/>
        <s v="ท้องถิ่นเขตราษฎร์บูรณะ"/>
        <s v="ท้องถิ่นเขตบางพลัด"/>
        <s v="ท้องถิ่นเขตดินแดง"/>
        <s v="ท้องถิ่นเขตบึงกุ่ม"/>
        <s v="ท้องถิ่นเขตสาทร"/>
        <s v="ท้องถิ่นเขตบางซื่อ"/>
        <s v="ท้องถิ่นเขตจตุจักร"/>
        <s v="ท้องถิ่นเขตบางคอแหลม"/>
        <s v="ท้องถิ่นเขตประเวศ"/>
        <s v="ท้องถิ่นเขตคลองเตย"/>
        <s v="ท้องถิ่นเขตสวนหลวง"/>
        <s v="ท้องถิ่นเขตจอมทอง"/>
        <s v="ท้องถิ่นเขตดอนเมือง"/>
        <s v="ท้องถิ่นเขตราชเทวี"/>
        <s v="ท้องถิ่นเขตลาดพร้าว"/>
        <s v="ท้องถิ่นเขตวัฒนา"/>
        <s v="ท้องถิ่นเขตบางแค"/>
        <s v="ท้องถิ่นเขตหลักสี่"/>
        <s v="ท้องถิ่นเขตสายไหม"/>
        <s v="ท้องถิ่นเขตคันนายาว"/>
        <s v="ท้องถิ่นเขตสะพานสูง"/>
        <s v="ท้องถิ่นเขตวังทองหลาง"/>
        <s v="ท้องถิ่นเขตคลองสามวา"/>
        <s v="ท้องถิ่นเขตบางนา"/>
        <s v="ท้องถิ่นเขตทวีวัฒนา"/>
        <s v="ท้องถิ่นเขตทุ่งครุ"/>
        <s v="ท้องถิ่นเขตบางบอน"/>
        <s v="อำเภอเมืองสมุทรปราการ"/>
        <s v="อำเภอบางบ่อ"/>
        <s v="อำเภอบางพลี"/>
        <s v="อำเภอพระประแดง"/>
        <s v="อำเภอพระสมุทรเจดีย์"/>
        <s v="อำเภอบางเสาธง"/>
        <s v="ท้องถิ่นเทศบาลเมืองปากน้ำสมุทรปราการ"/>
        <s v="ท้องถิ่นเทศบาลตำบลบางเสาธง"/>
        <s v="ท้องถิ่นเทศบาลตำบลแหลมฟ้าผ่า"/>
        <s v="ท้องถิ่นเทศบาลตำบลพระสมุทรเจดีย์"/>
        <s v="ท้องถิ่นเทศบาลตำบลบางพลี"/>
        <s v="ท้องถิ่นเทศบาลตำบลบางบ่อ"/>
        <s v="ท้องถิ่นเทศบาลตำบลคลองสวน"/>
        <s v="ท้องถิ่นเทศบาลตำบลคลองด่าน"/>
        <s v="ท้องถิ่นเทศบาลตำบลบางปู"/>
        <s v="ท้องถิ่นเทศบาลตำบลแพรกษา"/>
        <s v="ท้องถิ่นเทศบาลตำบลบางเมือง"/>
        <s v="ท้องถิ่นเทศบาลตำบลด่านสำโรง"/>
        <s v="ท้องถิ่นเทศบาลเมืองปู่เจ้าสมิงพราย"/>
        <s v="ท้องถิ่นเทศบาลตำบลสำโรงเหนือ"/>
        <s v="ท้องถิ่นเทศบาลเมืองลัดหลวง"/>
        <s v="ท้องถิ่นเทศบาลเมืองพระประแดง"/>
        <s v="ท้องถิ่นเทศบาลนครสมุทรปราการ"/>
        <s v="อำเภอเมืองนนทบุรี"/>
        <s v="อำเภอบางกรวย"/>
        <s v="อำเภอบางใหญ่"/>
        <s v="อำเภอบางบัวทอง"/>
        <s v="อำเภอไทรน้อย"/>
        <s v="อำเภอปากเกร็ด"/>
        <s v="ท้องถิ่นเทศบาลเมืองบางคูรัด"/>
        <s v="ท้องถิ่นเทศบาลตำบลเสาธงหิน"/>
        <s v="ท้องถิ่นเทศบาลตำบลบางพลับ"/>
        <s v="ท้องถิ่นเทศบาลเมืองพิมลราช"/>
        <s v="ท้องถิ่นเทศบาลตำบลศาลากลาง"/>
        <s v="ท้องถิ่นเทศบาลเมืองไทรม้า"/>
        <s v="ท้องถิ่นเทศบาลตำบลไทรน้อย"/>
        <s v="ท้องถิ่นเทศบาลตำบลบางใหญ่"/>
        <s v="ท้องถิ่นเทศบาลตำบลบางม่วง"/>
        <s v="ท้องถิ่นเทศบาลตำบลปลายบาง"/>
        <s v="ท้องถิ่นเทศบาลเมืองบางศรีเมือง"/>
        <s v="ท้องถิ่นเทศบาลเมืองบางกรวย"/>
        <s v="ท้องถิ่นเทศบาลนครปากเกร็ด"/>
        <s v="ท้องถิ่นเทศบาลเมืองบางบัวทอง"/>
        <s v="ท้องถิ่นเทศบาลนครนนทบุรี"/>
        <s v="อำเภอเมืองปทุมธานี"/>
        <s v="อำเภอคลองหลวง"/>
        <s v="อำเภอหนองเสือ"/>
        <s v="อำเภอลาดหลุมแก้ว"/>
        <s v="อำเภอลำลูกกา"/>
        <s v="อำเภอสามโคก"/>
        <s v="ท้องถิ่นเทศบาลเมืองลาดสวาย"/>
        <s v="ท้องถิ่นเทศบาลตำบลบางพูน"/>
        <s v="ท้องถิ่นเทศบาลตำบลบ้านกลาง"/>
        <s v="ท้องถิ่นเทศบาลเมืองลำสามแก้ว"/>
        <s v="ท้องถิ่นเทศบาลเมืองบางคูวัด"/>
        <s v="ท้องถิ่นเทศบาลเมืองบึงยี่โถ"/>
        <s v="ท้องถิ่นเทศบาลเมืองบางกะดี"/>
        <s v="ท้องถิ่นเทศบาลตำบลบางเตย"/>
        <s v="ท้องถิ่นเทศบาลตำบลลำลูกกา"/>
        <s v="ท้องถิ่นเทศบาลตำบลลำไทร"/>
        <s v="ท้องถิ่นเทศบาลตำบลระแหง"/>
        <s v="ท้องถิ่นเทศบาลตำบลหนองเสือ"/>
        <s v="ท้องถิ่นเทศบาลเมืองสนั่นรักษ์"/>
        <s v="ท้องถิ่นเทศบาลตำบลธัญบุรี"/>
        <s v="ท้องถิ่นเทศบาลเมืองคลองหลวง"/>
        <s v="ท้องถิ่นเทศบาลตำบลบางหลวง"/>
        <s v="ท้องถิ่นเทศบาลเมืองท่าโขลง"/>
        <s v="ท้องถิ่นเทศบาลเมืองคูคต"/>
        <s v="ท้องถิ่นเทศบาลนครรังสิต"/>
        <s v="ท้องถิ่นเทศบาลเมืองปทุมธานี"/>
        <s v="อำเภอพระนครศรีอยุธยา"/>
        <s v="อำเภอท่าเรือ"/>
        <s v="อำเภอนครหลวง"/>
        <s v="อำเภอบางไทร"/>
        <s v="อำเภอบางบาล"/>
        <s v="อำเภอบางปะอิน"/>
        <s v="อำเภอบางปะหัน"/>
        <s v="อำเภอผักไห่"/>
        <s v="อำเภอภาชี"/>
        <s v="อำเภอลาดบัวหลวง"/>
        <s v="อำเภอวังน้อย"/>
        <s v="อำเภอเสนา"/>
        <s v="อำเภอบางซ้าย"/>
        <s v="อำเภออุทัย"/>
        <s v="อำเภอมหาราช"/>
        <s v="อำเภอบ้านแพรก"/>
        <s v="ท้องถิ่นเทศบาลเมืองบ้านกรด"/>
        <s v="ท้องถิ่นเทศบาลตำบลสามเมือง"/>
        <s v="ท้องถิ่นเทศบาลตำบลสามกอ"/>
        <s v="ท้องถิ่นเทศบาลตำบลบางนมโค"/>
        <s v="ท้องถิ่นเทศบาลตำบลบางกระสั้น"/>
        <s v="ท้องถิ่นเทศบาลตำบลเชียงรากน้อย"/>
        <s v="ท้องถิ่นเทศบาลตำบลคลองจิก"/>
        <s v="ท้องถิ่นเทศบาลตำบลปราสาททอง"/>
        <s v="ท้องถิ่นเทศบาลตำบลบ้านแพรก"/>
        <s v="ท้องถิ่นเทศบาลตำบลโรงช้าง"/>
        <s v="ท้องถิ่นเทศบาลตำบลมหาราช"/>
        <s v="ท้องถิ่นเทศบาลตำบลอุทัย"/>
        <s v="ท้องถิ่นเทศบาลตำบลบางซ้าย"/>
        <s v="ท้องถิ่นเทศบาลตำบลหัวเวียง"/>
        <s v="ท้องถิ่นเทศบาลเมืองลำตาเสา"/>
        <s v="ท้องถิ่นเทศบาลตำบลลาดบัวหลวง"/>
        <s v="ท้องถิ่นเทศบาลตำบลภาชี"/>
        <s v="ท้องถิ่นเทศบาลตำบลลาดชะโด"/>
        <s v="ท้องถิ่นเทศบาลเมืองผักไห่"/>
        <s v="ท้องถิ่นเทศบาลตำบลพระอินทราชา"/>
        <s v="ท้องถิ่นเทศบาลตำบลบ้านสร้าง"/>
        <s v="ท้องถิ่นเทศบาลตำบลบางปะอิน"/>
        <s v="ท้องถิ่นเทศบาลตำบลบางปะหัน"/>
        <s v="ท้องถิ่นเทศบาลตำบลมหาพราหมณ์"/>
        <s v="ท้องถิ่นเทศบาลตำบลบางบาล"/>
        <s v="ท้องถิ่นเทศบาลตำบลราชคราม"/>
        <s v="ท้องถิ่นเทศบาลตำบลบางไทร"/>
        <s v="ท้องถิ่นเทศบาลตำบลอรัญญิก"/>
        <s v="ท้องถิ่นเทศบาลตำบลนครหลวง"/>
        <s v="ท้องถิ่นเทศบาลตำบลท่าหลวง"/>
        <s v="ท้องถิ่นเทศบาลเมืองอโยธยา"/>
        <s v="ท้องถิ่นเทศบาลตำบลเจ้าเจ็ด"/>
        <s v="ท้องถิ่นเทศบาลตำบลท่าเรือ"/>
        <s v="ท้องถิ่นเทศบาลเมืองเสนา"/>
        <s v="ท้องถิ่นเทศบาลนครพระนครศรีอยุธยา"/>
        <s v="อำเภอเมืองอ่างทอง"/>
        <s v="อำเภอไชโย"/>
        <s v="อำเภอป่าโมก"/>
        <s v="อำเภอโพธิ์ทอง"/>
        <s v="อำเภอแสวงหา"/>
        <s v="อำเภอวิเศษชัยชาญ"/>
        <s v="อำเภอสามโก้"/>
        <s v="ท้องถิ่นเทศบาลตำบลสามโก้"/>
        <s v="ท้องถิ่นเทศบาลตำบลวิเศษไชยชาญ"/>
        <s v="ท้องถิ่นเทศบาลตำบลบางจัก"/>
        <s v="ท้องถิ่นเทศบาลตำบลแสวงหา"/>
        <s v="ท้องถิ่นเทศบาลตำบลรำมะสัก"/>
        <s v="ท้องถิ่นเทศบาลตำบลโพธิ์ทอง"/>
        <s v="ท้องถิ่นเทศบาลตำบลไชโย"/>
        <s v="ท้องถิ่นเทศบาลตำบลเกษไชโย"/>
        <s v="ท้องถิ่นเทศบาลตำบลป่าโมก"/>
        <s v="ท้องถิ่นเทศบาลเมืองอ่างทอง"/>
        <s v="อำเภอเมืองลพบุรี"/>
        <s v="อำเภอพัฒนานิคม"/>
        <s v="อำเภอโคกสำโรง"/>
        <s v="อำเภอชัยบาดาล"/>
        <s v="อำเภอท่าวุ้ง"/>
        <s v="อำเภอบ้านหมี่"/>
        <s v="อำเภอท่าหลวง"/>
        <s v="อำเภอสระโบสถ์"/>
        <s v="อำเภอโคกเจริญ"/>
        <s v="อำเภอลำสนธิ"/>
        <s v="อำเภอหนองม่วง"/>
        <s v="ท้องถิ่นเทศบาลตำบลกกโก"/>
        <s v="ท้องถิ่นเทศบาลตำบลถนนใหญ่"/>
        <s v="ท้องถิ่นเทศบาลเมืองเขาสามยอด"/>
        <s v="ท้องถิ่นเทศบาลตำบลท่าศาลา"/>
        <s v="ท้องถิ่นเทศบาลตำบลดีลัง"/>
        <s v="ท้องถิ่นเทศบาลตำบลเขาพระงาม"/>
        <s v="ท้องถิ่นเทศบาลตำบลสระโบสถ์"/>
        <s v="ท้องถิ่นเทศบาลตำบลบ้านท่าหลวง"/>
        <s v="ท้องถิ่นเทศบาลตำบลท่าวุ้ง"/>
        <s v="ท้องถิ่นเทศบาลตำบลท่าโขลง"/>
        <s v="ท้องถิ่นเทศบาลตำบลลำนารายณ์"/>
        <s v="ท้องถิ่นเทศบาลตำบลหนองม่วง"/>
        <s v="ท้องถิ่นเทศบาลตำบลพัฒนานิคม"/>
        <s v="ท้องถิ่นเทศบาลตำบลแก่งเสือเต้น"/>
        <s v="ท้องถิ่นเทศบาลตำบลโคกตูม"/>
        <s v="ท้องถิ่นเทศบาลตำบลโคกสำโรง"/>
        <s v="ท้องถิ่นเทศบาลเมืองบ้านหมี่"/>
        <s v="ท้องถิ่นเทศบาลเมืองลพบุรี"/>
        <s v="อำเภอเมืองสิงห์บุรี"/>
        <s v="อำเภอบางระจัน"/>
        <s v="อำเภอค่ายบางระจัน"/>
        <s v="อำเภอพรหมบุรี"/>
        <s v="อำเภอท่าช้าง"/>
        <s v="อำเภออินทร์บุรี"/>
        <s v="ท้องถิ่นเทศบาลตำบลอินทร์บุรี"/>
        <s v="ท้องถิ่นเทศบาลตำบลถอนสมอ"/>
        <s v="ท้องถิ่นเทศบาลตำบลพรหมบุรี"/>
        <s v="ท้องถิ่นเทศบาลตำบลบางน้ำเชี่ยว"/>
        <s v="ท้องถิ่นเทศบาลตำบลโพสังโฆ"/>
        <s v="ท้องถิ่นเทศบาลเมืองบางระจัน"/>
        <s v="ท้องถิ่นเทศบาลเมืองสิงห์บุรี"/>
        <s v="อำเภอเมืองชัยนาท"/>
        <s v="อำเภอมโนรมย์"/>
        <s v="อำเภอวัดสิงห์"/>
        <s v="อำเภอสรรพยา"/>
        <s v="อำเภอสรรคบุรี"/>
        <s v="อำเภอหันคา"/>
        <s v="อำเภอหนองมะโมง"/>
        <s v="อำเภอเนินขาม"/>
        <s v="ท้องถิ่นเทศบาลตำบลนางลือ"/>
        <s v="ท้องถิ่นเทศบาลตำบลเสือโฮก"/>
        <s v="ท้องถิ่นเทศบาลตำบลหาดท่าเสา"/>
        <s v="ท้องถิ่นเทศบาลตำบลชัยนาท"/>
        <s v="ท้องถิ่นเทศบาลตำบลบ้านกล้วย"/>
        <s v="ท้องถิ่นเทศบาลตำบลหนองแซง"/>
        <s v="ท้องถิ่นเทศบาลตำบลวังตะเคียน"/>
        <s v="ท้องถิ่นเทศบาลตำบลเนินขาม"/>
        <s v="ท้องถิ่นเทศบาลตำบลหันคา"/>
        <s v="ท้องถิ่นเทศบาลตำบลสามง่ามท่าโบสถ์"/>
        <s v="ท้องถิ่นเทศบาลตำบลแพรกศรีราชา"/>
        <s v="ท้องถิ่นเทศบาลตำบลสรรพยา"/>
        <s v="ท้องถิ่นเทศบาลตำบลโพธิ์พิทักษ์"/>
        <s v="ท้องถิ่นเทศบาลตำบลหางน้ำสาคร"/>
        <s v="ท้องถิ่นเทศบาลตำบลคุ้งสำเภา"/>
        <s v="ท้องถิ่นเทศบาลตำบลวัดสิงห์"/>
        <s v="ท้องถิ่นเทศบาลเมืองชัยนาท"/>
        <s v="อำเภอเมืองสระบุรี"/>
        <s v="อำเภอแก่งคอย"/>
        <s v="อำเภอหนองแค"/>
        <s v="อำเภอวิหารแดง"/>
        <s v="อำเภอหนองแซง"/>
        <s v="อำเภอบ้านหมอ"/>
        <s v="อำเภอดอนพุด"/>
        <s v="อำเภอหนองโดน"/>
        <s v="อำเภอพระพุทธบาท"/>
        <s v="อำเภอเสาไห้"/>
        <s v="อำเภอมวกเหล็ก"/>
        <s v="อำเภอวังม่วง"/>
        <s v="อำเภอเฉลิมพระเกียรติ"/>
        <s v="ท้องถิ่นเทศบาลตำบลพุกร่าง"/>
        <s v="ท้องถิ่นเทศบาลตำบลคำพราน"/>
        <s v="ท้องถิ่นเทศบาลตำบลไผ่ต่ำ"/>
        <s v="ท้องถิ่นเทศบาลตำบลตะกุด"/>
        <s v="ท้องถิ่นเทศบาลตำบลกุดนกเปล้า"/>
        <s v="ท้องถิ่นเทศบาลตำบลหน้าพระลาน"/>
        <s v="ท้องถิ่นเทศบาลตำบลวังม่วง"/>
        <s v="ท้องถิ่นเทศบาลตำบลมวกเหล็ก"/>
        <s v="ท้องถิ่นเทศบาลตำบลเสาไห้"/>
        <s v="ท้องถิ่นเทศบาลตำบลสวนดอกไม้"/>
        <s v="ท้องถิ่นเทศบาลตำบลบ้านยาง"/>
        <s v="ท้องถิ่นเทศบาลตำบลหนองโดน"/>
        <s v="ท้องถิ่นเทศบาลตำบลดอนพุด"/>
        <s v="ท้องถิ่นเทศบาลตำบลบ้านหมอ"/>
        <s v="ท้องถิ่นเทศบาลตำบลท่าลาน"/>
        <s v="ท้องถิ่นเทศบาลตำบลหนองหมู"/>
        <s v="ท้องถิ่นเทศบาลตำบลวิหารแดง"/>
        <s v="ท้องถิ่นเทศบาลตำบลหินกอง"/>
        <s v="ท้องถิ่นเทศบาลตำบลคชสิทธิ์"/>
        <s v="ท้องถิ่นเทศบาลเมืองทับกวาง"/>
        <s v="ท้องถิ่นเทศบาลตำบลป๊อกแป๊ก"/>
        <s v="ท้องถิ่นเทศบาลเมืองพระพุทธบาท"/>
        <s v="ท้องถิ่นเทศบาลตำบลหนองแค"/>
        <s v="ท้องถิ่นเทศบาลเมืองแก่งคอย"/>
        <s v="ท้องถิ่นเทศบาลเมืองสระบุรี"/>
        <s v="อำเภอเมืองชลบุรี"/>
        <s v="อำเภอบ้านบึง"/>
        <s v="อำเภอหนองใหญ่"/>
        <s v="อำเภอบางละมุง"/>
        <s v="อำเภอพานทอง"/>
        <s v="อำเภอพนัสนิคม"/>
        <s v="อำเภอศรีราชา"/>
        <s v="อำเภอสัตหีบ"/>
        <s v="อำเภอบ่อทอง"/>
        <s v="อำเภอเกาะจันทร์"/>
        <s v="ท้องถิ่นเทศบาลตำบลเกล็ดแก้ว"/>
        <s v="ท้องถิ่นเทศบาลตำบลเขตรอุดมศักดิ์"/>
        <s v="ท้องถิ่นเทศบาลตำบลหมอนนาง"/>
        <s v="ท้องถิ่นเทศบาลตำบลตะเคียนเตี้ย"/>
        <s v="ท้องถิ่นเทศบาลตำบลเสม็ด"/>
        <s v="ท้องถิ่นเทศบาลตำบลดอนหัวฬ่อ"/>
        <s v="ท้องถิ่นเทศบาลตำบลห้วยกะปิ"/>
        <s v="ท้องถิ่นเทศบาลตำบลนาป่า"/>
        <s v="ท้องถิ่นเทศบาลตำบลหนองไม้แดง"/>
        <s v="ท้องถิ่นเทศบาลตำบลธาตุทอง"/>
        <s v="ท้องถิ่นเทศบาลตำบลโป่ง"/>
        <s v="ท้องถิ่นเทศบาลเมืองหนองปรือ"/>
        <s v="ท้องถิ่นเทศบาลตำบลท่าบุญมี"/>
        <s v="ท้องถิ่นเทศบาลตำบลเกาะจันทร์"/>
        <s v="ท้องถิ่นเทศบาลตำบลบ่อทอง"/>
        <s v="ท้องถิ่นเทศบาลเมืองสัตหีบ"/>
        <s v="ท้องถิ่นเทศบาลตำบลบางเสร่"/>
        <s v="ท้องถิ่นเทศบาลตำบลนาจอมเทียน"/>
        <s v="ท้องถิ่นเทศบาลตำบลเกาะสีชัง"/>
        <s v="ท้องถิ่นเทศบาลนครเจ้าพระยาสุรศักดิ์"/>
        <s v="ท้องถิ่นเทศบาลตำบลบางพระ"/>
        <s v="ท้องถิ่นเทศบาลตำบลหนองตำลึง"/>
        <s v="ท้องถิ่นเทศบาลตำบลพานทอง"/>
        <s v="ท้องถิ่นเทศบาลตำบลห้วยใหญ่"/>
        <s v="ท้องถิ่นเทศบาลตำบลบางละมุง"/>
        <s v="ท้องถิ่นเทศบาลตำบลหนองใหญ่"/>
        <s v="ท้องถิ่นเทศบาลตำบลหัวกุญแจ"/>
        <s v="ท้องถิ่นเทศบาลตำบลหนองไผ่แก้ว"/>
        <s v="ท้องถิ่นเทศบาลเมืองอ่างศิลา"/>
        <s v="ท้องถิ่นเทศบาลเมืองบ้านสวน"/>
        <s v="ท้องถิ่นเทศบาลตำบลบางทราย"/>
        <s v="ท้องถิ่นเทศบาลตำบลคลองตำหรุ"/>
        <s v="ท้องถิ่นเทศบาลนครแหลมฉบัง"/>
        <s v="ท้องถิ่นเทศบาลเมืองแสนสุข"/>
        <s v="ท้องถิ่นเทศบาลเมืองบ้านบึง"/>
        <s v="ท้องถิ่นเมืองพัทยา"/>
        <s v="ท้องถิ่นเทศบาลเมืองศรีราชา"/>
        <s v="ท้องถิ่นเทศบาลเมืองพนัสนิคม"/>
        <s v="ท้องถิ่นเทศบาลเมืองชลบุรี"/>
        <s v="อำเภอเมืองระยอง"/>
        <s v="อำเภอบ้านฉาง"/>
        <s v="อำเภอแกลง"/>
        <s v="อำเภอวังจันทร์"/>
        <s v="อำเภอบ้านค่าย"/>
        <s v="อำเภอปลวกแดง"/>
        <s v="อำเภอเขาชะเมา"/>
        <s v="อำเภอนิคมพัฒนา"/>
        <s v="ท้องถิ่นเทศบาลตำบลพลา"/>
        <s v="ท้องถิ่นเทศบาลตำบลเนินฆ้อ"/>
        <s v="ท้องถิ่นเทศบาลตำบลทับมา"/>
        <s v="ท้องถิ่นเทศบาลตำบลบ้านนา"/>
        <s v="ท้องถิ่นเทศบาลตำบลมาบข่าพัฒนา"/>
        <s v="ท้องถิ่นเทศบาลตำบลบ้านฉาง"/>
        <s v="ท้องถิ่นเทศบาลตำบลมะขามคู่"/>
        <s v="ท้องถิ่นเทศบาลตำบลนิคมพัฒนา"/>
        <s v="ท้องถิ่นเทศบาลตำบลบ้านปลวกแดง"/>
        <s v="ท้องถิ่นเทศบาลตำบลจอมพลเจ้าพระยา"/>
        <s v="ท้องถิ่นเทศบาลตำบลบ้านค่าย"/>
        <s v="ท้องถิ่นเทศบาลตำบลชุมแสง"/>
        <s v="ท้องถิ่นเทศบาลตำบลสุนทรภู่"/>
        <s v="ท้องถิ่นเทศบาลตำบลปากน้ำประแส"/>
        <s v="ท้องถิ่นเทศบาลตำบลทุ่งควายกิน"/>
        <s v="ท้องถิ่นเทศบาลตำบลกองดิน"/>
        <s v="ท้องถิ่นเทศบาลตำบลสำนักท้อน"/>
        <s v="ท้องถิ่นเทศบาลเมืองบ้านฉาง"/>
        <s v="ท้องถิ่นเทศบาลตำบลบ้านเพ"/>
        <s v="ท้องถิ่นเทศบาลตำบลแกลงกะเฉด"/>
        <s v="ท้องถิ่นเทศบาลเมืองมาบตาพุด"/>
        <s v="ท้องถิ่นเทศบาลตำบลเมืองแกลง"/>
        <s v="ท้องถิ่นเทศบาลนครระยอง"/>
        <s v="อำเภอเมืองจันทบุรี"/>
        <s v="อำเภอขลุง"/>
        <s v="อำเภอท่าใหม่"/>
        <s v="อำเภอโป่งน้ำร้อน"/>
        <s v="อำเภอมะขาม"/>
        <s v="อำเภอแหลมสิงห์"/>
        <s v="อำเภอสอยดาว"/>
        <s v="อำเภอแก่งหางแมว"/>
        <s v="อำเภอนายายอาม"/>
        <s v="อำเภอเขาคิชฌกูฏ"/>
        <s v="ท้องถิ่นเทศบาลตำบลเขาบายศรี"/>
        <s v="ท้องถิ่นเทศบาลตำบลคลองใหญ่"/>
        <s v="ท้องถิ่นเทศบาลตำบลหนองตาคง"/>
        <s v="ท้องถิ่นเทศบาลตำบลตกพรม"/>
        <s v="ท้องถิ่นเทศบาลตำบลเกวียนหัก"/>
        <s v="ท้องถิ่นเทศบาลตำบลบ่อ"/>
        <s v="ท้องถิ่นเทศบาลตำบลชากไทย"/>
        <s v="ท้องถิ่นเทศบาลตำบลตะเคียนทอง"/>
        <s v="ท้องถิ่นเทศบาลตำบลเกาะขวาง"/>
        <s v="ท้องถิ่นเทศบาลตำบลบ่อเวฬุ"/>
        <s v="ท้องถิ่นเทศบาลตำบลพลวง"/>
        <s v="ท้องถิ่นเทศบาลตำบลทับช้าง"/>
        <s v="ท้องถิ่นเทศบาลตำบลนายายอาม"/>
        <s v="ท้องถิ่นเทศบาลตำบลสอยดาว"/>
        <s v="ท้องถิ่นเทศบาลตำบลพลิ้ว"/>
        <s v="ท้องถิ่นเทศบาลตำบลปากน้ำแหลมสิงห์"/>
        <s v="ท้องถิ่นเทศบาลตำบลมะขาม"/>
        <s v="ท้องถิ่นเทศบาลตำบลโป่งน้ำร้อน"/>
        <s v="ท้องถิ่นเทศบาลตำบลหนองคล้า"/>
        <s v="ท้องถิ่นเทศบาลตำบลเนินสูง"/>
        <s v="ท้องถิ่นเทศบาลตำบลหนองบัว"/>
        <s v="ท้องถิ่นเทศบาลตำบลพลับพลานารายณ์"/>
        <s v="ท้องถิ่นเทศบาลตำบลบางกะจะ"/>
        <s v="ท้องถิ่นเทศบาลเมืองท่าช้าง"/>
        <s v="ท้องถิ่นเทศบาลเมืองจันทนิมิต"/>
        <s v="ท้องถิ่นเทศบาลเมืองขลุง"/>
        <s v="ท้องถิ่นเทศบาลเมืองท่าใหม่"/>
        <s v="ท้องถิ่นเทศบาลเมืองจันทบุรี"/>
        <s v="อำเภอเมืองตราด"/>
        <s v="อำเภอคลองใหญ่"/>
        <s v="อำเภอเขาสมิง"/>
        <s v="อำเภอบ่อไร่"/>
        <s v="อำเภอแหลมงอบ"/>
        <s v="อำเภอเกาะกูด"/>
        <s v="อำเภอเกาะช้าง"/>
        <s v="ท้องถิ่นเทศบาลตำบลตะกาง"/>
        <s v="ท้องถิ่นเทศบาลตำบลหนองบอน"/>
        <s v="ท้องถิ่นเทศบาลตำบลแหลมงอบ"/>
        <s v="ท้องถิ่นเทศบาลตำบลน้ำเชี่ยว"/>
        <s v="ท้องถิ่นเทศบาลตำบลบ่อพลอย"/>
        <s v="ท้องถิ่นเทศบาลตำบลแสนตุ้ง"/>
        <s v="ท้องถิ่นเทศบาลตำบลเขาสมิง"/>
        <s v="ท้องถิ่นเทศบาลตำบลหาดเล็ก"/>
        <s v="ท้องถิ่นเทศบาลตำบลท่าพริกเนินทราย"/>
        <s v="ท้องถิ่นเทศบาลเมืองตราด"/>
        <s v="อำเภอเมืองฉะเชิงเทรา"/>
        <s v="อำเภอบางคล้า"/>
        <s v="อำเภอบางน้ำเปรี้ยว"/>
        <s v="อำเภอบางปะกง"/>
        <s v="อำเภอบ้านโพธิ์"/>
        <s v="อำเภอพนมสารคาม"/>
        <s v="อำเภอราชสาส์น"/>
        <s v="อำเภอสนามชัยเขต"/>
        <s v="อำเภอแปลงยาว"/>
        <s v="อำเภอท่าตะเกียบ"/>
        <s v="อำเภอคลองเขื่อน"/>
        <s v="ท้องถิ่นเทศบาลตำบลบางวัวคณารักษ์"/>
        <s v="ท้องถิ่นเทศบาลตำบลพิมพา"/>
        <s v="ท้องถิ่นเทศบาลตำบลวังเย็น"/>
        <s v="ท้องถิ่นเทศบาลตำบลดอนเกาะกา"/>
        <s v="ท้องถิ่นเทศบาลตำบลหัวสำโรง"/>
        <s v="ท้องถิ่นเทศบาลตำบลแปลงยาว"/>
        <s v="ท้องถิ่นเทศบาลตำบลทุ่งสะเดา"/>
        <s v="ท้องถิ่นเทศบาลตำบลสนามชัยเขต"/>
        <s v="ท้องถิ่นเทศบาลตำบลพนมสารคาม"/>
        <s v="ท้องถิ่นเทศบาลตำบลเขาหินซ้อน"/>
        <s v="ท้องถิ่นเทศบาลตำบลเกาะขนุน"/>
        <s v="ท้องถิ่นเทศบาลตำบลบ้านโพธิ์"/>
        <s v="ท้องถิ่นเทศบาลตำบลเทพราช"/>
        <s v="ท้องถิ่นเทศบาลตำบลบางวัว"/>
        <s v="ท้องถิ่นเทศบาลตำบลบางปะกง"/>
        <s v="ท้องถิ่นเทศบาลตำบลหอมศีล"/>
        <s v="ท้องถิ่นเทศบาลตำบลท่าสะอ้าน"/>
        <s v="ท้องถิ่นเทศบาลตำบลท่าข้าม"/>
        <s v="ท้องถิ่นเทศบาลตำบลศาลาแดง"/>
        <s v="ท้องถิ่นเทศบาลตำบลบางน้ำเปรี้ยว"/>
        <s v="ท้องถิ่นเทศบาลตำบลบางขนาก"/>
        <s v="ท้องถิ่นเทศบาลตำบลดอนฉิมพลี"/>
        <s v="ท้องถิ่นเทศบาลตำบลปากน้ำ"/>
        <s v="ท้องถิ่นเทศบาลตำบลนครเนื่องเขต"/>
        <s v="ท้องถิ่นเทศบาลตำบลบางคล้า"/>
        <s v="ท้องถิ่นเทศบาลเมืองฉะเชิงเทรา"/>
        <s v="อำเภอเมืองปราจีนบุรี"/>
        <s v="อำเภอกบินทร์บุรี"/>
        <s v="อำเภอนาดี"/>
        <s v="อำเภอบ้านสร้าง"/>
        <s v="อำเภอประจันตคาม"/>
        <s v="อำเภอศรีมหาโพธิ"/>
        <s v="อำเภอศรีมโหสถ"/>
        <s v="ท้องถิ่นเทศบาลตำบลโคกมะกอก"/>
        <s v="ท้องถิ่นเทศบาลตำบลโคกปีบ"/>
        <s v="ท้องถิ่นเทศบาลตำบลศรีมหาโพธิ"/>
        <s v="ท้องถิ่นเทศบาลตำบลกรอกสมบูรณ์"/>
        <s v="ท้องถิ่นเทศบาลตำบลประจันตคาม"/>
        <s v="ท้องถิ่นเทศบาลตำบลนาดี"/>
        <s v="ท้องถิ่นเทศบาลตำบลสระบัว"/>
        <s v="ท้องถิ่นเทศบาลตำบลเมืองเก่า"/>
        <s v="ท้องถิ่นเทศบาลตำบลบ้านนาปรือ"/>
        <s v="ท้องถิ่นเทศบาลตำบลกบินทร์"/>
        <s v="ท้องถิ่นเทศบาลเมืองปราจีนบุรี"/>
        <s v="อำเภอเมืองนครนายก"/>
        <s v="อำเภอปากพลี"/>
        <s v="อำเภอบ้านนา"/>
        <s v="อำเภอองครักษ์"/>
        <s v="ท้องถิ่นเทศบาลตำบลองครักษ์"/>
        <s v="ท้องถิ่นเทศบาลตำบลเกาะหวาย"/>
        <s v="ท้องถิ่นเทศบาลตำบลท่าช้าง"/>
        <s v="ท้องถิ่นเทศบาลเมืองนครนายก"/>
        <s v="อำเภอเมืองสระแก้ว"/>
        <s v="อำเภอคลองหาด"/>
        <s v="อำเภอตาพระยา"/>
        <s v="อำเภอวังน้ำเย็น"/>
        <s v="อำเภอวัฒนานคร"/>
        <s v="อำเภออรัญประเทศ"/>
        <s v="อำเภอเขาฉกรรจ์"/>
        <s v="อำเภอโคกสูง"/>
        <s v="อำเภอวังสมบูรณ์"/>
        <s v="ท้องถิ่นเทศบาลตำบลวังสมบูรณ์"/>
        <s v="ท้องถิ่นเทศบาลตำบลเขาฉกรรจ์"/>
        <s v="ท้องถิ่นเทศบาลตำบลวัฒนานคร"/>
        <s v="ท้องถิ่นเทศบาลเมืองวังน้ำเย็น"/>
        <s v="ท้องถิ่นเทศบาลตำบลตาพระยา"/>
        <s v="ท้องถิ่นเทศบาลตำบลศาลาลำดวน"/>
        <s v="ท้องถิ่นเทศบาลตำบลท่าเกษม"/>
        <s v="ท้องถิ่นเทศบาลเมืองอรัญญประเทศ"/>
        <s v="ท้องถิ่นเทศบาลเมืองสระแก้ว"/>
        <s v="อำเภอเมืองนครราชสีมา"/>
        <s v="อำเภอครบุรี"/>
        <s v="อำเภอเสิงสาง"/>
        <s v="อำเภอคง"/>
        <s v="อำเภอบ้านเหลื่อม"/>
        <s v="อำเภอจักราช"/>
        <s v="อำเภอโชคชัย"/>
        <s v="อำเภอด่านขุนทด"/>
        <s v="อำเภอโนนไทย"/>
        <s v="อำเภอโนนสูง"/>
        <s v="อำเภอขามสะแกแสง"/>
        <s v="อำเภอบัวใหญ่"/>
        <s v="อำเภอประทาย"/>
        <s v="อำเภอปักธงชัย"/>
        <s v="อำเภอพิมาย"/>
        <s v="อำเภอห้วยแถลง"/>
        <s v="อำเภอชุมพวง"/>
        <s v="อำเภอสูงเนิน"/>
        <s v="อำเภอขามทะเลสอ"/>
        <s v="อำเภอสีคิ้ว"/>
        <s v="อำเภอปากช่อง"/>
        <s v="อำเภอหนองบุญมาก"/>
        <s v="อำเภอแก้งสนามนาง"/>
        <s v="อำเภอโนนแดง"/>
        <s v="อำเภอวังน้ำเขียว"/>
        <s v="อำเภอเทพารักษ์"/>
        <s v="อำเภอเมืองยาง"/>
        <s v="อำเภอพระทองคำ"/>
        <s v="อำเภอลำทะเมนชัย"/>
        <s v="อำเภอบัวลาย"/>
        <s v="อำเภอสีดา"/>
        <s v="ท้องถิ่นเทศบาลตำบลเมืองใหม่โคกกรวด"/>
        <s v="ท้องถิ่นเทศบาลตำบลเมืองยาง"/>
        <s v="ท้องถิ่นเทศบาลตำบลหนองน้ำใส"/>
        <s v="ท้องถิ่นเทศบาลตำบลด่านคล้า"/>
        <s v="ท้องถิ่นเทศบาลตำบลใหม่"/>
        <s v="ท้องถิ่นเทศบาลตำบลหนองบัวตะเกียด"/>
        <s v="ท้องถิ่นเทศบาลตำบลบัลลังก์"/>
        <s v="ท้องถิ่นเทศบาลตำบลหนองไข่น้ำ"/>
        <s v="ท้องถิ่นเทศบาลตำบลท่าเยี่ยม"/>
        <s v="ท้องถิ่นเทศบาลตำบลสีมามงคล"/>
        <s v="ท้องถิ่นเทศบาลตำบลลำนางแก้ว"/>
        <s v="ท้องถิ่นเทศบาลตำบลดอนหวาย"/>
        <s v="ท้องถิ่นเทศบาลตำบลหมูสี"/>
        <s v="ท้องถิ่นเทศบาลตำบลโพธิ์กลาง"/>
        <s v="ท้องถิ่นเทศบาลตำบลหัวทะเล"/>
        <s v="ท้องถิ่นเทศบาลตำบลวังไทร"/>
        <s v="ท้องถิ่นเทศบาลตำบลปรุใหญ่"/>
        <s v="ท้องถิ่นเทศบาลตำบลหนองไผ่ล้อม"/>
        <s v="ท้องถิ่นเทศบาลตำบลสีดา"/>
        <s v="ท้องถิ่นเทศบาลตำบลหนองบัวลาย"/>
        <s v="ท้องถิ่นเทศบาลตำบลหนองบัววง"/>
        <s v="ท้องถิ่นเทศบาลตำบลพระทองคำ"/>
        <s v="ท้องถิ่นเทศบาลตำบลศาลเจ้าพ่อ"/>
        <s v="ท้องถิ่นเทศบาลตำบลโนนแดง"/>
        <s v="ท้องถิ่นเทศบาลตำบลกลางดง"/>
        <s v="ท้องถิ่นเทศบาลเมืองสีคิ้ว"/>
        <s v="ท้องถิ่นเทศบาลตำบลลาดบัวขาว"/>
        <s v="ท้องถิ่นเทศบาลตำบลคลองไผ่"/>
        <s v="ท้องถิ่นเทศบาลตำบลขามทะเลสอ"/>
        <s v="ท้องถิ่นเทศบาลตำบลสูงเนิน"/>
        <s v="ท้องถิ่นเทศบาลตำบลกุดจิก"/>
        <s v="ท้องถิ่นเทศบาลตำบลชุมพวง"/>
        <s v="ท้องถิ่นเทศบาลตำบลหินดาด"/>
        <s v="ท้องถิ่นเทศบาลตำบลห้วยแถลง"/>
        <s v="ท้องถิ่นเทศบาลตำบลพิมาย"/>
        <s v="ท้องถิ่นเทศบาลเมืองเมืองปัก"/>
        <s v="ท้องถิ่นเทศบาลตำบลตะขบ"/>
        <s v="ท้องถิ่นเทศบาลตำบลประทาย"/>
        <s v="ท้องถิ่นเทศบาลตำบลหนองหัวฟาน"/>
        <s v="ท้องถิ่นเทศบาลตำบลขามสะแกแสง"/>
        <s v="ท้องถิ่นเทศบาลตำบลมะค่า"/>
        <s v="ท้องถิ่นเทศบาลตำบลตลาดแค"/>
        <s v="ท้องถิ่นเทศบาลตำบลโนนไทย"/>
        <s v="ท้องถิ่นเทศบาลตำบลโคกสวาย"/>
        <s v="ท้องถิ่นเทศบาลตำบลหนองกราด"/>
        <s v="ท้องถิ่นเทศบาลตำบลด่านขุนทด"/>
        <s v="ท้องถิ่นเทศบาลตำบลด่านเกวียน"/>
        <s v="ท้องถิ่นเทศบาลตำบลโชคชัย"/>
        <s v="ท้องถิ่นเทศบาลตำบลจักราช"/>
        <s v="ท้องถิ่นเทศบาลตำบลบ้านเหลื่อม"/>
        <s v="ท้องถิ่นเทศบาลตำบลเมืองคง"/>
        <s v="ท้องถิ่นเทศบาลตำบลเทพาลัย"/>
        <s v="ท้องถิ่นเทศบาลตำบลเสิงสาง"/>
        <s v="ท้องถิ่นเทศบาลตำบลโนนสมบูรณ์"/>
        <s v="ท้องถิ่นเทศบาลตำบลไทรโยง-ไชยวาล"/>
        <s v="ท้องถิ่นเทศบาลตำบลแชะ"/>
        <s v="ท้องถิ่นเทศบาลตำบลจระเข้หิน"/>
        <s v="ท้องถิ่นเทศบาลตำบลจอหอ"/>
        <s v="ท้องถิ่นเทศบาลตำบลโคกกรวด"/>
        <s v="ท้องถิ่นเทศบาลตำบลโนนสูง"/>
        <s v="ท้องถิ่นเทศบาลเมืองบัวใหญ่"/>
        <s v="ท้องถิ่นเทศบาลเมืองปากช่อง"/>
        <s v="ท้องถิ่นเทศบาลนครนครราชสีมา"/>
        <s v="อำเภอเมืองบุรีรัมย์"/>
        <s v="อำเภอคูเมือง"/>
        <s v="อำเภอกระสัง"/>
        <s v="อำเภอนางรอง"/>
        <s v="อำเภอหนองกี่"/>
        <s v="อำเภอละหานทราย"/>
        <s v="อำเภอประโคนชัย"/>
        <s v="อำเภอบ้านกรวด"/>
        <s v="อำเภอพุทไธสง"/>
        <s v="อำเภอลำปลายมาศ"/>
        <s v="อำเภอสตึก"/>
        <s v="อำเภอปะคำ"/>
        <s v="อำเภอนาโพธิ์"/>
        <s v="อำเภอหนองหงส์"/>
        <s v="อำเภอพลับพลาชัย"/>
        <s v="อำเภอห้วยราช"/>
        <s v="อำเภอโนนสุวรรณ"/>
        <s v="อำเภอชำนิ"/>
        <s v="อำเภอบ้านใหม่ไชยพจน์"/>
        <s v="อำเภอโนนดินแดง"/>
        <s v="อำเภอบ้านด่าน"/>
        <s v="อำเภอแคนดง"/>
        <s v="ท้องถิ่นเทศบาลตำบลจันดุม"/>
        <s v="ท้องถิ่นเทศบาลตำบลห้วยหิน"/>
        <s v="ท้องถิ่นเทศบาลตำบลสำโรงใหม่"/>
        <s v="ท้องถิ่นเทศบาลตำบลจันทบเพชร"/>
        <s v="ท้องถิ่นเทศบาลตำบลหนองแวง"/>
        <s v="ท้องถิ่นเทศบาลตำบลหนองไม้งาม"/>
        <s v="ท้องถิ่นเทศบาลตำบลบ้านกรวดปัญญาวัฒน์"/>
        <s v="ท้องถิ่นเทศบาลตำบลบ้านด่าน"/>
        <s v="ท้องถิ่นเทศบาลตำบลถาวร"/>
        <s v="ท้องถิ่นเทศบาลตำบลยายแย้มวัฒนา"/>
        <s v="ท้องถิ่นเทศบาลตำบลศาลเจ้าพ่อขุนศรี"/>
        <s v="ท้องถิ่นเทศบาลตำบลตาจง"/>
        <s v="ท้องถิ่นเทศบาลตำบลพนมรุ้ง"/>
        <s v="ท้องถิ่นเทศบาลตำบลแคนดง"/>
        <s v="ท้องถิ่นเทศบาลตำบลโนนดินแดง"/>
        <s v="ท้องถิ่นเทศบาลตำบลบ้านใหม่ไชยพจน์"/>
        <s v="ท้องถิ่นเทศบาลตำบลโนนสุวรรณ"/>
        <s v="ท้องถิ่นเทศบาลตำบลห้วยราช"/>
        <s v="ท้องถิ่นเทศบาลตำบลพลับพลาชัย"/>
        <s v="ท้องถิ่นเทศบาลตำบลหนองหงส์"/>
        <s v="ท้องถิ่นเทศบาลตำบลนาโพธิ์"/>
        <s v="ท้องถิ่นเทศบาลตำบลปะคำ"/>
        <s v="ท้องถิ่นเทศบาลตำบลสตึก"/>
        <s v="ท้องถิ่นเทศบาลตำบลลำปลายมาศ"/>
        <s v="ท้องถิ่นเทศบาลตำบลทะเมนชัย"/>
        <s v="ท้องถิ่นเทศบาลตำบลพุทไธสง"/>
        <s v="ท้องถิ่นเทศบาลตำบลบ้านกรวด"/>
        <s v="ท้องถิ่นเทศบาลตำบลตลาดนิคมปราสาท"/>
        <s v="ท้องถิ่นเทศบาลตำบลประโคนชัย"/>
        <s v="ท้องถิ่นเทศบาลตำบลละหานทราย"/>
        <s v="ท้องถิ่นเทศบาลตำบลหนองกี่"/>
        <s v="ท้องถิ่นเทศบาลตำบลกระสัง"/>
        <s v="ท้องถิ่นเทศบาลตำบลหินเหล็กไฟ"/>
        <s v="ท้องถิ่นเทศบาลตำบลคูเมือง"/>
        <s v="ท้องถิ่นเทศบาลเมืองนางรอง"/>
        <s v="ท้องถิ่นเทศบาลนครบุรีรัมย์"/>
        <s v="อำเภอเมืองสุรินทร์"/>
        <s v="อำเภอชุมพลบุรี"/>
        <s v="อำเภอท่าตูม"/>
        <s v="อำเภอจอมพระ"/>
        <s v="อำเภอปราสาท"/>
        <s v="อำเภอกาบเชิง"/>
        <s v="อำเภอรัตนบุรี"/>
        <s v="อำเภอสนม"/>
        <s v="อำเภอศีขรภูมิ"/>
        <s v="อำเภอสังขะ"/>
        <s v="อำเภอลำดวน"/>
        <s v="อำเภอสำโรงทาบ"/>
        <s v="อำเภอบัวเชด"/>
        <s v="อำเภอพนมดงรัก"/>
        <s v="อำเภอศรีณรงค์"/>
        <s v="อำเภอเขวาสินรินทร์"/>
        <s v="อำเภอโนนนารายณ์"/>
        <s v="ท้องถิ่นเทศบาลตำบลบัวเชด"/>
        <s v="ท้องถิ่นเทศบาลตำบลสำโรงทาบ"/>
        <s v="ท้องถิ่นเทศบาลตำบลลำดวนสุรพินท์"/>
        <s v="ท้องถิ่นเทศบาลตำบลสังขะ"/>
        <s v="ท้องถิ่นเทศบาลตำบลศีขรภูมิ"/>
        <s v="ท้องถิ่นเทศบาลตำบลสนม"/>
        <s v="ท้องถิ่นเทศบาลตำบลรัตนบุรี"/>
        <s v="ท้องถิ่นเทศบาลตำบลนิคมปราสาท"/>
        <s v="ท้องถิ่นเทศบาลตำบลกังแอน"/>
        <s v="ท้องถิ่นเทศบาลตำบลจอมพระ"/>
        <s v="ท้องถิ่นเทศบาลตำบลท่าตูม"/>
        <s v="ท้องถิ่นเทศบาลตำบลชุมพลบุรี"/>
        <s v="ท้องถิ่นเทศบาลตำบลเมืองที"/>
        <s v="ท้องถิ่นเทศบาลเมืองสุรินทร์"/>
        <s v="อำเภอเมืองศรีสะเกษ"/>
        <s v="อำเภอยางชุมน้อย"/>
        <s v="อำเภอกันทรารมย์"/>
        <s v="อำเภอกันทรลักษ์"/>
        <s v="อำเภอขุขันธ์"/>
        <s v="อำเภอไพรบึง"/>
        <s v="อำเภอปรางค์กู่"/>
        <s v="อำเภอขุนหาญ"/>
        <s v="อำเภอราษีไศล"/>
        <s v="อำเภออุทุมพรพิสัย"/>
        <s v="อำเภอบึงบูรพ์"/>
        <s v="อำเภอห้วยทับทัน"/>
        <s v="อำเภอโนนคูณ"/>
        <s v="อำเภอศรีรัตนะ"/>
        <s v="อำเภอน้ำเกลี้ยง"/>
        <s v="อำเภอวังหิน"/>
        <s v="อำเภอภูสิงห์"/>
        <s v="อำเภอเมืองจันทร์"/>
        <s v="อำเภอเบญจลักษ์"/>
        <s v="อำเภอพยุห์"/>
        <s v="อำเภอโพธิ์ศรีสุวรรณ"/>
        <s v="อำเภอศิลาลาด"/>
        <s v="ท้องถิ่นเทศบาลตำบลบุสูง"/>
        <s v="ท้องถิ่นเทศบาลตำบลกันทรอม"/>
        <s v="ท้องถิ่นเทศบาลตำบลกระหวัน"/>
        <s v="ท้องถิ่นเทศบาลตำบลน้ำคำ"/>
        <s v="ท้องถิ่นเทศบาลตำบลโพธิ์กระสังข์"/>
        <s v="ท้องถิ่นเทศบาลตำบลพยุห์"/>
        <s v="ท้องถิ่นเทศบาลตำบลศรีรัตนะ"/>
        <s v="ท้องถิ่นเทศบาลตำบลห้วยทับทัน"/>
        <s v="ท้องถิ่นเทศบาลตำบลบึงบูรพ์"/>
        <s v="ท้องถิ่นเทศบาลตำบลกำแพง"/>
        <s v="ท้องถิ่นเทศบาลตำบลขุนหาญ"/>
        <s v="ท้องถิ่นเทศบาลตำบลปรางค์กู่"/>
        <s v="ท้องถิ่นเทศบาลตำบลไพรบึง"/>
        <s v="ท้องถิ่นเทศบาลตำบลเมืองขุขันธ์"/>
        <s v="ท้องถิ่นเทศบาลเมืองกันทรลักษ์"/>
        <s v="ท้องถิ่นเทศบาลตำบลกันทรารมย์"/>
        <s v="ท้องถิ่นเทศบาลตำบลยางชุมน้อย"/>
        <s v="ท้องถิ่นเทศบาลเมืองศรีสะเกษ"/>
        <s v="อำเภอเมืองอุบลราชธานี"/>
        <s v="อำเภอศรีเมืองใหม่"/>
        <s v="อำเภอโขงเจียม"/>
        <s v="อำเภอเขื่องใน"/>
        <s v="อำเภอเขมราฐ"/>
        <s v="อำเภอเดชอุดม"/>
        <s v="อำเภอนาจะหลวย"/>
        <s v="อำเภอน้ำยืน"/>
        <s v="อำเภอบุณฑริก"/>
        <s v="อำเภอตระการพืชผล"/>
        <s v="อำเภอกุดข้าวปุ้น"/>
        <s v="อำเภอม่วงสามสิบ"/>
        <s v="อำเภอวารินชำราบ"/>
        <s v="อำเภอพิบูลมังสาหาร"/>
        <s v="อำเภอตาลสุม"/>
        <s v="อำเภอโพธิ์ไทร"/>
        <s v="อำเภอสำโรง"/>
        <s v="อำเภอดอนมดแดง"/>
        <s v="อำเภอสิรินธร"/>
        <s v="อำเภอทุ่งศรีอุดม"/>
        <s v="อำเภอนาเยีย"/>
        <s v="อำเภอนาตาล"/>
        <s v="อำเภอเหล่าเสือโก้ก"/>
        <s v="อำเภอสว่างวีระวงศ์"/>
        <s v="อำเภอน้ำขุ่น"/>
        <s v="ท้องถิ่นเทศบาลตำบลกุดชมภู"/>
        <s v="ท้องถิ่นเทศบาลตำบลคำน้ำแซบ"/>
        <s v="ท้องถิ่นเทศบาลตำบลหัวนา"/>
        <s v="ท้องถิ่นเทศบาลตำบลโพนงาม"/>
        <s v="ท้องถิ่นเทศบาลตำบลเมืองศรีไค"/>
        <s v="ท้องถิ่นเทศบาลตำบลหนองผือ"/>
        <s v="ท้องถิ่นเทศบาลตำบลขามป้อม"/>
        <s v="ท้องถิ่นเทศบาลตำบลเทพวงศา"/>
        <s v="ท้องถิ่นเทศบาลตำบลปทุม"/>
        <s v="ท้องถิ่นเทศบาลตำบลคอแลน"/>
        <s v="ท้องถิ่น ทต.นิคมสร้างตนเองลำโดมน้อย"/>
        <s v="ท้องถิ่นเทศบาลตำบลกุดประทาย"/>
        <s v="ท้องถิ่นเทศบาลตำบลขามใหญ่"/>
        <s v="ท้องถิ่นเทศบาลตำบลแสนสุข"/>
        <s v="ท้องถิ่นเทศบาลตำบลนาเยีย"/>
        <s v="ท้องถิ่นเทศบาลตำบลช่องเม็ก"/>
        <s v="ท้องถิ่นเทศบาลตำบลโพธิ์ไทร"/>
        <s v="ท้องถิ่นเทศบาลตำบลตาลสุม"/>
        <s v="ท้องถิ่นเทศบาลตำบลอ่างศิลา"/>
        <s v="ท้องถิ่นเทศบาลตำบลห้วยขะยุง"/>
        <s v="ท้องถิ่นเทศบาลตำบลม่วงสามสิบ"/>
        <s v="ท้องถิ่นเทศบาลตำบลกุดข้าวปุ้น"/>
        <s v="ท้องถิ่นเทศบาลตำบลตระการพืชผล"/>
        <s v="ท้องถิ่นเทศบาลตำบลบุณฑริก"/>
        <s v="ท้องถิ่นเทศบาลตำบลน้ำยืน"/>
        <s v="ท้องถิ่นเทศบาลตำบลนาจะหลวย"/>
        <s v="ท้องถิ่นเทศบาลเมืองเดชอุดม"/>
        <s v="ท้องถิ่นเทศบาลตำบลบัวงาม"/>
        <s v="ท้องถิ่นเทศบาลตำบลนาส่วง"/>
        <s v="ท้องถิ่นเทศบาลตำบลเขมราฐ"/>
        <s v="ท้องถิ่นเทศบาลตำบลเขื่องใน"/>
        <s v="ท้องถิ่นเทศบาลตำบลบ้านด่านโขงเจียม"/>
        <s v="ท้องถิ่นเทศบาลตำบลศรีเมืองใหม่"/>
        <s v="ท้องถิ่นเทศบาลตำบลอุบล"/>
        <s v="ท้องถิ่นเทศบาลเมืองพิบูลมังสาหาร"/>
        <s v="ท้องถิ่นเทศบาลเมืองวารินชำราบ"/>
        <s v="ท้องถิ่นเทศบาลนครอุบลราชธานี"/>
        <s v="อำเภอเมืองยโสธร"/>
        <s v="อำเภอทรายมูล"/>
        <s v="อำเภอกุดชุม"/>
        <s v="อำเภอคำเขื่อนแก้ว"/>
        <s v="อำเภอป่าติ้ว"/>
        <s v="อำเภอมหาชนะชัย"/>
        <s v="อำเภอค้อวัง"/>
        <s v="อำเภอเลิงนกทา"/>
        <s v="อำเภอไทยเจริญ"/>
        <s v="ท้องถิ่นเทศบาลตำบลสามแยก"/>
        <s v="ท้องถิ่นเทศบาลตำบลเลิงนกทา"/>
        <s v="ท้องถิ่นเทศบาลตำบลค้อวัง"/>
        <s v="ท้องถิ่นเทศบาลตำบลฟ้าหยาด"/>
        <s v="ท้องถิ่นเทศบาลตำบลป่าติ้ว"/>
        <s v="ท้องถิ่นเทศบาลตำบลคำเขื่อนแก้ว"/>
        <s v="ท้องถิ่นเทศบาลตำบลกุดชุมพัฒนา"/>
        <s v="ท้องถิ่นเทศบาลตำบลทรายมูล"/>
        <s v="ท้องถิ่นเทศบาลเมืองยโสธร"/>
        <s v="อำเภอเมืองชัยภูมิ"/>
        <s v="อำเภอบ้านเขว้า"/>
        <s v="อำเภอคอนสวรรค์"/>
        <s v="อำเภอเกษตรสมบูรณ์"/>
        <s v="อำเภอหนองบัวแดง"/>
        <s v="อำเภอจัตุรัส"/>
        <s v="อำเภอบำเหน็จณรงค์"/>
        <s v="อำเภอหนองบัวระเหว"/>
        <s v="อำเภอเทพสถิต"/>
        <s v="อำเภอภูเขียว"/>
        <s v="อำเภอบ้านแท่น"/>
        <s v="อำเภอแก้งคร้อ"/>
        <s v="อำเภอคอนสาร"/>
        <s v="อำเภอภักดีชุมพล"/>
        <s v="อำเภอเนินสง่า"/>
        <s v="อำเภอซับใหญ่"/>
        <s v="ท้องถิ่นเทศบาลตำบลห้วยยาง"/>
        <s v="ท้องถิ่นเทศบาลตำบลบ้านเดื่อ"/>
        <s v="ท้องถิ่นเทศบาลตำบลคอนสาร"/>
        <s v="ท้องถิ่นเทศบาลตำบลแก้งคร้อ"/>
        <s v="ท้องถิ่นเทศบาลตำบลนาหนองทุ่ม"/>
        <s v="ท้องถิ่นเทศบาลตำบลบ้านแท่น"/>
        <s v="ท้องถิ่นเทศบาลตำบลภูเขียว"/>
        <s v="ท้องถิ่นเทศบาลตำบลบ้านเพชรภูเขียว"/>
        <s v="ท้องถิ่นเทศบาลตำบลเทพสถิต"/>
        <s v="ท้องถิ่นเทศบาลตำบลหนองบัวระเหว"/>
        <s v="ท้องถิ่นเทศบาลตำบลบำเหน็จณรงค์"/>
        <s v="ท้องถิ่นเทศบาลตำบลบ้านเพชร"/>
        <s v="ท้องถิ่นเทศบาลตำบลหนองบัวโคก"/>
        <s v="ท้องถิ่นเทศบาลตำบลจัตุรัส"/>
        <s v="ท้องถิ่นเทศบาลตำบลหนองบัวแดง"/>
        <s v="ท้องถิ่นเทศบาลตำบลบ้านเป้า"/>
        <s v="ท้องถิ่นเทศบาลตำบลเกษตรสมบูรณ์"/>
        <s v="ท้องถิ่นเทศบาลตำบลคอนสวรรค์"/>
        <s v="ท้องถิ่นเทศบาลตำบลบ้านเขว้า"/>
        <s v="ท้องถิ่นเทศบาลตำบลลาดใหญ่"/>
        <s v="ท้องถิ่นเทศบาลตำบลบ้านค่ายหมื่นแผ้ว"/>
        <s v="ท้องถิ่นเทศบาลเมืองชัยภูมิ"/>
        <s v="อำเภอเมืองอำนาจเจริญ"/>
        <s v="อำเภอชานุมาน"/>
        <s v="อำเภอปทุมราชวงศา"/>
        <s v="อำเภอพนา"/>
        <s v="อำเภอเสนางคนิคม"/>
        <s v="อำเภอหัวตะพาน"/>
        <s v="อำเภอลืออำนาจ"/>
        <s v="ท้องถิ่นเทศบาลตำบลนายม"/>
        <s v="ท้องถิ่นเทศบาลตำบลพระเหลา"/>
        <s v="ท้องถิ่นเทศบาลตำบลอำนาจ"/>
        <s v="ท้องถิ่นเทศบาลตำบลหัวตะพาน"/>
        <s v="ท้องถิ่นเทศบาลตำบลเสนางคนิคม"/>
        <s v="ท้องถิ่นเทศบาลตำบลพนา"/>
        <s v="ท้องถิ่นเทศบาลตำบลปทุมราชวงศา"/>
        <s v="ท้องถิ่นเทศบาลตำบลชานุมาน"/>
        <s v="ท้องถิ่นเทศบาลตำบลน้ำปลีก"/>
        <s v="ท้องถิ่นเทศบาลเมืองอำนาจเจริญ"/>
        <s v="อำเภอเมืองบึงกาฬ"/>
        <s v="อำเภอพรเจริญ"/>
        <s v="อำเภอโซ่พิสัย"/>
        <s v="อำเภอเซกา"/>
        <s v="อำเภอปากคาด"/>
        <s v="อำเภอบึงโขงหลง"/>
        <s v="อำเภอศรีวิไล"/>
        <s v="อำเภอบุ่งคล้า"/>
        <s v="ท้องถิ่นเทศบาลตำบลหอคำ"/>
        <s v="ท้องถิ่นเทศบาลตำบลโนนสว่าง"/>
        <s v="ท้องถิ่นเทศบาลตำบลศรีวิไล"/>
        <s v="ท้องถิ่นเทศบาลตำบลบึงโขงหลง"/>
        <s v="ท้องถิ่นเทศบาลตำบลปากคาด"/>
        <s v="ท้องถิ่นเทศบาลตำบลศรีพนา"/>
        <s v="ท้องถิ่นเทศบาลตำบลท่าสะอาด"/>
        <s v="ท้องถิ่นเทศบาลตำบลโซ่พิสัย"/>
        <s v="ท้องถิ่นเทศบาลตำบลพรเจริญ"/>
        <s v="ท้องถิ่นเทศบาลตำบลดอนหญ้านาง"/>
        <s v="ท้องถิ่นเทศบาลเมืองบึงกาฬ"/>
        <s v="อำเภอเมืองหนองบัวลำภู"/>
        <s v="อำเภอนากลาง"/>
        <s v="อำเภอโนนสัง"/>
        <s v="อำเภอศรีบุญเรือง"/>
        <s v="อำเภอสุวรรณคูหา"/>
        <s v="อำเภอนาวัง"/>
        <s v="ท้องถิ่นเทศบาลตำบลยางหล่อ"/>
        <s v="ท้องถิ่นเทศบาลตำบลนาเหล่า"/>
        <s v="ท้องถิ่นเทศบาลตำบลสุวรรณคูหา"/>
        <s v="ท้องถิ่นเทศบาลตำบลบ้านโคก"/>
        <s v="ท้องถิ่นเทศบาลตำบลโนนสูงเปลือย"/>
        <s v="ท้องถิ่นเทศบาลตำบลจอมทอง"/>
        <s v="ท้องถิ่นเทศบาลตำบลโนนสัง"/>
        <s v="ท้องถิ่นเทศบาลตำบลกุดดู่"/>
        <s v="ท้องถิ่นเทศบาลตำบลนากลาง"/>
        <s v="ท้องถิ่นเทศบาลตำบลกุดดินจี่"/>
        <s v="ท้องถิ่นเทศบาลตำบลนามะเฟือง"/>
        <s v="ท้องถิ่นเทศบาลตำบลนาคำไฮ"/>
        <s v="ท้องถิ่นเทศบาลเมืองหนองบัวลำภู"/>
        <s v="อำเภอเมืองขอนแก่น"/>
        <s v="อำเภอบ้านฝาง"/>
        <s v="อำเภอพระยืน"/>
        <s v="อำเภอหนองเรือ"/>
        <s v="อำเภอชุมแพ"/>
        <s v="อำเภอสีชมพู"/>
        <s v="อำเภอน้ำพอง"/>
        <s v="อำเภออุบลรัตน์"/>
        <s v="อำเภอกระนวน"/>
        <s v="อำเภอบ้านไผ่"/>
        <s v="อำเภอเปือยน้อย"/>
        <s v="อำเภอพล"/>
        <s v="อำเภอแวงใหญ่"/>
        <s v="อำเภอแวงน้อย"/>
        <s v="อำเภอหนองสองห้อง"/>
        <s v="อำเภอภูเวียง"/>
        <s v="อำเภอมัญจาคีรี"/>
        <s v="อำเภอชนบท"/>
        <s v="อำเภอเขาสวนกวาง"/>
        <s v="อำเภอภูผาม่าน"/>
        <s v="อำเภอซำสูง"/>
        <s v="อำเภอโคกโพธิ์ไชย"/>
        <s v="อำเภอหนองนาคำ"/>
        <s v="อำเภอบ้านแฮด"/>
        <s v="อำเภอโนนศิลา"/>
        <s v="อำเภอเวียงเก่า"/>
        <s v="ท้องถิ่นเทศบาลเมืองศิลา"/>
        <s v="ท้องถิ่นเทศบาลตำบลโคกสูง"/>
        <s v="ท้องถิ่นเทศบาลตำบลสะอาด"/>
        <s v="ท้องถิ่นเทศบาลเมืองบ้านทุ่ม"/>
        <s v="ท้องถิ่นเทศบาลตำบลม่วงหวาน"/>
        <s v="ท้องถิ่นเทศบาลตำบลหนองตูม"/>
        <s v="ท้องถิ่นเทศบาลตำบลโนนท่อน"/>
        <s v="ท้องถิ่นเทศบาลตำบลบ้านค้อ"/>
        <s v="ท้องถิ่นเทศบาลตำบลกุดน้ำใส"/>
        <s v="ท้องถิ่นเทศบาลตำบลสาวะถี"/>
        <s v="ท้องถิ่นเทศบาลตำบลบ้านเป็ด"/>
        <s v="ท้องถิ่นเทศบาลตำบลโนนศิลา"/>
        <s v="ท้องถิ่นเทศบาลตำบลบ้านแฮด"/>
        <s v="ท้องถิ่นเทศบาลตำบลซำสูง"/>
        <s v="ท้องถิ่นเทศบาลตำบลภูผาม่าน"/>
        <s v="ท้องถิ่นเทศบาลตำบลเขาสวนกวาง"/>
        <s v="ท้องถิ่นเทศบาลตำบลชนบท"/>
        <s v="ท้องถิ่นเทศบาลตำบลมัญจาคีรี"/>
        <s v="ท้องถิ่นเทศบาลตำบลภูเวียง"/>
        <s v="ท้องถิ่นเทศบาลตำบลหนองสองห้อง"/>
        <s v="ท้องถิ่นเทศบาลตำบลแวงน้อย"/>
        <s v="ท้องถิ่นเทศบาลตำบลแวงใหญ่"/>
        <s v="ท้องถิ่นเทศบาลตำบลเปือยน้อย"/>
        <s v="ท้องถิ่นเทศบาลเมืองกระนวน"/>
        <s v="ท้องถิ่นเทศบาลตำบลเขื่อนอุบลรัตน์"/>
        <s v="ท้องถิ่นเทศบาลตำบลวังชัย"/>
        <s v="ท้องถิ่นเทศบาลตำบลน้ำพอง"/>
        <s v="ท้องถิ่นเทศบาลตำบลสีชมพู"/>
        <s v="ท้องถิ่นเทศบาลตำบลโนนหัน"/>
        <s v="ท้องถิ่นเทศบาลตำบลโคกสูงสัมพันธ์"/>
        <s v="ท้องถิ่นเทศบาลตำบลหนองเรือ"/>
        <s v="ท้องถิ่นเทศบาลตำบลหนองแก"/>
        <s v="ท้องถิ่นเทศบาลตำบลดอนโมง"/>
        <s v="ท้องถิ่นเทศบาลตำบลพระยืน"/>
        <s v="ท้องถิ่นเทศบาลตำบลบ้านโต้น"/>
        <s v="ท้องถิ่นเทศบาลตำบลบ้านฝาง"/>
        <s v="ท้องถิ่นเทศบาลตำบลท่าพระ"/>
        <s v="ท้องถิ่นเทศบาลเมืองชุมแพ"/>
        <s v="ท้องถิ่นเทศบาลเมืองบ้านไผ่"/>
        <s v="ท้องถิ่นเทศบาลเมืองเมืองพล"/>
        <s v="ท้องถิ่นเทศบาลนครขอนแก่น"/>
        <s v="อำเภอเมืองอุดรธานี"/>
        <s v="อำเภอกุดจับ"/>
        <s v="อำเภอหนองวัวซอ"/>
        <s v="อำเภอกุมภวาปี"/>
        <s v="อำเภอโนนสะอาด"/>
        <s v="อำเภอหนองหาน"/>
        <s v="อำเภอทุ่งฝน"/>
        <s v="อำเภอไชยวาน"/>
        <s v="อำเภอศรีธาตุ"/>
        <s v="อำเภอวังสามหมอ"/>
        <s v="อำเภอบ้านดุง"/>
        <s v="อำเภอบ้านผือ"/>
        <s v="อำเภอน้ำโสม"/>
        <s v="อำเภอเพ็ญ"/>
        <s v="อำเภอสร้างคอม"/>
        <s v="อำเภอหนองแสง"/>
        <s v="อำเภอนายูง"/>
        <s v="อำเภอพิบูลย์รักษ์"/>
        <s v="อำเภอกู่แก้ว"/>
        <s v="อำเภอประจักษ์ศิลปาคม"/>
        <s v="ท้องถิ่นเทศบาลตำบลหนองหว้า"/>
        <s v="ท้องถิ่นเทศบาลตำบลหัวนาคำ"/>
        <s v="ท้องถิ่นเทศบาลตำบลผาสุก"/>
        <s v="ท้องถิ่นเทศบาลตำบลโพนสูง"/>
        <s v="ท้องถิ่นเทศบาลตำบลจำปี"/>
        <s v="ท้องถิ่นเทศบาลตำบลสร้างคอม"/>
        <s v="ท้องถิ่นเทศบาลตำบลบ้านธาตุ"/>
        <s v="ท้องถิ่นเทศบาลตำบลเวียงคำ"/>
        <s v="ท้องถิ่นเทศบาลตำบลลำพันชาด"/>
        <s v="ท้องถิ่นเทศบาลตำบลหนองไผ่"/>
        <s v="ท้องถิ่นเทศบาลตำบลปะโค"/>
        <s v="ท้องถิ่นเทศบาลตำบลแสงสว่าง"/>
        <s v="ท้องถิ่นเทศบาลตำบลเพ็ญ"/>
        <s v="ท้องถิ่นเทศบาลตำบลน้ำโสม"/>
        <s v="ท้องถิ่นเทศบาลตำบลนางัว"/>
        <s v="ท้องถิ่นเทศบาลตำบลบ้านผือ"/>
        <s v="ท้องถิ่นเทศบาลเมืองบ้านดุง"/>
        <s v="ท้องถิ่นเทศบาลตำบลวังสามหมอ"/>
        <s v="ท้องถิ่นเทศบาลตำบลศรีธาตุ"/>
        <s v="ท้องถิ่นเทศบาลตำบลไชยวาน"/>
        <s v="ท้องถิ่นเทศบาลตำบลทุ่งฝน"/>
        <s v="ท้องถิ่นเทศบาลตำบลหนองหาน"/>
        <s v="ท้องถิ่นเทศบาลตำบลหนองเม็ก"/>
        <s v="ท้องถิ่นเทศบาลตำบลบ้านเชียง"/>
        <s v="ท้องถิ่นเทศบาลตำบลโนนสะอาด"/>
        <s v="ท้องถิ่นเทศบาลตำบลห้วยเกิ้ง"/>
        <s v="ท้องถิ่นเทศบาลตำบลพันดอน"/>
        <s v="ท้องถิ่นเทศบาลตำบลกุมภวาปี"/>
        <s v="ท้องถิ่นเทศบาลตำบลภูผาแดง"/>
        <s v="ท้องถิ่นเทศบาลตำบลหนองวัวซอ"/>
        <s v="ท้องถิ่นเทศบาลตำบลสร้างก่อ"/>
        <s v="ท้องถิ่นเทศบาลตำบลตาลเลียน"/>
        <s v="ท้องถิ่นเทศบาลตำบลเชียงเพ็ง"/>
        <s v="ท้องถิ่นเทศบาลตำบลกุดจับ"/>
        <s v="ท้องถิ่นเทศบาลเมืองหนองสำโรง"/>
        <s v="ท้องถิ่นเทศบาลตำบลบ้านจั่น"/>
        <s v="ท้องถิ่นเทศบาลเมืองโนนสูง-น้ำคำ"/>
        <s v="ท้องถิ่นเทศบาลตำบลนิคมสงเคราะห์"/>
        <s v="ท้องถิ่นเทศบาลตำบลนาข่า"/>
        <s v="ท้องถิ่นเทศบาลนครอุดรธานี"/>
        <s v="อำเภอเมืองเลย"/>
        <s v="อำเภอนาด้วง"/>
        <s v="อำเภอเชียงคาน"/>
        <s v="อำเภอปากชม"/>
        <s v="อำเภอด่านซ้าย"/>
        <s v="อำเภอนาแห้ว"/>
        <s v="อำเภอภูเรือ"/>
        <s v="อำเภอท่าลี่"/>
        <s v="อำเภอวังสะพุง"/>
        <s v="อำเภอภูกระดึง"/>
        <s v="อำเภอภูหลวง"/>
        <s v="อำเภอผาขาว"/>
        <s v="อำเภอเอราวัณ"/>
        <s v="อำเภอหนองหิน"/>
        <s v="ท้องถิ่นเทศบาลตำบลโนนปอแดง"/>
        <s v="ท้องถิ่นเทศบาลตำบลนาดอกคำ"/>
        <s v="ท้องถิ่นเทศบาลตำบลธาตุ"/>
        <s v="ท้องถิ่นเทศบาลตำบลนาดินดำ"/>
        <s v="ท้องถิ่นเทศบาลตำบลนาโป่ง"/>
        <s v="ท้องถิ่นเทศบาลตำบลนาอาน"/>
        <s v="ท้องถิ่นเทศบาลตำบลเขาแก้ว"/>
        <s v="ท้องถิ่นเทศบาลตำบลหนองหิน"/>
        <s v="ท้องถิ่นเทศบาลตำบลภูกระดึง"/>
        <s v="ท้องถิ่นเทศบาลเมืองวังสะพุง"/>
        <s v="ท้องถิ่นเทศบาลตำบลท่าลี่"/>
        <s v="ท้องถิ่นเทศบาลตำบลภูเรือ"/>
        <s v="ท้องถิ่นเทศบาลตำบลนาแห้ว"/>
        <s v="ท้องถิ่นเทศบาลตำบลด่านซ้าย"/>
        <s v="ท้องถิ่นเทศบาลตำบลปากชม"/>
        <s v="ท้องถิ่นเทศบาลตำบลเชียงกลม"/>
        <s v="ท้องถิ่นเทศบาลตำบลเชียงคาน"/>
        <s v="ท้องถิ่นเทศบาลตำบลนาด้วง"/>
        <s v="ท้องถิ่นเทศบาลตำบลน้ำสวย"/>
        <s v="ท้องถิ่นเทศบาลตำบลนาอ้อ"/>
        <s v="ท้องถิ่นเทศบาลเมืองเลย"/>
        <s v="อำเภอเมืองหนองคาย"/>
        <s v="อำเภอท่าบ่อ"/>
        <s v="อำเภอโพนพิสัย"/>
        <s v="อำเภอศรีเชียงใหม่"/>
        <s v="อำเภอสังคม"/>
        <s v="อำเภอสระใคร"/>
        <s v="อำเภอเฝ้าไร่"/>
        <s v="อำเภอรัตนวาปี"/>
        <s v="อำเภอโพธิ์ตาก"/>
        <s v="ท้องถิ่นเทศบาลตำบลเฝ้าไร่"/>
        <s v="ท้องถิ่นเทศบาลตำบลโพธิ์ชัย"/>
        <s v="ท้องถิ่นเทศบาลตำบลหาดคำ"/>
        <s v="ท้องถิ่นเทศบาลตำบลสังคม"/>
        <s v="ท้องถิ่นเทศบาลตำบลศรีเชียงใหม่"/>
        <s v="ท้องถิ่นเทศบาลตำบลโพนพิสัย"/>
        <s v="ท้องถิ่นเทศบาลตำบลโพนสา"/>
        <s v="ท้องถิ่นเทศบาลเมืองท่าบ่อ"/>
        <s v="ท้องถิ่นเทศบาลตำบลเวียงคุก"/>
        <s v="ท้องถิ่นเทศบาลเมืองหนองคาย"/>
        <s v="อำเภอเมืองมหาสารคาม"/>
        <s v="อำเภอแกดำ"/>
        <s v="อำเภอโกสุมพิสัย"/>
        <s v="อำเภอกันทรวิชัย"/>
        <s v="อำเภอเชียงยืน"/>
        <s v="อำเภอบรบือ"/>
        <s v="อำเภอนาเชือก"/>
        <s v="อำเภอพยัคฆภูมิพิสัย"/>
        <s v="อำเภอวาปีปทุม"/>
        <s v="อำเภอนาดูน"/>
        <s v="อำเภอยางสีสุราช"/>
        <s v="อำเภอกุดรัง"/>
        <s v="อำเภอชื่นชม"/>
        <s v="ท้องถิ่นเทศบาลตำบลขามเรียง"/>
        <s v="ท้องถิ่นเทศบาลตำบลท่าขอนยาง"/>
        <s v="ท้องถิ่นเทศบาลตำบลนาดูน"/>
        <s v="ท้องถิ่นเทศบาลตำบลวาปีปทุม"/>
        <s v="ท้องถิ่นเทศบาลตำบลพยัคฆภูมิพิสัย"/>
        <s v="ท้องถิ่นเทศบาลตำบลนาเชือก"/>
        <s v="ท้องถิ่นเทศบาลตำบลบรบือ"/>
        <s v="ท้องถิ่นเทศบาลตำบลเชียงยืน"/>
        <s v="ท้องถิ่นเทศบาลตำบลโคกพระ"/>
        <s v="ท้องถิ่นเทศบาลตำบลโกสุมพิสัย"/>
        <s v="ท้องถิ่นเทศบาลตำบลแกดำ"/>
        <s v="ท้องถิ่นเทศบาลตำบลแวงน่าง"/>
        <s v="ท้องถิ่นเทศบาลเมืองมหาสารคาม"/>
        <s v="อำเภอเมืองร้อยเอ็ด"/>
        <s v="อำเภอเกษตรวิสัย"/>
        <s v="อำเภอปทุมรัตต์"/>
        <s v="อำเภอจตุรพักตรพิมาน"/>
        <s v="อำเภอธวัชบุรี"/>
        <s v="อำเภอพนมไพร"/>
        <s v="อำเภอโพนทอง"/>
        <s v="อำเภอโพธิ์ชัย"/>
        <s v="อำเภอหนองพอก"/>
        <s v="อำเภอเสลภูมิ"/>
        <s v="อำเภอสุวรรณภูมิ"/>
        <s v="อำเภอเมืองสรวง"/>
        <s v="อำเภอโพนทราย"/>
        <s v="อำเภออาจสามารถ"/>
        <s v="อำเภอเมยวดี"/>
        <s v="อำเภอศรีสมเด็จ"/>
        <s v="อำเภอจังหาร"/>
        <s v="อำเภอเชียงขวัญ"/>
        <s v="อำเภอหนองฮี"/>
        <s v="อำเภอทุ่งเขาหลวง"/>
        <s v="ท้องถิ่นเทศบาลตำบลนิเวศน์"/>
        <s v="ท้องถิ่นเทศบาลตำบลมะอึ"/>
        <s v="ท้องถิ่นเทศบาลตำบลดินดำ"/>
        <s v="ท้องถิ่นเทศบาลตำบลเมืองไพร"/>
        <s v="ท้องถิ่นเทศบาลตำบลขวาว"/>
        <s v="ท้องถิ่นเทศบาลตำบลดงแดง"/>
        <s v="ท้องถิ่นเทศบาลตำบลโคกล่าม"/>
        <s v="ท้องถิ่นเทศบาลตำบลหัวช้าง"/>
        <s v="ท้องถิ่นเทศบาลตำบลอุ่มเม้า"/>
        <s v="ท้องถิ่นเทศบาลตำบลปอภาร"/>
        <s v="ท้องถิ่นเทศบาลตำบลเมืองบัว"/>
        <s v="ท้องถิ่นเทศบาลตำบลคำพอุง"/>
        <s v="ท้องถิ่นเทศบาลตำบลอัคคะคำ"/>
        <s v="ท้องถิ่นเทศบาลตำบลโนนตาล"/>
        <s v="ท้องถิ่นเทศบาลตำบลอาจสามารถ"/>
        <s v="ท้องถิ่นเทศบาลตำบลโพนทราย"/>
        <s v="ท้องถิ่นเทศบาลตำบลเมืองสรวง"/>
        <s v="ท้องถิ่นเทศบาลตำบลสุวรรณภูมิ"/>
        <s v="ท้องถิ่นเทศบาลตำบลเสลภูมิ"/>
        <s v="ท้องถิ่นเทศบาลตำบลหนองพอก"/>
        <s v="ท้องถิ่นเทศบาลตำบลเชียงใหม่"/>
        <s v="ท้องถิ่นเทศบาลตำบลชัยวารี"/>
        <s v="ท้องถิ่นเทศบาลตำบลโพนทอง"/>
        <s v="ท้องถิ่นเทศบาลตำบลพนมไพร"/>
        <s v="ท้องถิ่นเทศบาลตำบลบ้านนิเวศน์"/>
        <s v="ท้องถิ่นเทศบาลตำบลธงธานี"/>
        <s v="ท้องถิ่นเทศบาลตำบลจตุรพักตรพิมาน"/>
        <s v="ท้องถิ่นเทศบาลตำบลปทุมรัตต์"/>
        <s v="ท้องถิ่นเทศบาลตำบลเกษตรวิสัย"/>
        <s v="ท้องถิ่นเทศบาลตำบลกู่กาสิงห์"/>
        <s v="ท้องถิ่นเทศบาลเมืองร้อยเอ็ด"/>
        <s v="อำเภอเมืองกาฬสินธุ์"/>
        <s v="อำเภอนามน"/>
        <s v="อำเภอกมลาไสย"/>
        <s v="อำเภอร่องคำ"/>
        <s v="อำเภอกุฉินารายณ์"/>
        <s v="อำเภอเขาวง"/>
        <s v="อำเภอยางตลาด"/>
        <s v="อำเภอห้วยเม็ก"/>
        <s v="อำเภอสหัสขันธ์"/>
        <s v="อำเภอคำม่วง"/>
        <s v="อำเภอท่าคันโท"/>
        <s v="อำเภอหนองกุงศรี"/>
        <s v="อำเภอสมเด็จ"/>
        <s v="อำเภอห้วยผึ้ง"/>
        <s v="อำเภอสามชัย"/>
        <s v="อำเภอนาคู"/>
        <s v="อำเภอดอนจาน"/>
        <s v="อำเภอฆ้องชัย"/>
        <s v="ท้องถิ่นเทศบาลตำบลจุมจัง"/>
        <s v="ท้องถิ่นเทศบาลตำบลนาทัน"/>
        <s v="ท้องถิ่นเทศบาลตำบลอิตื้อ"/>
        <s v="ท้องถิ่นเทศบาลตำบลบัวบาน"/>
        <s v="ท้องถิ่นเทศบาลตำบลนาขาม"/>
        <s v="ท้องถิ่นเทศบาลตำบลลำคลอง"/>
        <s v="ท้องถิ่นเทศบาลตำบลคำบง"/>
        <s v="ท้องถิ่นเทศบาลตำบลสระพังทอง"/>
        <s v="ท้องถิ่นเทศบาลตำบลห้วยโพธิ์"/>
        <s v="ท้องถิ่นเทศบาลตำบลนาคู"/>
        <s v="ท้องถิ่นเทศบาลตำบลห้วยผึ้ง"/>
        <s v="ท้องถิ่นเทศบาลตำบลสมเด็จ"/>
        <s v="ท้องถิ่นเทศบาลตำบลหนองกุงศรี"/>
        <s v="ท้องถิ่นเทศบาลตำบลท่าคันโท"/>
        <s v="ท้องถิ่นเทศบาลตำบลโพน"/>
        <s v="ท้องถิ่นเทศบาลตำบลคำม่วง"/>
        <s v="ท้องถิ่นเทศบาลตำบลโนนบุรี"/>
        <s v="ท้องถิ่นเทศบาลตำบลห้วยเม็ก"/>
        <s v="ท้องถิ่นเทศบาลตำบลคำใหญ่"/>
        <s v="ท้องถิ่นเทศบาลตำบลยางตลาด"/>
        <s v="ท้องถิ่นเทศบาลตำบลโคกศรี"/>
        <s v="ท้องถิ่นเทศบาลตำบลกุดสิม"/>
        <s v="ท้องถิ่นเทศบาลเมืองกุฉินารายณ์"/>
        <s v="ท้องถิ่นเทศบาลตำบลกุดหว้า"/>
        <s v="ท้องถิ่นเทศบาลตำบลร่องคำ"/>
        <s v="ท้องถิ่นเทศบาลตำบลหนองแปน"/>
        <s v="ท้องถิ่นเทศบาลตำบลธัญญา"/>
        <s v="ท้องถิ่นเทศบาลตำบลกมลาไสย"/>
        <s v="ท้องถิ่นเทศบาลตำบลนามน"/>
        <s v="ท้องถิ่นเทศบาลตำบลหนองสอ"/>
        <s v="ท้องถิ่นเทศบาลตำบลนาจารย์"/>
        <s v="ท้องถิ่นเทศบาลเมืองกาฬสินธุ์"/>
        <s v="อำเภอเมืองสกลนคร"/>
        <s v="อำเภอกุสุมาลย์"/>
        <s v="อำเภอกุดบาก"/>
        <s v="อำเภอพรรณานิคม"/>
        <s v="อำเภอพังโคน"/>
        <s v="อำเภอวาริชภูมิ"/>
        <s v="อำเภอนิคมน้ำอูน"/>
        <s v="อำเภอวานรนิวาส"/>
        <s v="อำเภอคำตากล้า"/>
        <s v="อำเภอบ้านม่วง"/>
        <s v="อำเภออากาศอำนวย"/>
        <s v="อำเภอสว่างแดนดิน"/>
        <s v="อำเภอส่องดาว"/>
        <s v="อำเภอเต่างอย"/>
        <s v="อำเภอโคกศรีสุพรรณ"/>
        <s v="อำเภอเจริญศิลป์"/>
        <s v="อำเภอโพนนาแก้ว"/>
        <s v="อำเภอภูพาน"/>
        <s v="ท้องถิ่นเทศบาลตำบลคำบ่อ"/>
        <s v="ท้องถิ่นเทศบาลตำบลตองโขบ"/>
        <s v="ท้องถิ่นเทศบาลตำบลบงใต้"/>
        <s v="ท้องถิ่นเทศบาลตำบลสามัคคีพัฒนา"/>
        <s v="ท้องถิ่นเทศบาลตำบลเชียงเครือ"/>
        <s v="ท้องถิ่นเทศบาลตำบลเจริญศิลป์"/>
        <s v="ท้องถิ่นเทศบาลตำบลส่องดาว"/>
        <s v="ท้องถิ่นเทศบาลตำบลสว่างแดนดิน"/>
        <s v="ท้องถิ่นเทศบาลตำบลดอนเขือง"/>
        <s v="ท้องถิ่นเทศบาลตำบลอากาศอำนวย"/>
        <s v="ท้องถิ่นเทศบาลตำบลบ้านม่วง"/>
        <s v="ท้องถิ่นเทศบาลตำบลคำตากล้า"/>
        <s v="ท้องถิ่นเทศบาลตำบลวานรนิวาส"/>
        <s v="ท้องถิ่นเทศบาลตำบลวาริชภูมิ"/>
        <s v="ท้องถิ่นเทศบาลตำบลพังโคน"/>
        <s v="ท้องถิ่นเทศบาลตำบลพรรณานิคม"/>
        <s v="ท้องถิ่นเทศบาลตำบลกุดบาก"/>
        <s v="ท้องถิ่นเทศบาลตำบลกุสุมาลย์"/>
        <s v="ท้องถิ่นเทศบาลตำบลท่าแร่"/>
        <s v="ท้องถิ่นเทศบาลตำบลดงมะไฟ"/>
        <s v="ท้องถิ่นเทศบาลนครสกลนคร"/>
        <s v="อำเภอเมืองนครพนม"/>
        <s v="อำเภอปลาปาก"/>
        <s v="อำเภอท่าอุเทน"/>
        <s v="อำเภอบ้านแพง"/>
        <s v="อำเภอธาตุพนม"/>
        <s v="อำเภอเรณูนคร"/>
        <s v="อำเภอนาแก"/>
        <s v="อำเภอศรีสงคราม"/>
        <s v="อำเภอนาหว้า"/>
        <s v="อำเภอโพนสวรรค์"/>
        <s v="อำเภอนาทม"/>
        <s v="อำเภอวังยาง"/>
        <s v="ท้องถิ่นเทศบาลตำบลปลาปาก"/>
        <s v="ท้องถิ่นเทศบาลตำบลโพนสวรรค์"/>
        <s v="ท้องถิ่นเทศบาลตำบลนาหว้า"/>
        <s v="ท้องถิ่นเทศบาลตำบลศรีสงคราม"/>
        <s v="ท้องถิ่นเทศบาลตำบลนาแก"/>
        <s v="ท้องถิ่นเทศบาลตำบลเรณูนคร"/>
        <s v="ท้องถิ่นเทศบาลตำบลธาตุพนม"/>
        <s v="ท้องถิ่นเทศบาลตำบลบ้านแพง"/>
        <s v="ท้องถิ่นเทศบาลตำบลท่าอุเทน"/>
        <s v="ท้องถิ่นเทศบาลเมืองนครพนม"/>
        <s v="อำเภอเมืองมุกดาหาร"/>
        <s v="อำเภอนิคมคำสร้อย"/>
        <s v="อำเภอดอนตาล"/>
        <s v="อำเภอดงหลวง"/>
        <s v="อำเภอคำชะอี"/>
        <s v="อำเภอหว้านใหญ่"/>
        <s v="อำเภอหนองสูง"/>
        <s v="ท้องถิ่นเทศบาลตำบลร่มเกล้า"/>
        <s v="ท้องถิ่นเทศบาลตำบลบ้านแก้ง"/>
        <s v="ท้องถิ่นเทศบาลตำบลคำอาฮวน"/>
        <s v="ท้องถิ่นเทศบาลตำบลดงเย็น"/>
        <s v="ท้องถิ่นเทศบาลตำบลคำชะอี"/>
        <s v="ท้องถิ่นเทศบาลตำบลดอนตาล"/>
        <s v="ท้องถิ่นเทศบาลตำบลนิคมคำสร้อย"/>
        <s v="ท้องถิ่นเทศบาลเมืองมุกดาหาร"/>
        <s v="อำเภอเมืองเชียงใหม่"/>
        <s v="อำเภอจอมทอง"/>
        <s v="อำเภอแม่แจ่ม"/>
        <s v="อำเภอเชียงดาว"/>
        <s v="อำเภอดอยสะเก็ด"/>
        <s v="อำเภอแม่แตง"/>
        <s v="อำเภอแม่ริม"/>
        <s v="อำเภอสะเมิง"/>
        <s v="อำเภอฝาง"/>
        <s v="อำเภอแม่อาย"/>
        <s v="อำเภอพร้าว"/>
        <s v="อำเภอสันป่าตอง"/>
        <s v="อำเภอสันกำแพง"/>
        <s v="อำเภอสันทราย"/>
        <s v="อำเภอหางดง"/>
        <s v="อำเภอฮอด"/>
        <s v="อำเภอดอยเต่า"/>
        <s v="อำเภออมก๋อย"/>
        <s v="อำเภอสารภี"/>
        <s v="อำเภอเวียงแหง"/>
        <s v="อำเภอไชยปราการ"/>
        <s v="อำเภอแม่วาง"/>
        <s v="อำเภอแม่ออน"/>
        <s v="อำเภอดอยหล่อ"/>
        <s v="อำเภอกัลยาณิวัฒนา"/>
        <s v="ท้องถิ่นเทศบาลตำบลบวกค้าง"/>
        <s v="ท้องถิ่นเทศบาลตำบลบ่อหลวง"/>
        <s v="ท้องถิ่นเทศบาลตำบลป่าไผ่"/>
        <s v="ท้องถิ่นเทศบาลตำบลสันนาเม็ง"/>
        <s v="ท้องถิ่นเทศบาลตำบลสันพระเนตร"/>
        <s v="ท้องถิ่นเทศบาลตำบลสันปูเลย"/>
        <s v="ท้องถิ่นเทศบาลตำบลเชิงดอย"/>
        <s v="ท้องถิ่นเทศบาลตำบลเมืองนะ"/>
        <s v="ท้องถิ่นเทศบาลตำบลทุ่งข้าวพวง"/>
        <s v="ท้องถิ่นเทศบาลตำบลปิงโค้ง"/>
        <s v="ท้องถิ่นเทศบาลตำบลพระธาตุปู่ก่ำ"/>
        <s v="ท้องถิ่นเทศบาลเมืองแม่เหียะ"/>
        <s v="ท้องถิ่นเทศบาลตำบลสารภี"/>
        <s v="ท้องถิ่นเทศบาลตำบลฟ้าฮ่าม"/>
        <s v="ท้องถิ่นเทศบาลตำบลหนองจ๊อม"/>
        <s v="ท้องถิ่นเทศบาลตำบลหนองหอย"/>
        <s v="ท้องถิ่นเทศบาลตำบลแม่แฝก"/>
        <s v="ท้องถิ่นเทศบาลตำบลหนองผึ้ง"/>
        <s v="ท้องถิ่นเทศบาลตำบลเจดีย์แม่ครัว"/>
        <s v="ท้องถิ่นเทศบาลตำบลแม่ปั๋ง"/>
        <s v="ท้องถิ่นเทศบาลตำบลชมภู"/>
        <s v="ท้องถิ่นเทศบาลตำบลป่าแดด"/>
        <s v="ท้องถิ่นเทศบาลตำบลสุเทพ"/>
        <s v="ท้องถิ่นเทศบาลตำบลหนองป่าครั่ง"/>
        <s v="ท้องถิ่นเทศบาลตำบลแม่วาง"/>
        <s v="ท้องถิ่นเทศบาลตำบลไชยปราการ"/>
        <s v="ท้องถิ่นเทศบาลตำบลยางเนิ้ง"/>
        <s v="ท้องถิ่นเทศบาลตำบลอมก๋อย"/>
        <s v="ท้องถิ่นเทศบาลตำบลท่าเดื่อ-มืดกา"/>
        <s v="ท้องถิ่นเทศบาลตำบลหางดง"/>
        <s v="ท้องถิ่นเทศบาลตำบลหนองตองพัฒนา"/>
        <s v="ท้องถิ่นเทศบาลตำบลสันทรายหลวง"/>
        <s v="ท้องถิ่นเทศบาลเมืองแม่โจ้"/>
        <s v="ท้องถิ่นเทศบาลตำบลสันกำแพง"/>
        <s v="ท้องถิ่นเทศบาลเมืองต้นเปา"/>
        <s v="ท้องถิ่นเทศบาลตำบลสันป่าตอง"/>
        <s v="ท้องถิ่นเทศบาลตำบลเวียงพร้าว"/>
        <s v="ท้องถิ่นเทศบาลตำบลแม่อาย"/>
        <s v="ท้องถิ่นเทศบาลตำบลเวียงฝาง"/>
        <s v="ท้องถิ่นเทศบาลตำบลบ้านแม่ข่า"/>
        <s v="ท้องถิ่นเทศบาลตำบลสะเมิงใต้"/>
        <s v="ท้องถิ่นเทศบาลตำบลแม่ริม"/>
        <s v="ท้องถิ่นเทศบาลตำบลสันมหาพน"/>
        <s v="ท้องถิ่นเทศบาลเมืองเมืองแกนพัฒนา"/>
        <s v="ท้องถิ่นเทศบาลตำบลดอยสะเก็ด"/>
        <s v="ท้องถิ่นเทศบาลตำบลเมืองงาย"/>
        <s v="ท้องถิ่นเทศบาลตำบลเชียงดาว"/>
        <s v="ท้องถิ่นเทศบาลตำบลแม่แจ่ม"/>
        <s v="ท้องถิ่นเทศบาลตำบลช้างเผือก"/>
        <s v="ท้องถิ่นเทศบาลนครเชียงใหม่"/>
        <s v="อำเภอเมืองลำพูน"/>
        <s v="อำเภอแม่ทา"/>
        <s v="อำเภอบ้านโฮ่ง"/>
        <s v="อำเภอลี้"/>
        <s v="อำเภอทุ่งหัวช้าง"/>
        <s v="อำเภอป่าซาง"/>
        <s v="อำเภอบ้านธิ"/>
        <s v="ท้องถิ่นเทศบาลตำบลศรีเตี้ย"/>
        <s v="ท้องถิ่นเทศบาลตำบลทาสบชัย"/>
        <s v="ท้องถิ่นเทศบาลตำบลหนองล่อง"/>
        <s v="ท้องถิ่นเทศบาลตำบลหนองยวง"/>
        <s v="ท้องถิ่นเทศบาลตำบลมะกอก"/>
        <s v="ท้องถิ่นเทศบาลตำบลมะเขือแจ้"/>
        <s v="ท้องถิ่นเทศบาลตำบลเวียงยอง"/>
        <s v="ท้องถิ่นเทศบาลตำบลเหมืองง่า"/>
        <s v="ท้องถิ่นเทศบาลตำบลแม่แรง"/>
        <s v="ท้องถิ่นเทศบาลตำบลบ้านธิ"/>
        <s v="ท้องถิ่นเทศบาลตำบลวังผาง"/>
        <s v="ท้องถิ่นเทศบาลตำบลม่วงน้อย"/>
        <s v="ท้องถิ่นเทศบาลตำบลป่าซาง"/>
        <s v="ท้องถิ่นเทศบาลตำบลทุ่งหัวช้าง"/>
        <s v="ท้องถิ่นเทศบาลตำบลวังดิน"/>
        <s v="ท้องถิ่นเทศบาลตำบลแม่ตืน"/>
        <s v="ท้องถิ่นเทศบาลตำบลบ้านโฮ่ง"/>
        <s v="ท้องถิ่นเทศบาลตำบลทาสบเส้า"/>
        <s v="ท้องถิ่นเทศบาลตำบลทากาศ"/>
        <s v="ท้องถิ่นเทศบาลตำบลอุโมงค์"/>
        <s v="ท้องถิ่นเทศบาลตำบลริมปิง"/>
        <s v="ท้องถิ่นเทศบาลตำบลบ้านแป้น"/>
        <s v="ท้องถิ่นเทศบาลเมืองลำพูน"/>
        <s v="อำเภอเมืองลำปาง"/>
        <s v="อำเภอแม่เมาะ"/>
        <s v="อำเภอเกาะคา"/>
        <s v="อำเภอเสริมงาม"/>
        <s v="อำเภองาว"/>
        <s v="อำเภอแจ้ห่ม"/>
        <s v="อำเภอวังเหนือ"/>
        <s v="อำเภอเถิน"/>
        <s v="อำเภอแม่พริก"/>
        <s v="อำเภอแม่ทะ"/>
        <s v="อำเภอสบปราบ"/>
        <s v="อำเภอห้างฉัตร"/>
        <s v="อำเภอเมืองปาน"/>
        <s v="ท้องถิ่นเทศบาลตำบลน้ำโจ้"/>
        <s v="ท้องถิ่นเทศบาลตำบลแม่ทะ"/>
        <s v="ท้องถิ่นเทศบาลตำบลนาแก้ว"/>
        <s v="ท้องถิ่นเทศบาลตำบลลำปางหลวง"/>
        <s v="ท้องถิ่นเทศบาลตำบลสิริราช"/>
        <s v="ท้องถิ่นเทศบาลตำบลแม่เมาะ"/>
        <s v="ท้องถิ่นเทศบาลตำบลเวียงมอก"/>
        <s v="ท้องถิ่นเทศบาลตำบลห้างฉัตร"/>
        <s v="ท้องถิ่นเทศบาลตำบลสบปราบ"/>
        <s v="ท้องถิ่นเทศบาลตำบลป่าตันนาครัว"/>
        <s v="ท้องถิ่นเทศบาลตำบลแม่พริก"/>
        <s v="ท้องถิ่นเทศบาลตำบลแม่ปุ"/>
        <s v="ท้องถิ่นเทศบาลเมืองล้อมแรด"/>
        <s v="ท้องถิ่นเทศบาลตำบลวังเหนือ"/>
        <s v="ท้องถิ่นเทศบาลตำบลบ้านใหม่"/>
        <s v="ท้องถิ่นเทศบาลตำบลแจ้ห่ม"/>
        <s v="ท้องถิ่นเทศบาลตำบลเสริมงาม"/>
        <s v="ท้องถิ่นเทศบาลตำบลหลวงเหนือ"/>
        <s v="ท้องถิ่นเทศบาลตำบลเกาะคา"/>
        <s v="ท้องถิ่นเทศบาลเมืองพิชัย"/>
        <s v="ท้องถิ่นเทศบาลตำบลบ่อแฮ้ว"/>
        <s v="ท้องถิ่นเทศบาลเมืองเขลางค์นคร"/>
        <s v="ท้องถิ่นเทศบาลนครลำปาง"/>
        <s v="อำเภอเมืองอุตรดิตถ์"/>
        <s v="อำเภอตรอน"/>
        <s v="อำเภอท่าปลา"/>
        <s v="อำเภอน้ำปาด"/>
        <s v="อำเภอฟากท่า"/>
        <s v="อำเภอบ้านโคก"/>
        <s v="อำเภอพิชัย"/>
        <s v="อำเภอลับแล"/>
        <s v="อำเภอทองแสนขัน"/>
        <s v="ท้องถิ่นเทศบาลตำบลท่าเสา"/>
        <s v="ท้องถิ่นเทศบาลตำบลน้ำริด"/>
        <s v="ท้องถิ่นเทศบาลตำบลหาดกรวด"/>
        <s v="ท้องถิ่นเทศบาลตำบลจริม"/>
        <s v="ท้องถิ่นเทศบาลตำบลคุ้งตะเภา"/>
        <s v="ท้องถิ่นเทศบาลตำบลผาจุก"/>
        <s v="ท้องถิ่นเทศบาลตำบลบ้านเกาะ"/>
        <s v="ท้องถิ่นเทศบาลตำบลทองแสนขัน"/>
        <s v="ท้องถิ่นเทศบาลตำบลหัวดง"/>
        <s v="ท้องถิ่นเทศบาลตำบลทุ่งยั้ง"/>
        <s v="ท้องถิ่นเทศบาลตำบลในเมือง"/>
        <s v="ท้องถิ่นเทศบาลตำบลท่าสัก"/>
        <s v="ท้องถิ่นเทศบาลตำบลฟากท่า"/>
        <s v="ท้องถิ่นเทศบาลตำบลน้ำปาด"/>
        <s v="ท้องถิ่นเทศบาลตำบลร่วมจิต"/>
        <s v="ท้องถิ่นเทศบาลตำบลท่าปลา"/>
        <s v="ท้องถิ่นเทศบาลตำบลบ้านแก่ง"/>
        <s v="ท้องถิ่นเทศบาลตำบลตรอน"/>
        <s v="ท้องถิ่นเทศบาลตำบลวังกะพี้"/>
        <s v="ท้องถิ่นเทศบาลตำบลบ้านด่านนาขาม"/>
        <s v="ท้องถิ่นเทศบาลตำบลศรีพนมมาศ"/>
        <s v="ท้องถิ่นเทศบาลเมืองอุตรดิตถ์"/>
        <s v="อำเภอเมืองแพร่"/>
        <s v="อำเภอร้องกวาง"/>
        <s v="อำเภอลอง"/>
        <s v="อำเภอสูงเม่น"/>
        <s v="อำเภอเด่นชัย"/>
        <s v="อำเภอสอง"/>
        <s v="อำเภอวังชิ้น"/>
        <s v="อำเภอหนองม่วงไข่"/>
        <s v="ท้องถิ่นเทศบาลตำบลแม่ลานนา"/>
        <s v="ท้องถิ่นเทศบาลตำบลแม่ปาน"/>
        <s v="ท้องถิ่นเทศบาลตำบลเวียงต้า"/>
        <s v="ท้องถิ่นเทศบาลตำบลป่าแมต"/>
        <s v="ท้องถิ่นเทศบาลตำบลแม่คำมี"/>
        <s v="ท้องถิ่นเทศบาลตำบลหนองม่วงไข่"/>
        <s v="ท้องถิ่นเทศบาลตำบลวังชิ้น"/>
        <s v="ท้องถิ่นเทศบาลตำบลสอง"/>
        <s v="ท้องถิ่นเทศบาลตำบลแม่จั๊วะ"/>
        <s v="ท้องถิ่นเทศบาลตำบลเด่นชัย"/>
        <s v="ท้องถิ่นเทศบาลตำบลสูงเม่น"/>
        <s v="ท้องถิ่นเทศบาลตำบลห้วยอ้อ"/>
        <s v="ท้องถิ่นเทศบาลตำบลบ้านปิน"/>
        <s v="ท้องถิ่นเทศบาลตำบลร้องกวาง"/>
        <s v="ท้องถิ่นเทศบาลตำบลแม่หล่าย"/>
        <s v="ท้องถิ่นเทศบาลตำบลทุ่งโฮ้ง"/>
        <s v="ท้องถิ่นเทศบาลตำบลช่อแฮ"/>
        <s v="ท้องถิ่นเทศบาลเมืองแพร่"/>
        <s v="อำเภอเมืองน่าน"/>
        <s v="อำเภอแม่จริม"/>
        <s v="อำเภอบ้านหลวง"/>
        <s v="อำเภอนาน้อย"/>
        <s v="อำเภอปัว"/>
        <s v="อำเภอท่าวังผา"/>
        <s v="อำเภอเวียงสา"/>
        <s v="อำเภอทุ่งช้าง"/>
        <s v="อำเภอเชียงกลาง"/>
        <s v="อำเภอนาหมื่น"/>
        <s v="อำเภอสันติสุข"/>
        <s v="อำเภอบ่อเกลือ"/>
        <s v="อำเภอสองแคว"/>
        <s v="อำเภอภูเพียง"/>
        <s v="ท้องถิ่นเทศบาลตำบลเชียงกลาง"/>
        <s v="ท้องถิ่นเทศบาลตำบลทุ่งช้าง"/>
        <s v="ท้องถิ่นเทศบาลตำบลเวียงสา"/>
        <s v="ท้องถิ่นเทศบาลตำบลท่าวังผา"/>
        <s v="ท้องถิ่นเทศบาลตำบลปัว"/>
        <s v="ท้องถิ่นเทศบาลตำบลนาน้อย"/>
        <s v="ท้องถิ่นเทศบาลเมืองน่าน"/>
        <s v="อำเภอเมืองพะเยา"/>
        <s v="อำเภอจุน"/>
        <s v="อำเภอเชียงคำ"/>
        <s v="อำเภอเชียงม่วน"/>
        <s v="อำเภอดอกคำใต้"/>
        <s v="อำเภอปง"/>
        <s v="อำเภอแม่ใจ"/>
        <s v="อำเภอภูซาง"/>
        <s v="อำเภอภูกามยาว"/>
        <s v="ท้องถิ่นเทศบาลตำบลบ้านต๋อม"/>
        <s v="ท้องถิ่นเทศบาลตำบลห้วยลาน"/>
        <s v="ท้องถิ่นเทศบาลตำบลฝายกวาง"/>
        <s v="ท้องถิ่นเทศบาลตำบลเวียงลอ"/>
        <s v="ท้องถิ่นเทศบาลตำบลหงส์หิน"/>
        <s v="ท้องถิ่นเทศบาลตำบลจุน"/>
        <s v="ท้องถิ่นเทศบาลตำบลบ้านเหล่า"/>
        <s v="ท้องถิ่นเทศบาลตำบลแม่กา"/>
        <s v="ท้องถิ่นเทศบาลตำบลแม่ปืม"/>
        <s v="ท้องถิ่นเทศบาลตำบลบ้านต๊ำ"/>
        <s v="ท้องถิ่นเทศบาลตำบลท่าวังทอง"/>
        <s v="ท้องถิ่นเทศบาลตำบลดงเจน"/>
        <s v="ท้องถิ่นเทศบาลตำบลสบบง"/>
        <s v="ท้องถิ่นเทศบาลตำบลแม่ใจ"/>
        <s v="ท้องถิ่นเทศบาลตำบลปง"/>
        <s v="ท้องถิ่นเทศบาลตำบลงิม"/>
        <s v="ท้องถิ่นเทศบาลเมืองดอกคำใต้"/>
        <s v="ท้องถิ่นเทศบาลตำบลบ้านถ้ำ"/>
        <s v="ท้องถิ่นเทศบาลตำบลเชียงม่วน"/>
        <s v="ท้องถิ่นเทศบาลตำบลเวียง"/>
        <s v="ท้องถิ่นเทศบาลตำบลเชียงคำ"/>
        <s v="ท้องถิ่นเทศบาลตำบลห้วยข้าวก่ำ"/>
        <s v="ท้องถิ่นเทศบาลเมืองพะเยา"/>
        <s v="อำเภอเมืองเชียงราย"/>
        <s v="อำเภอเวียงชัย"/>
        <s v="อำเภอเชียงของ"/>
        <s v="อำเภอเทิง"/>
        <s v="อำเภอพาน"/>
        <s v="อำเภอป่าแดด"/>
        <s v="อำเภอแม่จัน"/>
        <s v="อำเภอเชียงแสน"/>
        <s v="อำเภอแม่สาย"/>
        <s v="อำเภอแม่สรวย"/>
        <s v="อำเภอเวียงป่าเป้า"/>
        <s v="อำเภอพญาเม็งราย"/>
        <s v="อำเภอเวียงแก่น"/>
        <s v="อำเภอขุนตาล"/>
        <s v="อำเภอแม่ฟ้าหลวง"/>
        <s v="อำเภอแม่ลาว"/>
        <s v="อำเภอเวียงเชียงรุ้ง"/>
        <s v="อำเภอดอยหลวง"/>
        <s v="ท้องถิ่นเทศบาลตำบลแม่ยาว"/>
        <s v="ท้องถิ่นเทศบาลตำบลห้วยซ้อ"/>
        <s v="ท้องถิ่นเทศบาลตำบลไม้ยา"/>
        <s v="ท้องถิ่นเทศบาลตำบลครึ่ง"/>
        <s v="ท้องถิ่นเทศบาลตำบลป่าอ้อดอนชัย"/>
        <s v="ท้องถิ่นเทศบาลตำบลยางฮอม"/>
        <s v="ท้องถิ่นเทศบาลตำบลนางแล"/>
        <s v="ท้องถิ่นเทศบาลตำบลเวียงพางคำ"/>
        <s v="ท้องถิ่นเทศบาลตำบลบ้านดู่"/>
        <s v="ท้องถิ่นเทศบาลตำบลแม่ลาว"/>
        <s v="ท้องถิ่นเทศบาลตำบลป่าก่อดำ"/>
        <s v="ท้องถิ่นเทศบาลตำบลบ้านต้า"/>
        <s v="ท้องถิ่นเทศบาลตำบลพญาเม็งราย"/>
        <s v="ท้องถิ่นเทศบาลตำบลเวียงป่าเป้า"/>
        <s v="ท้องถิ่นเทศบาลตำบลแม่ขะจาน"/>
        <s v="ท้องถิ่นเทศบาลตำบลเจดีย์หลวง"/>
        <s v="ท้องถิ่นเทศบาลตำบลแม่สรวย"/>
        <s v="ท้องถิ่นเทศบาลตำบลห้วยไคร้"/>
        <s v="ท้องถิ่นเทศบาลตำบลแม่สาย"/>
        <s v="ท้องถิ่นเทศบาลตำบลเวียงเชียงแสน"/>
        <s v="ท้องถิ่นเทศบาลตำบลสันทราย"/>
        <s v="ท้องถิ่นเทศบาลตำบลแม่จัน"/>
        <s v="ท้องถิ่นเทศบาลตำบลแม่คำ"/>
        <s v="ท้องถิ่นเทศบาลตำบลจันจว้า"/>
        <s v="ท้องถิ่นเทศบาลตำบลป่าแงะ"/>
        <s v="ท้องถิ่นเทศบาลตำบลเมืองพาน"/>
        <s v="ท้องถิ่นเทศบาลตำบลเวียงเทิง"/>
        <s v="ท้องถิ่นเทศบาลตำบลบ้านปล้อง"/>
        <s v="ท้องถิ่นเทศบาลตำบลเวียงเชียงของ"/>
        <s v="ท้องถิ่นเทศบาลตำบลบุญเรือง"/>
        <s v="ท้องถิ่นเทศบาลตำบลเวียงชัย"/>
        <s v="ท้องถิ่นเทศบาลนครเชียงราย"/>
        <s v="อำเภอเมืองแม่ฮ่องสอน"/>
        <s v="อำเภอขุนยวม"/>
        <s v="อำเภอปาย"/>
        <s v="อำเภอแม่สะเรียง"/>
        <s v="อำเภอแม่ลาน้อย"/>
        <s v="อำเภอสบเมย"/>
        <s v="อำเภอปางมะผ้า"/>
        <s v="ท้องถิ่นเทศบาลตำบลแม่ลาน้อย"/>
        <s v="ท้องถิ่นเทศบาลตำบลแม่สะเรียง"/>
        <s v="ท้องถิ่นเทศบาลตำบลปาย"/>
        <s v="ท้องถิ่นเทศบาลตำบลขุนยวม"/>
        <s v="ท้องถิ่นเทศบาลเมืองแม่ฮ่องสอน"/>
        <s v="อำเภอเมืองนครสวรรค์"/>
        <s v="อำเภอโกรกพระ"/>
        <s v="อำเภอชุมแสง"/>
        <s v="อำเภอหนองบัว"/>
        <s v="อำเภอบรรพตพิสัย"/>
        <s v="อำเภอเก้าเลี้ยว"/>
        <s v="อำเภอตาคลี"/>
        <s v="อำเภอท่าตะโก"/>
        <s v="อำเภอไพศาลี"/>
        <s v="อำเภอพยุหะคีรี"/>
        <s v="อำเภอลาดยาว"/>
        <s v="อำเภอตากฟ้า"/>
        <s v="อำเภอแม่วงก์"/>
        <s v="อำเภอแม่เปิน"/>
        <s v="อำเภอชุมตาบง"/>
        <s v="ท้องถิ่นเทศบาลตำบลตากฟ้า"/>
        <s v="ท้องถิ่นเทศบาลตำบลลาดยาว"/>
        <s v="ท้องถิ่นเทศบาลตำบลศาลเจ้าไก่ต่อ"/>
        <s v="ท้องถิ่นเทศบาลตำบลพยุหะ"/>
        <s v="ท้องถิ่นเทศบาลตำบลท่าน้ำอ้อยม่วงหัก"/>
        <s v="ท้องถิ่นเทศบาลตำบลไพศาลี"/>
        <s v="ท้องถิ่นเทศบาลตำบลท่าตะโก"/>
        <s v="ท้องถิ่นเทศบาลตำบลช่องแค"/>
        <s v="ท้องถิ่นเทศบาลตำบลเก้าเลี้ยว"/>
        <s v="ท้องถิ่นเทศบาลตำบลบรรพตพิสัย"/>
        <s v="ท้องถิ่นเทศบาลตำบลทับกฤช"/>
        <s v="ท้องถิ่นเทศบาลตำบลบางประมุง"/>
        <s v="ท้องถิ่นเทศบาลตำบลโกรกพระ"/>
        <s v="ท้องถิ่นเทศบาลตำบลหนองเบน"/>
        <s v="ท้องถิ่นเทศบาลเมืองตาคลี"/>
        <s v="ท้องถิ่นเทศบาลเมืองชุมแสง"/>
        <s v="ท้องถิ่นเทศบาลนครนครสวรรค์"/>
        <s v="อำเภอเมืองอุทัยธานี"/>
        <s v="อำเภอทัพทัน"/>
        <s v="อำเภอสว่างอารมณ์"/>
        <s v="อำเภอหนองฉาง"/>
        <s v="อำเภอหนองขาหย่าง"/>
        <s v="อำเภอบ้านไร่"/>
        <s v="อำเภอลานสัก"/>
        <s v="อำเภอห้วยคต"/>
        <s v="ท้องถิ่นเทศบาลตำบลหนองสระ"/>
        <s v="ท้องถิ่นเทศบาลตำบลลานสัก"/>
        <s v="ท้องถิ่นเทศบาลตำบลเมืองการุ้ง"/>
        <s v="ท้องถิ่นเทศบาลตำบลบ้านไร่"/>
        <s v="ท้องถิ่นเทศบาลตำบลหนองขาหย่าง"/>
        <s v="ท้องถิ่นเทศบาลตำบลหนองฉาง"/>
        <s v="ท้องถิ่นเทศบาลตำบลเขาบางแกรก"/>
        <s v="ท้องถิ่นเทศบาลตำบลสว่างอารมณ์"/>
        <s v="ท้องถิ่นเทศบาลตำบลทัพทัน"/>
        <s v="ท้องถิ่นเทศบาลตำบลตลุกดู่"/>
        <s v="ท้องถิ่นเทศบาลเมืองอุทัยธานี"/>
        <s v="อำเภอเมืองกำแพงเพชร"/>
        <s v="อำเภอไทรงาม"/>
        <s v="อำเภอคลองลาน"/>
        <s v="อำเภอขาณุวรลักษบุรี"/>
        <s v="อำเภอคลองขลุง"/>
        <s v="อำเภอพรานกระต่าย"/>
        <s v="อำเภอลานกระบือ"/>
        <s v="อำเภอทรายทองวัฒนา"/>
        <s v="อำเภอปางศิลาทอง"/>
        <s v="อำเภอบึงสามัคคี"/>
        <s v="อำเภอโกสัมพีนคร"/>
        <s v="ท้องถิ่นเทศบาลเมืองปางมะค่า"/>
        <s v="ท้องถิ่นเทศบาลตำบลบ้านพราน"/>
        <s v="ท้องถิ่นเทศบาลตำบลระหาน"/>
        <s v="ท้องถิ่นเทศบาลตำบลคลองพิไกร"/>
        <s v="ท้องถิ่นเทศบาลตำบลนิคมทุ่งโพธิ์ทะเล"/>
        <s v="ท้องถิ่นเทศบาลตำบลวังยาง"/>
        <s v="ท้องถิ่นเทศบาลตำบลทุ่งทราย"/>
        <s v="ท้องถิ่นเทศบาลตำบลเทพนคร"/>
        <s v="ท้องถิ่นเทศบาลตำบลคลองลานพัฒนา"/>
        <s v="ท้องถิ่นเทศบาลตำบลช่องลม"/>
        <s v="ท้องถิ่นเทศบาลตำบลลานกระบือ"/>
        <s v="ท้องถิ่นเทศบาลตำบลพรานกระต่าย"/>
        <s v="ท้องถิ่นเทศบาลตำบลท่ามะเขือ"/>
        <s v="ท้องถิ่นเทศบาลตำบลท่าพุทรา"/>
        <s v="ท้องถิ่นเทศบาลตำบลคลองขลุง"/>
        <s v="ท้องถิ่นเทศบาลตำบลสลกบาตร"/>
        <s v="ท้องถิ่นเทศบาลตำบลขาณุวรลักษบุรี"/>
        <s v="ท้องถิ่นเทศบาลตำบลไทรงาม"/>
        <s v="ท้องถิ่นเทศบาลตำบลปากดง"/>
        <s v="ท้องถิ่นเทศบาลตำบลนครชุม"/>
        <s v="ท้องถิ่นเทศบาลตำบลคลองแม่ลาย"/>
        <s v="ท้องถิ่นเทศบาลเมืองกำแพงเพชร"/>
        <s v="อำเภอเมืองตาก"/>
        <s v="อำเภอบ้านตาก"/>
        <s v="อำเภอสามเงา"/>
        <s v="อำเภอแม่ระมาด"/>
        <s v="อำเภอท่าสองยาง"/>
        <s v="อำเภอแม่สอด"/>
        <s v="อำเภอพบพระ"/>
        <s v="อำเภออุ้มผาง"/>
        <s v="อำเภอวังเจ้า"/>
        <s v="ท้องถิ่นเทศบาลตำบลไม้งาม"/>
        <s v="ท้องถิ่นเทศบาลตำบลวังเจ้า"/>
        <s v="ท้องถิ่นเทศบาลตำบลอุ้มผาง"/>
        <s v="ท้องถิ่นเทศบาลตำบลพบพระ"/>
        <s v="ท้องถิ่นเทศบาลตำบลแม่กุ"/>
        <s v="ท้องถิ่นเทศบาลตำบลท่าสายลวด"/>
        <s v="ท้องถิ่นเทศบาลตำบลแม่ต้าน"/>
        <s v="ท้องถิ่นเทศบาลตำบลแม่ระมาด"/>
        <s v="ท้องถิ่นเทศบาลตำบลแม่จะเรา"/>
        <s v="ท้องถิ่นเทศบาลตำบลสามเงา"/>
        <s v="ท้องถิ่นเทศบาลตำบลบ้านตาก"/>
        <s v="ท้องถิ่นเทศบาลตำบลทุ่งกระเชาะ"/>
        <s v="ท้องถิ่นเทศบาลนครแม่สอด"/>
        <s v="ท้องถิ่นเทศบาลเมืองตาก"/>
        <s v="อำเภอเมืองสุโขทัย"/>
        <s v="อำเภอบ้านด่านลานหอย"/>
        <s v="อำเภอคีรีมาศ"/>
        <s v="อำเภอกงไกรลาศ"/>
        <s v="อำเภอศรีสัชนาลัย"/>
        <s v="อำเภอศรีสำโรง"/>
        <s v="อำเภอสวรรคโลก"/>
        <s v="อำเภอศรีนคร"/>
        <s v="อำเภอทุ่งเสลี่ยม"/>
        <s v="ท้องถิ่นเทศบาลตำบลป่ากุมเกาะ"/>
        <s v="ท้องถิ่นเทศบาลตำบลทุ่งเสลี่ยม"/>
        <s v="ท้องถิ่นเทศบาลตำบลศรีนคร"/>
        <s v="ท้องถิ่นเทศบาลตำบลศรีสำโรง"/>
        <s v="ท้องถิ่นเทศบาลตำบลหาดเสี้ยว"/>
        <s v="ท้องถิ่นเทศบาลเมืองศรีสัชนาลัย"/>
        <s v="ท้องถิ่นเทศบาลตำบลกงไกรลาศ"/>
        <s v="ท้องถิ่นเทศบาลตำบลบ้านโตนด"/>
        <s v="ท้องถิ่นเทศบาลตำบลทุ่งหลวง"/>
        <s v="ท้องถิ่นเทศบาลตำบลลานหอย"/>
        <s v="ท้องถิ่นเทศบาลตำบลบ้านสวน"/>
        <s v="ท้องถิ่นเทศบาลเมืองสวรรคโลก"/>
        <s v="ท้องถิ่นเทศบาลเมืองสุโขทัยธานี"/>
        <s v="อำเภอเมืองพิษณุโลก"/>
        <s v="อำเภอนครไทย"/>
        <s v="อำเภอชาติตระการ"/>
        <s v="อำเภอบางระกำ"/>
        <s v="อำเภอบางกระทุ่ม"/>
        <s v="อำเภอพรหมพิราม"/>
        <s v="อำเภอวัดโบสถ์"/>
        <s v="อำเภอวังทอง"/>
        <s v="อำเภอเนินมะปราง"/>
        <s v="ท้องถิ่นเทศบาลเมืองอรัญญิก"/>
        <s v="ท้องถิ่นเทศบาลตำบลบ้านมุง"/>
        <s v="ท้องถิ่นเทศบาลตำบลบึงระมาณ"/>
        <s v="ท้องถิ่นเทศบาลตำบลพลายชุมพล"/>
        <s v="ท้องถิ่นเทศบาลตำบลพันเสา"/>
        <s v="ท้องถิ่นเทศบาลตำบลไทรย้อย"/>
        <s v="ท้องถิ่นเทศบาลตำบลบ้านแยง"/>
        <s v="ท้องถิ่นเทศบาลตำบลเนินมะปราง"/>
        <s v="ท้องถิ่นเทศบาลตำบลวังทอง"/>
        <s v="ท้องถิ่นเทศบาลตำบลวัดโบสถ์"/>
        <s v="ท้องถิ่นเทศบาลตำบลวงฆ้อง"/>
        <s v="ท้องถิ่นเทศบาลตำบลพรหมพิราม"/>
        <s v="ท้องถิ่นเทศบาลตำบลบางกระทุ่ม"/>
        <s v="ท้องถิ่นเทศบาลตำบลเนินกุ่ม"/>
        <s v="ท้องถิ่นเทศบาลตำบลปลักแรด"/>
        <s v="ท้องถิ่นเทศบาลตำบลบางระกำ"/>
        <s v="ท้องถิ่นเทศบาลตำบลป่าแดง"/>
        <s v="ท้องถิ่นเทศบาลตำบลนครไทย"/>
        <s v="ท้องถิ่นเทศบาลนครพิษณุโลก"/>
        <s v="อำเภอเมืองพิจิตร"/>
        <s v="อำเภอวังทรายพูน"/>
        <s v="อำเภอโพธิ์ประทับช้าง"/>
        <s v="อำเภอตะพานหิน"/>
        <s v="อำเภอบางมูลนาก"/>
        <s v="อำเภอโพทะเล"/>
        <s v="อำเภอสามง่าม"/>
        <s v="อำเภอทับคล้อ"/>
        <s v="อำเภอสากเหล็ก"/>
        <s v="อำเภอบึงนาราง"/>
        <s v="อำเภอดงเจริญ"/>
        <s v="อำเภอวชิรบารมี"/>
        <s v="ท้องถิ่นเทศบาลตำบลหนองพยอม"/>
        <s v="ท้องถิ่นเทศบาลตำบลหนองปล้อง"/>
        <s v="ท้องถิ่นเทศบาลตำบลเนินมะกอก"/>
        <s v="ท้องถิ่นเทศบาลตำบลหอไกร"/>
        <s v="ท้องถิ่นเทศบาลตำบลดงป่าคำ"/>
        <s v="ท้องถิ่นเทศบาลตำบลเนินปอ"/>
        <s v="ท้องถิ่นเทศบาลตำบลสำนักขุนเณร"/>
        <s v="ท้องถิ่นเทศบาลตำบลสากเหล็ก"/>
        <s v="ท้องถิ่นเทศบาลตำบลทับคล้อ"/>
        <s v="ท้องถิ่นเทศบาลตำบลเขาทราย"/>
        <s v="ท้องถิ่นเทศบาลตำบลสามง่าม"/>
        <s v="ท้องถิ่นเทศบาลตำบลกำแพงดิน"/>
        <s v="ท้องถิ่นเทศบาลตำบลโพทะเล"/>
        <s v="ท้องถิ่นเทศบาลตำบลวังตะกู"/>
        <s v="ท้องถิ่นเทศบาลตำบลบางไผ่"/>
        <s v="ท้องถิ่นเทศบาลตำบลโพธิ์ประทับช้าง"/>
        <s v="ท้องถิ่นเทศบาลตำบลวังทรายพูน"/>
        <s v="ท้องถิ่นเทศบาลตำบลวังกรด"/>
        <s v="ท้องถิ่นเทศบาลตำบลท่าฬ่อ"/>
        <s v="ท้องถิ่นเทศบาลเมืองบางมูลนาก"/>
        <s v="ท้องถิ่นเทศบาลเมืองตะพานหิน"/>
        <s v="ท้องถิ่นเทศบาลเมืองพิจิตร"/>
        <s v="อำเภอเมืองเพชรบูรณ์"/>
        <s v="อำเภอชนแดน"/>
        <s v="อำเภอหล่มสัก"/>
        <s v="อำเภอหล่มเก่า"/>
        <s v="อำเภอวิเชียรบุรี"/>
        <s v="อำเภอศรีเทพ"/>
        <s v="อำเภอหนองไผ่"/>
        <s v="อำเภอบึงสามพัน"/>
        <s v="อำเภอน้ำหนาว"/>
        <s v="อำเภอวังโป่ง"/>
        <s v="อำเภอเขาค้อ"/>
        <s v="ท้องถิ่นเทศบาลตำบลแคมป์สน"/>
        <s v="ท้องถิ่นเทศบาลตำบลโคกสะอาด"/>
        <s v="ท้องถิ่นเทศบาลตำบลบัววัฒนา"/>
        <s v="ท้องถิ่นเทศบาลตำบลบ่อไทย"/>
        <s v="ท้องถิ่นเทศบาลตำบลนางั่ว"/>
        <s v="ท้องถิ่นเทศบาลตำบลเฉลียงทอง"/>
        <s v="ท้องถิ่นเทศบาลตำบลวังโป่ง"/>
        <s v="ท้องถิ่นเทศบาลตำบลท้ายดง"/>
        <s v="ท้องถิ่นเทศบาลตำบลซับสมอทอด"/>
        <s v="ท้องถิ่นเทศบาลตำบลนาเฉลียง"/>
        <s v="ท้องถิ่นเทศบาลตำบลสว่างวัฒนา"/>
        <s v="ท้องถิ่นเทศบาลเมืองวิเชียรบุรี"/>
        <s v="ท้องถิ่นเทศบาลตำบลพุเตย"/>
        <s v="ท้องถิ่นเทศบาลตำบลหล่มเก่า"/>
        <s v="ท้องถิ่นเทศบาลตำบลดงขุย"/>
        <s v="ท้องถิ่นเทศบาลตำบลชนแดน"/>
        <s v="ท้องถิ่นเทศบาลตำบลวังชมภู"/>
        <s v="ท้องถิ่นเทศบาลตำบลท่าพล"/>
        <s v="ท้องถิ่นเทศบาลเมืองหล่มสัก"/>
        <s v="ท้องถิ่นเทศบาลเมืองเพชรบูรณ์"/>
        <s v="อำเภอเมืองราชบุรี"/>
        <s v="อำเภอจอมบึง"/>
        <s v="อำเภอสวนผึ้ง"/>
        <s v="อำเภอดำเนินสะดวก"/>
        <s v="อำเภอบ้านโป่ง"/>
        <s v="อำเภอบางแพ"/>
        <s v="อำเภอโพธาราม"/>
        <s v="อำเภอปากท่อ"/>
        <s v="อำเภอวัดเพลง"/>
        <s v="อำเภอบ้านคา"/>
        <s v="ท้องถิ่นเทศบาลตำบลดอนทราย"/>
        <s v="ท้องถิ่นเทศบาลตำบลหลุมดิน"/>
        <s v="ท้องถิ่นเทศบาลตำบลเบิกไพร"/>
        <s v="ท้องถิ่นเทศบาลตำบลบ้านฆ้อง"/>
        <s v="ท้องถิ่นเทศบาลตำบลกรับใหญ่"/>
        <s v="ท้องถิ่นเทศบาลตำบลบ้านสิงห์"/>
        <s v="ท้องถิ่นเทศบาลตำบลวัดเพลง"/>
        <s v="ท้องถิ่นเทศบาลตำบลปากท่อ"/>
        <s v="ท้องถิ่นเทศบาลตำบลหนองโพ"/>
        <s v="ท้องถิ่นเทศบาลตำบลบ้านเลือก"/>
        <s v="ท้องถิ่นเทศบาลตำบลเจ็ดเสมียน"/>
        <s v="ท้องถิ่นเทศบาลตำบลเขาขวาง"/>
        <s v="ท้องถิ่นเทศบาลตำบลโพหัก"/>
        <s v="ท้องถิ่นเทศบาลตำบลบางแพ"/>
        <s v="ท้องถิ่นเทศบาลตำบลห้วยกระบอก"/>
        <s v="ท้องถิ่นเทศบาลเมืองท่าผา"/>
        <s v="ท้องถิ่นเทศบาลตำบลกระจับ"/>
        <s v="ท้องถิ่นเทศบาลตำบลศรีดอนไผ่"/>
        <s v="ท้องถิ่นเทศบาลตำบลดำเนินสะดวก"/>
        <s v="ท้องถิ่นเทศบาลตำบลสวนผึ้ง"/>
        <s v="ท้องถิ่นเทศบาลตำบลบ้านชัฏป่าหวาย"/>
        <s v="ท้องถิ่นเทศบาลตำบลด่านทับตะโก"/>
        <s v="ท้องถิ่นเทศบาลตำบลจอมบึง"/>
        <s v="ท้องถิ่นเทศบาลตำบลห้วยชินสีห์"/>
        <s v="ท้องถิ่นเทศบาลตำบลหลักเมือง"/>
        <s v="ท้องถิ่นเทศบาลตำบลเขางู"/>
        <s v="ท้องถิ่นเทศบาลเมืองโพธาราม"/>
        <s v="ท้องถิ่นเทศบาลเมืองบ้านโป่ง"/>
        <s v="ท้องถิ่นเทศบาลเมืองราชบุรี"/>
        <s v="อำเภอเมืองกาญจนบุรี"/>
        <s v="อำเภอไทรโยค"/>
        <s v="อำเภอบ่อพลอย"/>
        <s v="อำเภอศรีสวัสดิ์"/>
        <s v="อำเภอท่ามะกา"/>
        <s v="อำเภอท่าม่วง"/>
        <s v="อำเภอทองผาภูมิ"/>
        <s v="อำเภอสังขละบุรี"/>
        <s v="อำเภอพนมทวน"/>
        <s v="อำเภอเลาขวัญ"/>
        <s v="อำเภอด่านมะขามเตี้ย"/>
        <s v="อำเภอหนองปรือ"/>
        <s v="อำเภอห้วยกระเจา"/>
        <s v="ท้องถิ่นเทศบาลตำบลรางหวาย"/>
        <s v="ท้องถิ่นเทศบาลตำบลหนองสาหร่าย"/>
        <s v="ท้องถิ่นเทศบาลเมืองปากแพรก"/>
        <s v="ท้องถิ่นเทศบาลตำบลวังศาลา"/>
        <s v="ท้องถิ่นเทศบาลตำบลท่าล้อ"/>
        <s v="ท้องถิ่นเทศบาลตำบลวังขนาย"/>
        <s v="ท้องถิ่นเทศบาลตำบลหนองปรือ"/>
        <s v="ท้องถิ่นเทศบาลตำบลด่านมะขามเตี้ย"/>
        <s v="ท้องถิ่นเทศบาลตำบลหนองฝ้าย"/>
        <s v="ท้องถิ่นเทศบาลตำบลเลาขวัญ"/>
        <s v="ท้องถิ่นเทศบาลตำบลตลาดเขต"/>
        <s v="ท้องถิ่นเทศบาลตำบลพนมทวน"/>
        <s v="ท้องถิ่นเทศบาลตำบลวังกะ"/>
        <s v="ท้องถิ่นเทศบาลตำบลทองผาภูมิ"/>
        <s v="ท้องถิ่นเทศบาลตำบลหนองตากยา"/>
        <s v="ท้องถิ่นเทศบาลตำบลหนองขาว"/>
        <s v="ท้องถิ่นเทศบาลตำบลสำรอง"/>
        <s v="ท้องถิ่นเทศบาลตำบลท่าม่วง"/>
        <s v="ท้องถิ่นเทศบาลตำบลหวายเหนียว"/>
        <s v="ท้องถิ่นเทศบาลตำบลพระแท่น"/>
        <s v="ท้องถิ่นเทศบาลตำบลท่าไม้"/>
        <s v="ท้องถิ่นเทศบาลตำบลท่ามะกา"/>
        <s v="ท้องถิ่นเทศบาลตำบลลูกแก"/>
        <s v="ท้องถิ่นเทศบาลตำบลเอราวัณ"/>
        <s v="ท้องถิ่นเทศบาลตำบลหนองรี"/>
        <s v="ท้องถิ่นเทศบาลตำบลวังโพธิ์"/>
        <s v="ท้องถิ่นเทศบาลตำบลน้ำตกไทรโยคน้อย"/>
        <s v="ท้องถิ่นเทศบาลตำบลลาดหญ้า"/>
        <s v="ท้องถิ่นเทศบาลตำบลแก่งเสี้ยน"/>
        <s v="ท้องถิ่นเทศบาลเมืองท่าเรือพระแท่น"/>
        <s v="ท้องถิ่นเทศบาลเมืองกาญจนบุรี"/>
        <s v="อำเภอเมืองสุพรรณบุรี"/>
        <s v="อำเภอเดิมบางนางบวช"/>
        <s v="อำเภอด่านช้าง"/>
        <s v="อำเภอบางปลาม้า"/>
        <s v="อำเภอศรีประจันต์"/>
        <s v="อำเภอดอนเจดีย์"/>
        <s v="อำเภอสองพี่น้อง"/>
        <s v="อำเภอสามชุก"/>
        <s v="อำเภออู่ทอง"/>
        <s v="อำเภอหนองหญ้าไซ"/>
        <s v="ท้องถิ่นเทศบาลตำบลท้าวอู่ทอง"/>
        <s v="ท้องถิ่นเทศบาลตำบลกระจัน"/>
        <s v="ท้องถิ่นเทศบาลตำบลบ้านโข้ง"/>
        <s v="ท้องถิ่นเทศบาลตำบลเดิมบาง"/>
        <s v="ท้องถิ่นเทศบาลตำบลบางกุ้ง"/>
        <s v="ท้องถิ่นเทศบาลตำบลท่าระหัด"/>
        <s v="ท้องถิ่นเทศบาลตำบลตะค่า"/>
        <s v="ท้องถิ่นเทศบาลตำบลบ้านดอน"/>
        <s v="ท้องถิ่นเทศบาลตำบลต้นคราม"/>
        <s v="ท้องถิ่นเทศบาลตำบลปลายนา"/>
        <s v="ท้องถิ่นเทศบาลตำบลขุนพัดเพ็ง"/>
        <s v="ท้องถิ่นเทศบาลตำบลเขาดิน"/>
        <s v="ท้องถิ่นเทศบาลตำบลหนองหญ้าไซ"/>
        <s v="ท้องถิ่นเทศบาลตำบลอู่ทอง"/>
        <s v="ท้องถิ่นเทศบาลตำบลสระยายโสม"/>
        <s v="ท้องถิ่นเทศบาลตำบลสามชุก"/>
        <s v="ท้องถิ่นเทศบาลตำบลทุ่งคอก"/>
        <s v="ท้องถิ่นเทศบาลตำบลสระกระโจม"/>
        <s v="ท้องถิ่นเทศบาลตำบลดอนเจดีย์"/>
        <s v="ท้องถิ่นเทศบาลตำบลศรีประจันต์"/>
        <s v="ท้องถิ่นเทศบาลตำบลไผ่กองดิน"/>
        <s v="ท้องถิ่นเทศบาลตำบลบ้านแหลม"/>
        <s v="ท้องถิ่นเทศบาลตำบลบางปลาม้า"/>
        <s v="ท้องถิ่นเทศบาลตำบลโคกคราม"/>
        <s v="ท้องถิ่นเทศบาลตำบลด่านช้าง"/>
        <s v="ท้องถิ่นเทศบาลตำบลบ่อกรุ"/>
        <s v="ท้องถิ่นเทศบาลตำบลนางบวช"/>
        <s v="ท้องถิ่นเทศบาลตำบลเขาพระ"/>
        <s v="ท้องถิ่นเทศบาลตำบลสวนแตง"/>
        <s v="ท้องถิ่นเทศบาลตำบลโพธิ์พระยา"/>
        <s v="ท้องถิ่นเทศบาลตำบลท่าเสด็จ"/>
        <s v="ท้องถิ่นเทศบาลเมืองสองพี่น้อง"/>
        <s v="ท้องถิ่นเทศบาลเมืองสุพรรณบุรี"/>
        <s v="อำเภอเมืองนครปฐม"/>
        <s v="อำเภอกำแพงแสน"/>
        <s v="อำเภอนครชัยศรี"/>
        <s v="อำเภอดอนตูม"/>
        <s v="อำเภอบางเลน"/>
        <s v="อำเภอสามพราน"/>
        <s v="อำเภอพุทธมณฑล"/>
        <s v="ท้องถิ่นเทศบาลตำบลบ่อพลับ"/>
        <s v="ท้องถิ่นเทศบาลตำบลบางกระทึก"/>
        <s v="ท้องถิ่นเทศบาลเมืองกระทุ่มล้ม"/>
        <s v="ท้องถิ่นเทศบาลเมืองไร่ขิง"/>
        <s v="ท้องถิ่นเทศบาลตำบลคลองโยง"/>
        <s v="ท้องถิ่นเทศบาลตำบลศาลายา"/>
        <s v="ท้องถิ่นเทศบาลตำบลอ้อมใหญ่"/>
        <s v="ท้องถิ่นเทศบาลเมืองสามพราน"/>
        <s v="ท้องถิ่นเทศบาลตำบลลำพญา"/>
        <s v="ท้องถิ่นเทศบาลตำบลรางกระทุ่ม"/>
        <s v="ท้องถิ่นเทศบาลตำบลบางเลน"/>
        <s v="ท้องถิ่นเทศบาลตำบลห้วยพลู"/>
        <s v="ท้องถิ่นเทศบาลตำบลนครชัยศรี"/>
        <s v="ท้องถิ่นเทศบาลตำบลกำแพงแสน"/>
        <s v="ท้องถิ่นเทศบาลตำบลโพรงมะเดื่อ"/>
        <s v="ท้องถิ่นเทศบาลตำบลธรรมศาลา"/>
        <s v="ท้องถิ่นเทศบาลตำบลดอนยายหอม"/>
        <s v="ท้องถิ่นเทศบาลนครนครปฐม"/>
        <s v="อำเภอเมืองสมุทรสาคร"/>
        <s v="อำเภอกระทุ่มแบน"/>
        <s v="อำเภอบ้านแพ้ว"/>
        <s v="ท้องถิ่นเทศบาลตำบลสวนหลวง"/>
        <s v="ท้องถิ่นเทศบาลตำบลหลักห้า"/>
        <s v="ท้องถิ่นเทศบาลตำบลบ้านแพ้ว"/>
        <s v="ท้องถิ่นเทศบาลตำบลเกษตรพัฒนา"/>
        <s v="ท้องถิ่นเทศบาลตำบลบางปลา"/>
        <s v="ท้องถิ่นเทศบาลนครอ้อมน้อย"/>
        <s v="ท้องถิ่นเทศบาลเมืองกระทุ่มแบน"/>
        <s v="ท้องถิ่นเทศบาลนครสมุทรสาคร"/>
        <s v="อำเภอเมืองสมุทรสงคราม"/>
        <s v="อำเภอบางคนที"/>
        <s v="อำเภออัมพวา"/>
        <s v="ท้องถิ่นเทศบาลตำบลเหมืองใหม่"/>
        <s v="ท้องถิ่นเทศบาลตำบลบางนกแขวก"/>
        <s v="ท้องถิ่นเทศบาลตำบลกระดังงา"/>
        <s v="ท้องถิ่นเทศบาลตำบลอัมพวา"/>
        <s v="ท้องถิ่นเทศบาลเมืองสมุทรสงคราม"/>
        <s v="อำเภอเมืองเพชรบุรี"/>
        <s v="อำเภอเขาย้อย"/>
        <s v="อำเภอหนองหญ้าปล้อง"/>
        <s v="อำเภอชะอำ"/>
        <s v="อำเภอท่ายาง"/>
        <s v="อำเภอบ้านลาด"/>
        <s v="อำเภอบ้านแหลม"/>
        <s v="อำเภอแก่งกระจาน"/>
        <s v="ท้องถิ่นเทศบาลตำบลท่าแลง"/>
        <s v="ท้องถิ่นเทศบาลตำบลบางตะบูน"/>
        <s v="ท้องถิ่นเทศบาลตำบลบ้านลาด"/>
        <s v="ท้องถิ่นเทศบาลตำบลหนองจอก"/>
        <s v="ท้องถิ่นเทศบาลตำบลท่ายาง"/>
        <s v="ท้องถิ่นเทศบาลตำบลนายาง"/>
        <s v="ท้องถิ่นเทศบาลตำบลเขาย้อย"/>
        <s v="ท้องถิ่นเทศบาลตำบลหาดเจ้าสำราญ"/>
        <s v="ท้องถิ่นเทศบาลตำบลหัวสะพาน"/>
        <s v="ท้องถิ่นเทศบาลเมืองชะอำ"/>
        <s v="ท้องถิ่นเทศบาลเมืองเพชรบุรี"/>
        <s v="อำเภอเมืองประจวบคีรีขันธ์"/>
        <s v="อำเภอกุยบุรี"/>
        <s v="อำเภอทับสะแก"/>
        <s v="อำเภอบางสะพาน"/>
        <s v="อำเภอบางสะพานน้อย"/>
        <s v="อำเภอปราณบุรี"/>
        <s v="อำเภอหัวหิน"/>
        <s v="อำเภอสามร้อยยอด"/>
        <s v="ท้องถิ่นเทศบาลตำบลเขาน้อย"/>
        <s v="ท้องถิ่นเทศบาลตำบลไร่เก่า"/>
        <s v="ท้องถิ่นเทศบาลตำบลหนองพลับ"/>
        <s v="ท้องถิ่นเทศบาลตำบลปากน้ำปราณ"/>
        <s v="ท้องถิ่นเทศบาลตำบลปราณบุรี"/>
        <s v="ท้องถิ่นเทศบาลตำบลบางสะพานน้อย"/>
        <s v="ท้องถิ่นเทศบาลตำบลร่อนทอง"/>
        <s v="ท้องถิ่นเทศบาลตำบลบ้านกรูด"/>
        <s v="ท้องถิ่นเทศบาลตำบลกำเนิดนพคุณ"/>
        <s v="ท้องถิ่นเทศบาลตำบลทับสะแก"/>
        <s v="ท้องถิ่นเทศบาลตำบลไร่ใหม่"/>
        <s v="ท้องถิ่นเทศบาลตำบลกุยบุรี"/>
        <s v="ท้องถิ่นเทศบาลตำบลคลองวาฬ"/>
        <s v="ท้องถิ่นเทศบาลตำบล กม.5"/>
        <s v="ท้องถิ่นเทศบาลเมืองหัวหิน"/>
        <s v="ท้องถิ่นเทศบาลเมืองประจวบคีรีขันธ์"/>
        <s v="อำเภอเมืองนครศรีธรรมราช"/>
        <s v="อำเภอพรหมคีรี"/>
        <s v="อำเภอลานสกา"/>
        <s v="อำเภอฉวาง"/>
        <s v="อำเภอพิปูน"/>
        <s v="อำเภอเชียรใหญ่"/>
        <s v="อำเภอชะอวด"/>
        <s v="อำเภอท่าศาลา"/>
        <s v="อำเภอทุ่งสง"/>
        <s v="อำเภอนาบอน"/>
        <s v="อำเภอทุ่งใหญ่"/>
        <s v="อำเภอปากพนัง"/>
        <s v="อำเภอร่อนพิบูลย์"/>
        <s v="อำเภอสิชล"/>
        <s v="อำเภอขนอม"/>
        <s v="อำเภอหัวไทร"/>
        <s v="อำเภอบางขัน"/>
        <s v="อำเภอถ้ำพรรณรา"/>
        <s v="อำเภอจุฬาภรณ์"/>
        <s v="อำเภอพระพรหม"/>
        <s v="อำเภอนบพิตำ"/>
        <s v="อำเภอช้างกลาง"/>
        <s v="ท้องถิ่นเทศบาลตำบลหน้าสตน"/>
        <s v="ท้องถิ่นเทศบาลตำบลเกาะเพชร"/>
        <s v="ท้องถิ่นเทศบาลตำบลทางพูน"/>
        <s v="ท้องถิ่นเทศบาลตำบลที่วัง"/>
        <s v="ท้องถิ่นเทศบาลตำบลท้องเนียน"/>
        <s v="ท้องถิ่นเทศบาลตำบลหัวไทร"/>
        <s v="ท้องถิ่นเทศบาลตำบลขนอม"/>
        <s v="ท้องถิ่นเทศบาลตำบลสิชล"/>
        <s v="ท้องถิ่นเทศบาลตำบลหินตก"/>
        <s v="ท้องถิ่นเทศบาลตำบลร่อนพิบูลย์"/>
        <s v="ท้องถิ่นเทศบาลตำบลเขาชุมทอง"/>
        <s v="ท้องถิ่นเทศบาลตำบลนาบอน"/>
        <s v="ท้องถิ่นเทศบาลตำบลชะอวด"/>
        <s v="ท้องถิ่นเทศบาลตำบลเชียรใหญ่"/>
        <s v="ท้องถิ่นเทศบาลตำบลพิปูน"/>
        <s v="ท้องถิ่นเทศบาลตำบลไม้เรียง"/>
        <s v="ท้องถิ่นเทศบาลตำบลฉวาง"/>
        <s v="ท้องถิ่นเทศบาลตำบลจันดี"/>
        <s v="ท้องถิ่นเทศบาลตำบลลานสกา"/>
        <s v="ท้องถิ่นเทศบาลตำบลพรหมโลก"/>
        <s v="ท้องถิ่นเทศบาลตำบลทอนหงส์"/>
        <s v="ท้องถิ่นเทศบาลตำบลปากนคร"/>
        <s v="ท้องถิ่นเทศบาลตำบลบางจาก"/>
        <s v="ท้องถิ่นเทศบาลตำบลท่าแพ"/>
        <s v="ท้องถิ่นเทศบาลเมืองทุ่งสง"/>
        <s v="ท้องถิ่นเทศบาลเมืองปากพนัง"/>
        <s v="ท้องถิ่นเทศบาลนครนครศรีธรรมราช"/>
        <s v="อำเภอเมืองกระบี่"/>
        <s v="อำเภอเขาพนม"/>
        <s v="อำเภอเกาะลันตา"/>
        <s v="อำเภอคลองท่อม"/>
        <s v="อำเภออ่าวลึก"/>
        <s v="อำเภอปลายพระยา"/>
        <s v="อำเภอลำทับ"/>
        <s v="อำเภอเหนือคลอง"/>
        <s v="ท้องถิ่นเทศบาลตำบลกระบี่น้อย"/>
        <s v="ท้องถิ่นเทศบาลตำบลเหนือคลอง"/>
        <s v="ท้องถิ่นเทศบาลตำบลลำทับ"/>
        <s v="ท้องถิ่นเทศบาลตำบลปลายพระยา"/>
        <s v="ท้องถิ่นเทศบาลตำบลอ่าวลึกใต้"/>
        <s v="ท้องถิ่นเทศบาลตำบลแหลมสัก"/>
        <s v="ท้องถิ่นเทศบาลตำบลคลองพน"/>
        <s v="ท้องถิ่นเทศบาลตำบลคลองท่อมใต้"/>
        <s v="ท้องถิ่นเทศบาลตำบลเกาะลันตาใหญ่"/>
        <s v="ท้องถิ่นเทศบาลตำบลเขาพนม"/>
        <s v="ท้องถิ่นเทศบาลเมืองกระบี่"/>
        <s v="อำเภอเมืองพังงา"/>
        <s v="อำเภอเกาะยาว"/>
        <s v="อำเภอกะปง"/>
        <s v="อำเภอตะกั่วทุ่ง"/>
        <s v="อำเภอตะกั่วป่า"/>
        <s v="อำเภอคุระบุรี"/>
        <s v="อำเภอทับปุด"/>
        <s v="อำเภอท้ายเหมือง"/>
        <s v="ท้องถิ่นเทศบาลตำบลท้ายเหมือง"/>
        <s v="ท้องถิ่นเทศบาลตำบลทับปุด"/>
        <s v="ท้องถิ่นเทศบาลตำบลคุระบุรี"/>
        <s v="ท้องถิ่นเทศบาลตำบลโคกกลอย"/>
        <s v="ท้องถิ่นเทศบาลตำบลกระโสม"/>
        <s v="ท้องถิ่นเทศบาลตำบลท่านา"/>
        <s v="ท้องถิ่นเทศบาลเมืองตะกั่วป่า"/>
        <s v="ท้องถิ่นเทศบาลเมืองพังงา"/>
        <s v="อำเภอเมืองภูเก็ต"/>
        <s v="อำเภอกะทู้"/>
        <s v="อำเภอถลาง"/>
        <s v="ท้องถิ่นเทศบาลตำบลวิชิต"/>
        <s v="ท้องถิ่นเทศบาลตำบลราไวย์"/>
        <s v="ท้องถิ่นเทศบาลตำบลรัษฎา"/>
        <s v="ท้องถิ่นเทศบาลตำบลเทพกระษัตรี"/>
        <s v="ท้องถิ่นเทศบาลตำบลเชิงทะเล"/>
        <s v="ท้องถิ่นเทศบาลเมืองกะทู้"/>
        <s v="ท้องถิ่นเทศบาลตำบลกะรน"/>
        <s v="ท้องถิ่นเทศบาลเมืองป่าตอง"/>
        <s v="ท้องถิ่นเทศบาลนครภูเก็ต"/>
        <s v="อำเภอเมืองสุราษฎร์ธานี"/>
        <s v="อำเภอกาญจนดิษฐ์"/>
        <s v="อำเภอดอนสัก"/>
        <s v="อำเภอเกาะพะงัน"/>
        <s v="อำเภอไชยา"/>
        <s v="อำเภอท่าชนะ"/>
        <s v="อำเภอคีรีรัฐนิคม"/>
        <s v="อำเภอบ้านตาขุน"/>
        <s v="อำเภอพนม"/>
        <s v="อำเภอท่าฉาง"/>
        <s v="อำเภอบ้านนาสาร"/>
        <s v="อำเภอบ้านนาเดิม"/>
        <s v="อำเภอเคียนซา"/>
        <s v="อำเภอเวียงสระ"/>
        <s v="อำเภอพระแสง"/>
        <s v="อำเภอพุนพิน"/>
        <s v="อำเภอชัยบุรี"/>
        <s v="อำเภอวิภาวดี"/>
        <s v="ท้องถิ่นเทศบาลตำบลบ้านเสด็จ"/>
        <s v="ท้องถิ่นเทศบาลตำบลคลองชะอุ่น"/>
        <s v="ท้องถิ่นเทศบาลตำบลขุนทะเล"/>
        <s v="ท้องถิ่นเทศบาลตำบลช้างซ้าย"/>
        <s v="ท้องถิ่นเทศบาลตำบลเขานิพันธ์"/>
        <s v="ท้องถิ่นเทศบาลตำบลวัดประดู่"/>
        <s v="ท้องถิ่นเทศบาลตำบลบ้านส้อง"/>
        <s v="ท้องถิ่นเทศบาลตำบลย่านดินแดง"/>
        <s v="ท้องถิ่นเทศบาลตำบลบางสวรรค์"/>
        <s v="ท้องถิ่นเทศบาลตำบลเวียงสระ"/>
        <s v="ท้องถิ่นเทศบาลตำบลเคียนซา"/>
        <s v="ท้องถิ่นเทศบาลตำบลท่าฉาง"/>
        <s v="ท้องถิ่นเทศบาลตำบลพนม"/>
        <s v="ท้องถิ่นเทศบาลตำบลบ้านตาขุน"/>
        <s v="ท้องถิ่นเทศบาลตำบลบ้านเชี่ยวหลาน"/>
        <s v="ท้องถิ่นเทศบาลตำบลท่าขนอน"/>
        <s v="ท้องถิ่นเทศบาลตำบลท่าชนะ"/>
        <s v="ท้องถิ่นเทศบาลตำบลพุมเรียง"/>
        <s v="ท้องถิ่นเทศบาลตำบลตลาดไชยา"/>
        <s v="ท้องถิ่นเทศบาลตำบลเกาะพะงัน"/>
        <s v="ท้องถิ่นเทศบาลนครเกาะสมุย"/>
        <s v="ท้องถิ่นเทศบาลเมืองดอนสัก"/>
        <s v="ท้องถิ่นเทศบาลตำบลท่าทองใหม่"/>
        <s v="ท้องถิ่นเทศบาลตำบลกาญจนดิษฐ์"/>
        <s v="ท้องถิ่นเทศบาลเมืองท่าข้าม"/>
        <s v="ท้องถิ่นเทศบาลเมืองนาสาร"/>
        <s v="ท้องถิ่นเทศบาลนครสุราษฎร์ธานี"/>
        <s v="อำเภอเมืองระนอง"/>
        <s v="อำเภอละอุ่น"/>
        <s v="อำเภอกะเปอร์"/>
        <s v="อำเภอกระบุรี"/>
        <s v="อำเภอสุขสำราญ"/>
        <s v="ท้องถิ่นเทศบาลตำบลน้ำจืด"/>
        <s v="ท้องถิ่นเทศบาลตำบลกะเปอร์"/>
        <s v="ท้องถิ่นเทศบาลตำบลละอุ่น"/>
        <s v="ท้องถิ่นเทศบาลตำบลหงาว"/>
        <s v="ท้องถิ่นเทศบาลเมืองระนอง"/>
        <s v="อำเภอเมืองชุมพร"/>
        <s v="อำเภอท่าแซะ"/>
        <s v="อำเภอปะทิว"/>
        <s v="อำเภอหลังสวน"/>
        <s v="อำเภอละแม"/>
        <s v="อำเภอพะโต๊ะ"/>
        <s v="อำเภอสวี"/>
        <s v="อำเภอทุ่งตะโก"/>
        <s v="ท้องถิ่นเทศบาลเมืองท่ายาง"/>
        <s v="ท้องถิ่นเทศบาลตำบลปากตะโก"/>
        <s v="ท้องถิ่นเทศบาลตำบลพะโต๊ะ"/>
        <s v="ท้องถิ่นเทศบาลตำบลละแม"/>
        <s v="ท้องถิ่นเทศบาลตำบลปากน้ำหลังสวน"/>
        <s v="ท้องถิ่นเทศบาลตำบลสะพลี"/>
        <s v="ท้องถิ่นเทศบาลตำบลมาบอำมฤต"/>
        <s v="ท้องถิ่นเทศบาลตำบลปะทิว"/>
        <s v="ท้องถิ่นเทศบาลตำบลเนินสันติ"/>
        <s v="ท้องถิ่นเทศบาลตำบลท่าแซะ"/>
        <s v="ท้องถิ่นเทศบาลตำบลวังไผ่"/>
        <s v="ท้องถิ่นเทศบาลตำบลปากน้ำชุมพร"/>
        <s v="ท้องถิ่นเทศบาลเมืองหลังสวน"/>
        <s v="ท้องถิ่นเทศบาลเมืองชุมพร"/>
        <s v="อำเภอเมืองสงขลา"/>
        <s v="อำเภอสทิงพระ"/>
        <s v="อำเภอจะนะ"/>
        <s v="อำเภอนาทวี"/>
        <s v="อำเภอเทพา"/>
        <s v="อำเภอสะบ้าย้อย"/>
        <s v="อำเภอระโนด"/>
        <s v="อำเภอกระแสสินธุ์"/>
        <s v="อำเภอรัตภูมิ"/>
        <s v="อำเภอสะเดา"/>
        <s v="อำเภอหาดใหญ่"/>
        <s v="อำเภอนาหม่อม"/>
        <s v="อำเภอควนเนียง"/>
        <s v="อำเภอบางกล่ำ"/>
        <s v="อำเภอสิงหนคร"/>
        <s v="อำเภอคลองหอยโข่ง"/>
        <s v="ท้องถิ่นเทศบาลเมืองทุ่งตำเสา"/>
        <s v="ท้องถิ่นเทศบาลตำบลโคกม่วง"/>
        <s v="ท้องถิ่นเทศบาลตำบลทุ่งลาน"/>
        <s v="ท้องถิ่นเทศบาลตำบลเกาะแต้ว"/>
        <s v="ท้องถิ่นเทศบาลตำบลคูเต่า"/>
        <s v="ท้องถิ่นเทศบาลตำบลน้ำน้อย"/>
        <s v="ท้องถิ่นเทศบาลตำบลลำไพล"/>
        <s v="ท้องถิ่นเทศบาลตำบลพะวง"/>
        <s v="ท้องถิ่นเทศบาลเมืองเขารูปช้าง"/>
        <s v="ท้องถิ่นเทศบาลตำบลสำนักขาม"/>
        <s v="ท้องถิ่นเทศบาลเมืองคลองแห"/>
        <s v="ท้องถิ่นเทศบาลเมืองควนลัง"/>
        <s v="ท้องถิ่นเทศบาลเมืองคอหงส์"/>
        <s v="ท้องถิ่นเทศบาลเมืองสิงหนคร"/>
        <s v="ท้องถิ่นเทศบาลตำบลควนเนียง"/>
        <s v="ท้องถิ่นเทศบาลตำบลพะตง"/>
        <s v="ท้องถิ่นเทศบาลตำบลคลองแงะ"/>
        <s v="ท้องถิ่นเทศบาลเมืองปาดังเบซาร์"/>
        <s v="ท้องถิ่นเทศบาลตำบลปริก"/>
        <s v="ท้องถิ่นเทศบาลตำบลนาสีทอง"/>
        <s v="ท้องถิ่นเทศบาลตำบลกำแพงเพชร"/>
        <s v="ท้องถิ่นเทศบาลตำบลระโนด"/>
        <s v="ท้องถิ่นเทศบาลตำบลบ่อตรุ"/>
        <s v="ท้องถิ่นเทศบาลตำบลสะบ้าย้อย"/>
        <s v="ท้องถิ่นเทศบาลตำบลเทพา"/>
        <s v="ท้องถิ่นเทศบาลตำบลนาทวี"/>
        <s v="ท้องถิ่นเทศบาลตำบลจะนะ"/>
        <s v="ท้องถิ่นเทศบาลตำบลสทิงพระ"/>
        <s v="ท้องถิ่นเทศบาลเมืองบ้านพรุ"/>
        <s v="ท้องถิ่นเทศบาลเมืองสะเดา"/>
        <s v="ท้องถิ่นเทศบาลนครหาดใหญ่"/>
        <s v="ท้องถิ่นเทศบาลนครสงขลา"/>
        <s v="อำเภอเมืองสตูล"/>
        <s v="อำเภอควนโดน"/>
        <s v="อำเภอควนกาหลง"/>
        <s v="อำเภอท่าแพ"/>
        <s v="อำเภอละงู"/>
        <s v="อำเภอทุ่งหว้า"/>
        <s v="อำเภอมะนัง"/>
        <s v="ท้องถิ่นเทศบาลตำบลคลองขุด"/>
        <s v="ท้องถิ่นเทศบาลตำบลทุ่งหว้า"/>
        <s v="ท้องถิ่นเทศบาลตำบลควนโดน"/>
        <s v="ท้องถิ่นเทศบาลตำบลฉลุง"/>
        <s v="ท้องถิ่นเทศบาลตำบลเจ๊ะบิลัง"/>
        <s v="ท้องถิ่นเทศบาลเมืองสตูล"/>
        <s v="อำเภอเมืองตรัง"/>
        <s v="อำเภอกันตัง"/>
        <s v="อำเภอย่านตาขาว"/>
        <s v="อำเภอปะเหลียน"/>
        <s v="อำเภอสิเกา"/>
        <s v="อำเภอห้วยยอด"/>
        <s v="อำเภอวังวิเศษ"/>
        <s v="อำเภอนาโยง"/>
        <s v="อำเภอรัษฎา"/>
        <s v="อำเภอหาดสำราญ"/>
        <s v="ท้องถิ่นเทศบาลตำบลคลองปาง"/>
        <s v="ท้องถิ่นเทศบาลตำบลนาโยงเหนือ"/>
        <s v="ท้องถิ่นเทศบาลตำบลวังวิเศษ"/>
        <s v="ท้องถิ่นเทศบาลตำบลลำภูรา"/>
        <s v="ท้องถิ่นเทศบาลตำบลนาวง"/>
        <s v="ท้องถิ่นเทศบาลตำบลสิเกา"/>
        <s v="ท้องถิ่นเทศบาลตำบลควนกุน"/>
        <s v="ท้องถิ่นเทศบาลตำบลทุ่งยาว"/>
        <s v="ท้องถิ่นเทศบาลตำบลย่านตาขาว"/>
        <s v="ท้องถิ่นเทศบาลตำบลคลองเต็ง"/>
        <s v="ท้องถิ่นเทศบาลตำบลห้วยยอด"/>
        <s v="ท้องถิ่นเทศบาลเมืองกันตัง"/>
        <s v="ท้องถิ่นเทศบาลนครตรัง"/>
        <s v="อำเภอเมืองพัทลุง"/>
        <s v="อำเภอกงหรา"/>
        <s v="อำเภอเขาชัยสน"/>
        <s v="อำเภอตะโหมด"/>
        <s v="อำเภอควนขนุน"/>
        <s v="อำเภอปากพะยูน"/>
        <s v="อำเภอศรีบรรพต"/>
        <s v="อำเภอป่าบอน"/>
        <s v="อำเภอบางแก้ว"/>
        <s v="อำเภอป่าพะยอม"/>
        <s v="อำเภอศรีนครินทร์"/>
        <s v="ท้องถิ่นเทศบาลตำบลเขาหัวช้าง"/>
        <s v="ท้องถิ่นเทศบาลตำบลชะรัด"/>
        <s v="ท้องถิ่นเทศบาลตำบลหารเทา"/>
        <s v="ท้องถิ่นเทศบาลตำบลบางแก้ว"/>
        <s v="ท้องถิ่นเทศบาลตำบลอ่าวพะยูน"/>
        <s v="ท้องถิ่นเทศบาลตำบลชุมพล"/>
        <s v="ท้องถิ่นเทศบาลตำบลลานข่อย"/>
        <s v="ท้องถิ่นเทศบาลตำบลท่ามะเดื่อ"/>
        <s v="ท้องถิ่นเทศบาลตำบลป่าบอน"/>
        <s v="ท้องถิ่นเทศบาลตำบลปากพะยูน"/>
        <s v="ท้องถิ่นเทศบาลตำบลมะกอกเหนือ"/>
        <s v="ท้องถิ่นเทศบาลตำบลควนขนุน"/>
        <s v="ท้องถิ่นเทศบาลตำบลแม่ขรี"/>
        <s v="ท้องถิ่นเทศบาลตำบลตะโหมด"/>
        <s v="ท้องถิ่นเทศบาลตำบลเขาชัยสน"/>
        <s v="ท้องถิ่นเทศบาลเมืองพัทลุง"/>
        <s v="อำเภอเมืองปัตตานี"/>
        <s v="อำเภอโคกโพธิ์"/>
        <s v="อำเภอหนองจิก"/>
        <s v="อำเภอปะนาเระ"/>
        <s v="อำเภอมายอ"/>
        <s v="อำเภอทุ่งยางแดง"/>
        <s v="อำเภอสายบุรี"/>
        <s v="อำเภอไม้แก่น"/>
        <s v="อำเภอยะหริ่ง"/>
        <s v="อำเภอยะรัง"/>
        <s v="อำเภอกะพ้อ"/>
        <s v="อำเภอแม่ลาน"/>
        <s v="ท้องถิ่นเทศบาลตำบลยะรัง"/>
        <s v="ท้องถิ่นเทศบาลตำบลยะหริ่ง"/>
        <s v="ท้องถิ่นเทศบาลตำบลตันหยง"/>
        <s v="ท้องถิ่นเทศบาลตำบลมายอ"/>
        <s v="ท้องถิ่นเทศบาลตำบลปะนาเระ"/>
        <s v="ท้องถิ่นเทศบาลตำบลหนองจิก"/>
        <s v="ท้องถิ่นเทศบาลตำบลนาประดู่"/>
        <s v="ท้องถิ่นเทศบาลตำบลโคกโพธิ์"/>
        <s v="ท้องถิ่นเทศบาลเมืองตะลุบัน"/>
        <s v="ท้องถิ่นเทศบาลเมืองปัตตานี"/>
        <s v="อำเภอเมืองยะลา"/>
        <s v="อำเภอเบตง"/>
        <s v="อำเภอบันนังสตา"/>
        <s v="อำเภอธารโต"/>
        <s v="อำเภอยะหา"/>
        <s v="อำเภอรามัน"/>
        <s v="อำเภอกาบัง"/>
        <s v="อำเภอกรงปินัง"/>
        <s v="ท้องถิ่นเทศบาลเมืองสะเตงนอก"/>
        <s v="ท้องถิ่นเทศบาลตำบลเขื่อนบางลาง"/>
        <s v="ท้องถิ่นเทศบาลตำบลโกตาบารู"/>
        <s v="ท้องถิ่นเทศบาลตำบลเมืองรามันห์"/>
        <s v="ท้องถิ่นเทศบาลตำบลยะหา"/>
        <s v="ท้องถิ่นเทศบาลตำบลคอกช้าง"/>
        <s v="ท้องถิ่นเทศบาลตำบลบันนังสตา"/>
        <s v="ท้องถิ่นเทศบาลตำบลลำใหม่"/>
        <s v="ท้องถิ่นเทศบาลเมืองเบตง"/>
        <s v="ท้องถิ่นเทศบาลนครยะลา"/>
        <s v="อำเภอเมืองนราธิวาส"/>
        <s v="อำเภอตากใบ"/>
        <s v="อำเภอบาเจาะ"/>
        <s v="อำเภอยี่งอ"/>
        <s v="อำเภอระแงะ"/>
        <s v="อำเภอรือเสาะ"/>
        <s v="อำเภอศรีสาคร"/>
        <s v="อำเภอแว้ง"/>
        <s v="อำเภอสุคิริน"/>
        <s v="อำเภอสุไหงโกลก"/>
        <s v="อำเภอสุไหงปาดี"/>
        <s v="อำเภอจะแนะ"/>
        <s v="อำเภอเจาะไอร้อง"/>
        <s v="ท้องถิ่นเทศบาลตำบลปะลุรู"/>
        <s v="ท้องถิ่นเทศบาลตำบลสุคิริน"/>
        <s v="ท้องถิ่นเทศบาลตำบลแว้ง"/>
        <s v="ท้องถิ่นเทศบาลตำบลบูเก๊ะตา"/>
        <s v="ท้องถิ่นเทศบาลตำบลศรีสาคร"/>
        <s v="ท้องถิ่นเทศบาลตำบลรือเสาะ"/>
        <s v="ท้องถิ่นเทศบาลตำบลมะรือโบตก"/>
        <s v="ท้องถิ่นเทศบาลตำบลตันหยงมัส"/>
        <s v="ท้องถิ่นเทศบาลตำบลยี่งอ"/>
        <s v="ท้องถิ่นเทศบาลตำบลบาเจาะ"/>
        <s v="ท้องถิ่นเทศบาลตำบลต้นไทร"/>
        <s v="ท้องถิ่นเทศบาลเมืองตากใบ"/>
        <s v="ท้องถิ่นเทศบาลเมืองสุไหงโกลก"/>
        <s v="ท้องถิ่นเทศบาลเมืองนราธิวาส"/>
      </sharedItems>
    </cacheField>
    <cacheField name="จำนวนประชากรชาย" numFmtId="0">
      <sharedItems containsSemiMixedTypes="0" containsString="0" containsNumber="1" containsInteger="1" minValue="204" maxValue="133427"/>
    </cacheField>
    <cacheField name="จำนวนประชากรหญิง" numFmtId="0">
      <sharedItems containsSemiMixedTypes="0" containsString="0" containsNumber="1" containsInteger="1" minValue="189" maxValue="152067"/>
    </cacheField>
    <cacheField name="จำนวนประชากรทั้งหมด" numFmtId="0">
      <sharedItems containsSemiMixedTypes="0" containsString="0" containsNumber="1" containsInteger="1" minValue="393" maxValue="285494"/>
    </cacheField>
    <cacheField name="จำนวนบ้าน (หลังคาเรือน)" numFmtId="0">
      <sharedItems containsSemiMixedTypes="0" containsString="0" containsNumber="1" containsInteger="1" minValue="317" maxValue="1926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40.451255902779" createdVersion="7" refreshedVersion="7" minRefreshableVersion="3" recordCount="77" xr:uid="{ED595AAC-1A72-4CAD-A5BC-509819272976}">
  <cacheSource type="worksheet">
    <worksheetSource ref="A1:H78" sheet="DATA1"/>
  </cacheSource>
  <cacheFields count="8">
    <cacheField name="ภูมิภาค" numFmtId="0">
      <sharedItems count="7">
        <s v="กรุงเทพมหานครและปริมณฑล"/>
        <s v="ภาคกลาง"/>
        <s v="ภาคตะวันตก"/>
        <s v="ภาคตะวันออก"/>
        <s v="ภาคตะวันออกเฉียงเหนือ"/>
        <s v="ภาคใต้"/>
        <s v="ภาคเหนือ"/>
      </sharedItems>
    </cacheField>
    <cacheField name="ชื่อจังหวัด" numFmtId="0">
      <sharedItems count="77">
        <s v="กรุงเทพมหานคร"/>
        <s v="จังหวัดนครปฐม"/>
        <s v="จังหวัดนนทบุรี"/>
        <s v="จังหวัดปทุมธานี"/>
        <s v="จังหวัดสมุทรปราการ"/>
        <s v="จังหวัดสมุทรสาคร"/>
        <s v="จังหวัดกำแพงเพชร"/>
        <s v="จังหวัดชัยนาท"/>
        <s v="จังหวัดนครนายก"/>
        <s v="จังหวัดนครสวรรค์"/>
        <s v="จังหวัดพระนครศรีอยุธยา"/>
        <s v="จังหวัดพิจิตร"/>
        <s v="จังหวัดพิษณุโลก"/>
        <s v="จังหวัดเพชรบูรณ์"/>
        <s v="จังหวัดลพบุรี"/>
        <s v="จังหวัดสมุทรสงคราม"/>
        <s v="จังหวัดสระบุรี"/>
        <s v="จังหวัดสิงห์บุรี"/>
        <s v="จังหวัดสุโขทัย"/>
        <s v="จังหวัดสุพรรณบุรี"/>
        <s v="จังหวัดอ่างทอง"/>
        <s v="จังหวัดอุทัยธานี"/>
        <s v="จังหวัดกาญจนบุรี"/>
        <s v="จังหวัดตาก"/>
        <s v="จังหวัดประจวบคีรีขันธ์"/>
        <s v="จังหวัดเพชรบุรี"/>
        <s v="จังหวัดราชบุรี"/>
        <s v="จังหวัดระยอง"/>
        <s v="จังหวัดจันทบุรี"/>
        <s v="จังหวัดฉะเชิงเทรา"/>
        <s v="จังหวัดชลบุรี"/>
        <s v="จังหวัดตราด"/>
        <s v="จังหวัดปราจีนบุรี"/>
        <s v="จังหวัดสระแก้ว"/>
        <s v="จังหวัดกาฬสินธุ์"/>
        <s v="จังหวัดขอนแก่น"/>
        <s v="จังหวัดชัยภูมิ"/>
        <s v="จังหวัดนครพนม"/>
        <s v="จังหวัดนครราชสีมา"/>
        <s v="จังหวัดบึงกาฬ"/>
        <s v="จังหวัดบุรีรัมย์"/>
        <s v="จังหวัดมหาสารคาม"/>
        <s v="จังหวัดมุกดาหาร"/>
        <s v="จังหวัดยโสธร"/>
        <s v="จังหวัดร้อยเอ็ด"/>
        <s v="จังหวัดเลย"/>
        <s v="จังหวัดศรีสะเกษ"/>
        <s v="จังหวัดสกลนคร"/>
        <s v="จังหวัดสุรินทร์"/>
        <s v="จังหวัดหนองคาย"/>
        <s v="จังหวัดหนองบัวลำภู"/>
        <s v="จังหวัดอำนาจเจริญ"/>
        <s v="จังหวัดอุดรธานี"/>
        <s v="จังหวัดอุบลราชธานี"/>
        <s v="จังหวัดกระบี่"/>
        <s v="จังหวัดชุมพร"/>
        <s v="จังหวัดตรัง"/>
        <s v="จังหวัดนครศรีธรรมราช"/>
        <s v="จังหวัดนราธิวาส"/>
        <s v="จังหวัดปัตตานี"/>
        <s v="จังหวัดพังงา"/>
        <s v="จังหวัดพัทลุง"/>
        <s v="จังหวัดภูเก็ต"/>
        <s v="จังหวัดยะลา"/>
        <s v="จังหวัดระนอง"/>
        <s v="จังหวัดสงขลา"/>
        <s v="จังหวัดสตูล"/>
        <s v="จังหวัดสุราษฎร์ธานี"/>
        <s v="จังหวัดเชียงราย"/>
        <s v="จังหวัดเชียงใหม่"/>
        <s v="จังหวัดน่าน"/>
        <s v="จังหวัดพะเยา"/>
        <s v="จังหวัดแพร่"/>
        <s v="จังหวัดแม่ฮ่องสอน"/>
        <s v="จังหวัดลำปาง"/>
        <s v="จังหวัดลำพูน"/>
        <s v="จังหวัดอุตรดิตถ์"/>
      </sharedItems>
    </cacheField>
    <cacheField name="จำนวนประชากรทั้งหมด" numFmtId="3">
      <sharedItems containsSemiMixedTypes="0" containsString="0" containsNumber="1" containsInteger="1" minValue="186784" maxValue="5455020"/>
    </cacheField>
    <cacheField name="จำนวนประชากรชาย" numFmtId="3">
      <sharedItems containsSemiMixedTypes="0" containsString="0" containsNumber="1" containsInteger="1" minValue="89040" maxValue="2544400"/>
    </cacheField>
    <cacheField name="จำนวนประชากรหญิง" numFmtId="3">
      <sharedItems containsSemiMixedTypes="0" containsString="0" containsNumber="1" containsInteger="1" minValue="95983" maxValue="2910620"/>
    </cacheField>
    <cacheField name="จำนวนบ้าน (หลังคาเรือน)" numFmtId="3">
      <sharedItems containsSemiMixedTypes="0" containsString="0" containsNumber="1" containsInteger="1" minValue="77393" maxValue="3304462"/>
    </cacheField>
    <cacheField name="M" numFmtId="2">
      <sharedItems containsSemiMixedTypes="0" containsString="0" containsNumber="1" minValue="46.263996497508572" maxValue="50.583861539422806" count="77">
        <n v="46.643275368376287"/>
        <n v="47.895346300004974"/>
        <n v="46.263996497508572"/>
        <n v="47.244941450304943"/>
        <n v="47.367083180646944"/>
        <n v="47.973571040521811"/>
        <n v="49.248782213902309"/>
        <n v="47.96515797156416"/>
        <n v="49.408707702968009"/>
        <n v="48.627810895296832"/>
        <n v="47.930158498638662"/>
        <n v="48.672550975434362"/>
        <n v="48.81279823051878"/>
        <n v="49.13689553021802"/>
        <n v="49.642476001908264"/>
        <n v="47.670035977385645"/>
        <n v="49.011131710904074"/>
        <n v="47.494281867639629"/>
        <n v="48.340565201922608"/>
        <n v="48.134724541510629"/>
        <n v="47.771269177126918"/>
        <n v="48.7793537112453"/>
        <n v="49.941708103187253"/>
        <n v="50.520257029446157"/>
        <n v="48.97248667467727"/>
        <n v="48.111619452849865"/>
        <n v="48.487159693392762"/>
        <n v="48.963589803252745"/>
        <n v="48.762276560996895"/>
        <n v="48.907494022214308"/>
        <n v="48.594977148010578"/>
        <n v="49.397175487932472"/>
        <n v="49.307141130667368"/>
        <n v="49.914627509150868"/>
        <n v="49.304998524589486"/>
        <n v="48.990538715998419"/>
        <n v="49.254521856392422"/>
        <n v="49.741255592762471"/>
        <n v="48.957205862821219"/>
        <n v="50.022090449045095"/>
        <n v="49.494096946449865"/>
        <n v="49.061241870548159"/>
        <n v="49.920686998944397"/>
        <n v="49.722362347118448"/>
        <n v="49.377939489729279"/>
        <n v="49.96480471759147"/>
        <n v="49.727637684264977"/>
        <n v="49.58858189514244"/>
        <n v="49.643115762234011"/>
        <n v="49.480365678729584"/>
        <n v="49.736805061273373"/>
        <n v="49.648425640074912"/>
        <n v="49.31755291904377"/>
        <n v="49.775207153112895"/>
        <n v="49.666325655413296"/>
        <n v="49.260018147712934"/>
        <n v="48.829136999396809"/>
        <n v="49.362233677580534"/>
        <n v="49.470143058946888"/>
        <n v="49.470916609979163"/>
        <n v="49.910625769820051"/>
        <n v="48.602340982596644"/>
        <n v="47.019551518565677"/>
        <n v="49.677019172691658"/>
        <n v="50.249057933829903"/>
        <n v="48.61984463775245"/>
        <n v="49.762219164673617"/>
        <n v="49.14030906520685"/>
        <n v="48.457412089635397"/>
        <n v="48.108774837842176"/>
        <n v="49.871096498032976"/>
        <n v="48.459860499072043"/>
        <n v="47.985868237916272"/>
        <n v="50.583861539422806"/>
        <n v="48.522991623658271"/>
        <n v="47.799764589051627"/>
        <n v="48.593458832913498"/>
      </sharedItems>
    </cacheField>
    <cacheField name="W" numFmtId="2">
      <sharedItems containsSemiMixedTypes="0" containsString="0" containsNumber="1" minValue="49.416138460577194" maxValue="53.736003502491428"/>
    </cacheField>
  </cacheFields>
  <extLst>
    <ext xmlns:x14="http://schemas.microsoft.com/office/spreadsheetml/2009/9/main" uri="{725AE2AE-9491-48be-B2B4-4EB974FC3084}">
      <x14:pivotCacheDefinition pivotCacheId="1082135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2">
  <r>
    <n v="10"/>
    <x v="0"/>
    <n v="1001"/>
    <x v="0"/>
    <n v="19110"/>
    <n v="20235"/>
    <n v="39345"/>
    <n v="19016"/>
  </r>
  <r>
    <n v="10"/>
    <x v="0"/>
    <n v="1002"/>
    <x v="1"/>
    <n v="39732"/>
    <n v="34852"/>
    <n v="74584"/>
    <n v="32869"/>
  </r>
  <r>
    <n v="10"/>
    <x v="0"/>
    <n v="1003"/>
    <x v="2"/>
    <n v="90282"/>
    <n v="95945"/>
    <n v="186227"/>
    <n v="74844"/>
  </r>
  <r>
    <n v="10"/>
    <x v="0"/>
    <n v="1004"/>
    <x v="3"/>
    <n v="19497"/>
    <n v="22204"/>
    <n v="41701"/>
    <n v="36025"/>
  </r>
  <r>
    <n v="10"/>
    <x v="0"/>
    <n v="1005"/>
    <x v="4"/>
    <n v="85680"/>
    <n v="98551"/>
    <n v="184231"/>
    <n v="119489"/>
  </r>
  <r>
    <n v="10"/>
    <x v="0"/>
    <n v="1006"/>
    <x v="5"/>
    <n v="63927"/>
    <n v="77485"/>
    <n v="141412"/>
    <n v="117821"/>
  </r>
  <r>
    <n v="10"/>
    <x v="0"/>
    <n v="1007"/>
    <x v="6"/>
    <n v="18530"/>
    <n v="20869"/>
    <n v="39399"/>
    <n v="32452"/>
  </r>
  <r>
    <n v="10"/>
    <x v="0"/>
    <n v="1008"/>
    <x v="7"/>
    <n v="18021"/>
    <n v="18884"/>
    <n v="36905"/>
    <n v="19623"/>
  </r>
  <r>
    <n v="10"/>
    <x v="0"/>
    <n v="1009"/>
    <x v="8"/>
    <n v="37951"/>
    <n v="47119"/>
    <n v="85070"/>
    <n v="65282"/>
  </r>
  <r>
    <n v="10"/>
    <x v="0"/>
    <n v="1010"/>
    <x v="9"/>
    <n v="66126"/>
    <n v="74626"/>
    <n v="140752"/>
    <n v="66394"/>
  </r>
  <r>
    <n v="10"/>
    <x v="0"/>
    <n v="1011"/>
    <x v="10"/>
    <n v="85480"/>
    <n v="95773"/>
    <n v="181253"/>
    <n v="108362"/>
  </r>
  <r>
    <n v="10"/>
    <x v="0"/>
    <n v="1012"/>
    <x v="11"/>
    <n v="33567"/>
    <n v="39266"/>
    <n v="72833"/>
    <n v="54412"/>
  </r>
  <r>
    <n v="10"/>
    <x v="0"/>
    <n v="1013"/>
    <x v="12"/>
    <n v="9144"/>
    <n v="9701"/>
    <n v="18845"/>
    <n v="13160"/>
  </r>
  <r>
    <n v="10"/>
    <x v="0"/>
    <n v="1014"/>
    <x v="13"/>
    <n v="30205"/>
    <n v="32820"/>
    <n v="63025"/>
    <n v="46536"/>
  </r>
  <r>
    <n v="10"/>
    <x v="0"/>
    <n v="1015"/>
    <x v="14"/>
    <n v="45180"/>
    <n v="51989"/>
    <n v="97169"/>
    <n v="65530"/>
  </r>
  <r>
    <n v="10"/>
    <x v="0"/>
    <n v="1016"/>
    <x v="15"/>
    <n v="27759"/>
    <n v="32038"/>
    <n v="59797"/>
    <n v="32954"/>
  </r>
  <r>
    <n v="10"/>
    <x v="0"/>
    <n v="1017"/>
    <x v="16"/>
    <n v="37334"/>
    <n v="46624"/>
    <n v="83958"/>
    <n v="95001"/>
  </r>
  <r>
    <n v="10"/>
    <x v="0"/>
    <n v="1018"/>
    <x v="17"/>
    <n v="29066"/>
    <n v="34291"/>
    <n v="63357"/>
    <n v="42956"/>
  </r>
  <r>
    <n v="10"/>
    <x v="0"/>
    <n v="1019"/>
    <x v="18"/>
    <n v="46929"/>
    <n v="53958"/>
    <n v="100887"/>
    <n v="45173"/>
  </r>
  <r>
    <n v="10"/>
    <x v="0"/>
    <n v="1020"/>
    <x v="19"/>
    <n v="44877"/>
    <n v="51868"/>
    <n v="96745"/>
    <n v="55591"/>
  </r>
  <r>
    <n v="10"/>
    <x v="0"/>
    <n v="1021"/>
    <x v="20"/>
    <n v="87025"/>
    <n v="98570"/>
    <n v="185595"/>
    <n v="95111"/>
  </r>
  <r>
    <n v="10"/>
    <x v="0"/>
    <n v="1022"/>
    <x v="21"/>
    <n v="56096"/>
    <n v="65620"/>
    <n v="121716"/>
    <n v="69711"/>
  </r>
  <r>
    <n v="10"/>
    <x v="0"/>
    <n v="1023"/>
    <x v="22"/>
    <n v="71814"/>
    <n v="83142"/>
    <n v="154956"/>
    <n v="66262"/>
  </r>
  <r>
    <n v="10"/>
    <x v="0"/>
    <n v="1024"/>
    <x v="23"/>
    <n v="35669"/>
    <n v="39308"/>
    <n v="74977"/>
    <n v="39190"/>
  </r>
  <r>
    <n v="10"/>
    <x v="0"/>
    <n v="1025"/>
    <x v="24"/>
    <n v="39053"/>
    <n v="47518"/>
    <n v="86571"/>
    <n v="60745"/>
  </r>
  <r>
    <n v="10"/>
    <x v="0"/>
    <n v="1026"/>
    <x v="25"/>
    <n v="50731"/>
    <n v="60049"/>
    <n v="110780"/>
    <n v="65046"/>
  </r>
  <r>
    <n v="10"/>
    <x v="0"/>
    <n v="1027"/>
    <x v="26"/>
    <n v="61733"/>
    <n v="74375"/>
    <n v="136108"/>
    <n v="77441"/>
  </r>
  <r>
    <n v="10"/>
    <x v="0"/>
    <n v="1028"/>
    <x v="27"/>
    <n v="33209"/>
    <n v="37111"/>
    <n v="70320"/>
    <n v="45256"/>
  </r>
  <r>
    <n v="10"/>
    <x v="0"/>
    <n v="1029"/>
    <x v="28"/>
    <n v="54023"/>
    <n v="63483"/>
    <n v="117506"/>
    <n v="78559"/>
  </r>
  <r>
    <n v="10"/>
    <x v="0"/>
    <n v="1030"/>
    <x v="29"/>
    <n v="70502"/>
    <n v="83998"/>
    <n v="154500"/>
    <n v="140621"/>
  </r>
  <r>
    <n v="10"/>
    <x v="0"/>
    <n v="1031"/>
    <x v="30"/>
    <n v="35777"/>
    <n v="40447"/>
    <n v="76224"/>
    <n v="40867"/>
  </r>
  <r>
    <n v="10"/>
    <x v="0"/>
    <n v="1032"/>
    <x v="31"/>
    <n v="86073"/>
    <n v="98282"/>
    <n v="184355"/>
    <n v="97910"/>
  </r>
  <r>
    <n v="10"/>
    <x v="0"/>
    <n v="1033"/>
    <x v="32"/>
    <n v="41969"/>
    <n v="47044"/>
    <n v="89013"/>
    <n v="83803"/>
  </r>
  <r>
    <n v="10"/>
    <x v="0"/>
    <n v="1034"/>
    <x v="33"/>
    <n v="56013"/>
    <n v="67392"/>
    <n v="123405"/>
    <n v="85646"/>
  </r>
  <r>
    <n v="10"/>
    <x v="0"/>
    <n v="1035"/>
    <x v="34"/>
    <n v="65638"/>
    <n v="73789"/>
    <n v="139427"/>
    <n v="74595"/>
  </r>
  <r>
    <n v="10"/>
    <x v="0"/>
    <n v="1036"/>
    <x v="35"/>
    <n v="82415"/>
    <n v="83632"/>
    <n v="166047"/>
    <n v="83308"/>
  </r>
  <r>
    <n v="10"/>
    <x v="0"/>
    <n v="1037"/>
    <x v="36"/>
    <n v="29553"/>
    <n v="33079"/>
    <n v="62632"/>
    <n v="58075"/>
  </r>
  <r>
    <n v="10"/>
    <x v="0"/>
    <n v="1038"/>
    <x v="37"/>
    <n v="50667"/>
    <n v="61419"/>
    <n v="112086"/>
    <n v="60732"/>
  </r>
  <r>
    <n v="10"/>
    <x v="0"/>
    <n v="1039"/>
    <x v="38"/>
    <n v="37206"/>
    <n v="43066"/>
    <n v="80272"/>
    <n v="87305"/>
  </r>
  <r>
    <n v="10"/>
    <x v="0"/>
    <n v="1040"/>
    <x v="39"/>
    <n v="88757"/>
    <n v="103724"/>
    <n v="192481"/>
    <n v="97890"/>
  </r>
  <r>
    <n v="10"/>
    <x v="0"/>
    <n v="1041"/>
    <x v="40"/>
    <n v="46653"/>
    <n v="51524"/>
    <n v="98177"/>
    <n v="62353"/>
  </r>
  <r>
    <n v="10"/>
    <x v="0"/>
    <n v="1042"/>
    <x v="41"/>
    <n v="99098"/>
    <n v="113477"/>
    <n v="212575"/>
    <n v="112297"/>
  </r>
  <r>
    <n v="10"/>
    <x v="0"/>
    <n v="1043"/>
    <x v="42"/>
    <n v="43668"/>
    <n v="50526"/>
    <n v="94194"/>
    <n v="48118"/>
  </r>
  <r>
    <n v="10"/>
    <x v="0"/>
    <n v="1044"/>
    <x v="43"/>
    <n v="44684"/>
    <n v="52975"/>
    <n v="97659"/>
    <n v="43914"/>
  </r>
  <r>
    <n v="10"/>
    <x v="0"/>
    <n v="1045"/>
    <x v="44"/>
    <n v="46600"/>
    <n v="56456"/>
    <n v="103056"/>
    <n v="65168"/>
  </r>
  <r>
    <n v="10"/>
    <x v="0"/>
    <n v="1046"/>
    <x v="45"/>
    <n v="100401"/>
    <n v="113910"/>
    <n v="214311"/>
    <n v="93955"/>
  </r>
  <r>
    <n v="10"/>
    <x v="0"/>
    <n v="1047"/>
    <x v="46"/>
    <n v="39112"/>
    <n v="45889"/>
    <n v="85001"/>
    <n v="78445"/>
  </r>
  <r>
    <n v="10"/>
    <x v="0"/>
    <n v="1048"/>
    <x v="47"/>
    <n v="37026"/>
    <n v="43323"/>
    <n v="80349"/>
    <n v="37042"/>
  </r>
  <r>
    <n v="10"/>
    <x v="0"/>
    <n v="1049"/>
    <x v="48"/>
    <n v="57702"/>
    <n v="66362"/>
    <n v="124064"/>
    <n v="57688"/>
  </r>
  <r>
    <n v="10"/>
    <x v="0"/>
    <n v="1050"/>
    <x v="49"/>
    <n v="47136"/>
    <n v="52032"/>
    <n v="99168"/>
    <n v="53919"/>
  </r>
  <r>
    <n v="11"/>
    <x v="1"/>
    <n v="1101"/>
    <x v="50"/>
    <n v="61166"/>
    <n v="68415"/>
    <n v="129581"/>
    <n v="61601"/>
  </r>
  <r>
    <n v="11"/>
    <x v="1"/>
    <n v="1102"/>
    <x v="51"/>
    <n v="48301"/>
    <n v="51734"/>
    <n v="100035"/>
    <n v="52769"/>
  </r>
  <r>
    <n v="11"/>
    <x v="1"/>
    <n v="1103"/>
    <x v="52"/>
    <n v="133427"/>
    <n v="152067"/>
    <n v="285494"/>
    <n v="192624"/>
  </r>
  <r>
    <n v="11"/>
    <x v="1"/>
    <n v="1104"/>
    <x v="53"/>
    <n v="17857"/>
    <n v="19426"/>
    <n v="37283"/>
    <n v="13733"/>
  </r>
  <r>
    <n v="11"/>
    <x v="1"/>
    <n v="1105"/>
    <x v="54"/>
    <n v="60736"/>
    <n v="66527"/>
    <n v="127263"/>
    <n v="61264"/>
  </r>
  <r>
    <n v="11"/>
    <x v="1"/>
    <n v="1106"/>
    <x v="55"/>
    <n v="30437"/>
    <n v="33064"/>
    <n v="63501"/>
    <n v="48202"/>
  </r>
  <r>
    <n v="11"/>
    <x v="1"/>
    <n v="1183"/>
    <x v="56"/>
    <n v="19139"/>
    <n v="22020"/>
    <n v="41159"/>
    <n v="17887"/>
  </r>
  <r>
    <n v="11"/>
    <x v="1"/>
    <n v="1184"/>
    <x v="57"/>
    <n v="9566"/>
    <n v="10654"/>
    <n v="20220"/>
    <n v="18771"/>
  </r>
  <r>
    <n v="11"/>
    <x v="1"/>
    <n v="1185"/>
    <x v="58"/>
    <n v="10700"/>
    <n v="11358"/>
    <n v="22058"/>
    <n v="9612"/>
  </r>
  <r>
    <n v="11"/>
    <x v="1"/>
    <n v="1186"/>
    <x v="59"/>
    <n v="5441"/>
    <n v="5681"/>
    <n v="11122"/>
    <n v="5764"/>
  </r>
  <r>
    <n v="11"/>
    <x v="1"/>
    <n v="1187"/>
    <x v="60"/>
    <n v="5358"/>
    <n v="5382"/>
    <n v="10740"/>
    <n v="2252"/>
  </r>
  <r>
    <n v="11"/>
    <x v="1"/>
    <n v="1188"/>
    <x v="61"/>
    <n v="3087"/>
    <n v="3393"/>
    <n v="6480"/>
    <n v="2520"/>
  </r>
  <r>
    <n v="11"/>
    <x v="1"/>
    <n v="1189"/>
    <x v="62"/>
    <n v="1368"/>
    <n v="1420"/>
    <n v="2788"/>
    <n v="928"/>
  </r>
  <r>
    <n v="11"/>
    <x v="1"/>
    <n v="1190"/>
    <x v="63"/>
    <n v="5388"/>
    <n v="5663"/>
    <n v="11051"/>
    <n v="3327"/>
  </r>
  <r>
    <n v="11"/>
    <x v="1"/>
    <n v="1191"/>
    <x v="64"/>
    <n v="57311"/>
    <n v="62508"/>
    <n v="119819"/>
    <n v="62862"/>
  </r>
  <r>
    <n v="11"/>
    <x v="1"/>
    <n v="1192"/>
    <x v="65"/>
    <n v="12070"/>
    <n v="13823"/>
    <n v="25893"/>
    <n v="15843"/>
  </r>
  <r>
    <n v="11"/>
    <x v="1"/>
    <n v="1193"/>
    <x v="66"/>
    <n v="44467"/>
    <n v="51284"/>
    <n v="95751"/>
    <n v="50820"/>
  </r>
  <r>
    <n v="11"/>
    <x v="1"/>
    <n v="1194"/>
    <x v="67"/>
    <n v="24941"/>
    <n v="28638"/>
    <n v="53579"/>
    <n v="29381"/>
  </r>
  <r>
    <n v="11"/>
    <x v="1"/>
    <n v="1195"/>
    <x v="68"/>
    <n v="32662"/>
    <n v="34961"/>
    <n v="67623"/>
    <n v="36471"/>
  </r>
  <r>
    <n v="11"/>
    <x v="1"/>
    <n v="1196"/>
    <x v="69"/>
    <n v="13772"/>
    <n v="16775"/>
    <n v="30547"/>
    <n v="31575"/>
  </r>
  <r>
    <n v="11"/>
    <x v="1"/>
    <n v="1197"/>
    <x v="70"/>
    <n v="31356"/>
    <n v="34584"/>
    <n v="65940"/>
    <n v="38716"/>
  </r>
  <r>
    <n v="11"/>
    <x v="1"/>
    <n v="1198"/>
    <x v="71"/>
    <n v="3836"/>
    <n v="4128"/>
    <n v="7964"/>
    <n v="2187"/>
  </r>
  <r>
    <n v="11"/>
    <x v="1"/>
    <n v="1199"/>
    <x v="72"/>
    <n v="21671"/>
    <n v="23264"/>
    <n v="44935"/>
    <n v="24121"/>
  </r>
  <r>
    <n v="12"/>
    <x v="2"/>
    <n v="1201"/>
    <x v="73"/>
    <n v="27551"/>
    <n v="32083"/>
    <n v="59634"/>
    <n v="32547"/>
  </r>
  <r>
    <n v="12"/>
    <x v="2"/>
    <n v="1202"/>
    <x v="74"/>
    <n v="16983"/>
    <n v="20085"/>
    <n v="37068"/>
    <n v="21583"/>
  </r>
  <r>
    <n v="12"/>
    <x v="2"/>
    <n v="1203"/>
    <x v="75"/>
    <n v="52035"/>
    <n v="60762"/>
    <n v="112797"/>
    <n v="57746"/>
  </r>
  <r>
    <n v="12"/>
    <x v="2"/>
    <n v="1204"/>
    <x v="76"/>
    <n v="71049"/>
    <n v="81309"/>
    <n v="152358"/>
    <n v="87928"/>
  </r>
  <r>
    <n v="12"/>
    <x v="2"/>
    <n v="1205"/>
    <x v="77"/>
    <n v="35700"/>
    <n v="39636"/>
    <n v="75336"/>
    <n v="37897"/>
  </r>
  <r>
    <n v="12"/>
    <x v="2"/>
    <n v="1206"/>
    <x v="78"/>
    <n v="25423"/>
    <n v="28622"/>
    <n v="54045"/>
    <n v="27816"/>
  </r>
  <r>
    <n v="12"/>
    <x v="2"/>
    <n v="1285"/>
    <x v="79"/>
    <n v="19010"/>
    <n v="22221"/>
    <n v="41231"/>
    <n v="17483"/>
  </r>
  <r>
    <n v="12"/>
    <x v="2"/>
    <n v="1286"/>
    <x v="80"/>
    <n v="18241"/>
    <n v="22123"/>
    <n v="40364"/>
    <n v="27183"/>
  </r>
  <r>
    <n v="12"/>
    <x v="2"/>
    <n v="1287"/>
    <x v="81"/>
    <n v="5654"/>
    <n v="6530"/>
    <n v="12184"/>
    <n v="7024"/>
  </r>
  <r>
    <n v="12"/>
    <x v="2"/>
    <n v="1288"/>
    <x v="82"/>
    <n v="23889"/>
    <n v="28185"/>
    <n v="52074"/>
    <n v="25259"/>
  </r>
  <r>
    <n v="12"/>
    <x v="2"/>
    <n v="1289"/>
    <x v="83"/>
    <n v="11408"/>
    <n v="13521"/>
    <n v="24929"/>
    <n v="13668"/>
  </r>
  <r>
    <n v="12"/>
    <x v="2"/>
    <n v="1290"/>
    <x v="84"/>
    <n v="11264"/>
    <n v="13370"/>
    <n v="24634"/>
    <n v="16101"/>
  </r>
  <r>
    <n v="12"/>
    <x v="2"/>
    <n v="1291"/>
    <x v="85"/>
    <n v="1294"/>
    <n v="1305"/>
    <n v="2599"/>
    <n v="1237"/>
  </r>
  <r>
    <n v="12"/>
    <x v="2"/>
    <n v="1292"/>
    <x v="86"/>
    <n v="6621"/>
    <n v="7376"/>
    <n v="13997"/>
    <n v="6572"/>
  </r>
  <r>
    <n v="12"/>
    <x v="2"/>
    <n v="1293"/>
    <x v="87"/>
    <n v="2932"/>
    <n v="3071"/>
    <n v="6003"/>
    <n v="2847"/>
  </r>
  <r>
    <n v="12"/>
    <x v="2"/>
    <n v="1294"/>
    <x v="88"/>
    <n v="22198"/>
    <n v="26310"/>
    <n v="48508"/>
    <n v="24758"/>
  </r>
  <r>
    <n v="12"/>
    <x v="2"/>
    <n v="1295"/>
    <x v="89"/>
    <n v="15241"/>
    <n v="17920"/>
    <n v="33161"/>
    <n v="13922"/>
  </r>
  <r>
    <n v="12"/>
    <x v="2"/>
    <n v="1296"/>
    <x v="90"/>
    <n v="20294"/>
    <n v="24158"/>
    <n v="44452"/>
    <n v="23084"/>
  </r>
  <r>
    <n v="12"/>
    <x v="2"/>
    <n v="1297"/>
    <x v="91"/>
    <n v="86885"/>
    <n v="101978"/>
    <n v="188863"/>
    <n v="141775"/>
  </r>
  <r>
    <n v="12"/>
    <x v="2"/>
    <n v="1298"/>
    <x v="92"/>
    <n v="23979"/>
    <n v="28520"/>
    <n v="52499"/>
    <n v="27957"/>
  </r>
  <r>
    <n v="12"/>
    <x v="2"/>
    <n v="1299"/>
    <x v="93"/>
    <n v="112071"/>
    <n v="129112"/>
    <n v="241183"/>
    <n v="153834"/>
  </r>
  <r>
    <n v="13"/>
    <x v="3"/>
    <n v="1301"/>
    <x v="94"/>
    <n v="49341"/>
    <n v="54354"/>
    <n v="103695"/>
    <n v="53829"/>
  </r>
  <r>
    <n v="13"/>
    <x v="3"/>
    <n v="1302"/>
    <x v="95"/>
    <n v="74503"/>
    <n v="82914"/>
    <n v="157417"/>
    <n v="79158"/>
  </r>
  <r>
    <n v="13"/>
    <x v="3"/>
    <n v="1304"/>
    <x v="96"/>
    <n v="26334"/>
    <n v="26896"/>
    <n v="53230"/>
    <n v="18370"/>
  </r>
  <r>
    <n v="13"/>
    <x v="3"/>
    <n v="1305"/>
    <x v="97"/>
    <n v="30143"/>
    <n v="31837"/>
    <n v="61980"/>
    <n v="32552"/>
  </r>
  <r>
    <n v="13"/>
    <x v="3"/>
    <n v="1306"/>
    <x v="98"/>
    <n v="44499"/>
    <n v="47784"/>
    <n v="92283"/>
    <n v="47687"/>
  </r>
  <r>
    <n v="13"/>
    <x v="3"/>
    <n v="1307"/>
    <x v="99"/>
    <n v="22500"/>
    <n v="24085"/>
    <n v="46585"/>
    <n v="21923"/>
  </r>
  <r>
    <n v="13"/>
    <x v="3"/>
    <n v="1379"/>
    <x v="100"/>
    <n v="34392"/>
    <n v="39735"/>
    <n v="74127"/>
    <n v="43060"/>
  </r>
  <r>
    <n v="13"/>
    <x v="3"/>
    <n v="1380"/>
    <x v="101"/>
    <n v="12562"/>
    <n v="14183"/>
    <n v="26745"/>
    <n v="22598"/>
  </r>
  <r>
    <n v="13"/>
    <x v="3"/>
    <n v="1381"/>
    <x v="102"/>
    <n v="6278"/>
    <n v="7143"/>
    <n v="13421"/>
    <n v="7614"/>
  </r>
  <r>
    <n v="13"/>
    <x v="3"/>
    <n v="1382"/>
    <x v="103"/>
    <n v="30376"/>
    <n v="35368"/>
    <n v="65744"/>
    <n v="34215"/>
  </r>
  <r>
    <n v="13"/>
    <x v="3"/>
    <n v="1383"/>
    <x v="104"/>
    <n v="15493"/>
    <n v="17926"/>
    <n v="33419"/>
    <n v="21232"/>
  </r>
  <r>
    <n v="13"/>
    <x v="3"/>
    <n v="1384"/>
    <x v="105"/>
    <n v="15807"/>
    <n v="18801"/>
    <n v="34608"/>
    <n v="16961"/>
  </r>
  <r>
    <n v="13"/>
    <x v="3"/>
    <n v="1386"/>
    <x v="106"/>
    <n v="7665"/>
    <n v="8824"/>
    <n v="16489"/>
    <n v="9185"/>
  </r>
  <r>
    <n v="13"/>
    <x v="3"/>
    <n v="1387"/>
    <x v="107"/>
    <n v="5540"/>
    <n v="5929"/>
    <n v="11469"/>
    <n v="5209"/>
  </r>
  <r>
    <n v="13"/>
    <x v="3"/>
    <n v="1388"/>
    <x v="108"/>
    <n v="10211"/>
    <n v="11422"/>
    <n v="21633"/>
    <n v="11782"/>
  </r>
  <r>
    <n v="13"/>
    <x v="3"/>
    <n v="1389"/>
    <x v="109"/>
    <n v="1334"/>
    <n v="1399"/>
    <n v="2733"/>
    <n v="1088"/>
  </r>
  <r>
    <n v="13"/>
    <x v="3"/>
    <n v="1390"/>
    <x v="110"/>
    <n v="5387"/>
    <n v="5788"/>
    <n v="11175"/>
    <n v="6073"/>
  </r>
  <r>
    <n v="13"/>
    <x v="3"/>
    <n v="1391"/>
    <x v="111"/>
    <n v="1995"/>
    <n v="2067"/>
    <n v="4062"/>
    <n v="2019"/>
  </r>
  <r>
    <n v="13"/>
    <x v="3"/>
    <n v="1392"/>
    <x v="112"/>
    <n v="15645"/>
    <n v="17542"/>
    <n v="33187"/>
    <n v="18204"/>
  </r>
  <r>
    <n v="13"/>
    <x v="3"/>
    <n v="1393"/>
    <x v="113"/>
    <n v="31208"/>
    <n v="34678"/>
    <n v="65886"/>
    <n v="35018"/>
  </r>
  <r>
    <n v="13"/>
    <x v="3"/>
    <n v="1394"/>
    <x v="114"/>
    <n v="34625"/>
    <n v="39684"/>
    <n v="74309"/>
    <n v="65588"/>
  </r>
  <r>
    <n v="13"/>
    <x v="3"/>
    <n v="1395"/>
    <x v="115"/>
    <n v="3751"/>
    <n v="4220"/>
    <n v="7971"/>
    <n v="4625"/>
  </r>
  <r>
    <n v="13"/>
    <x v="3"/>
    <n v="1396"/>
    <x v="116"/>
    <n v="34959"/>
    <n v="39828"/>
    <n v="74787"/>
    <n v="60771"/>
  </r>
  <r>
    <n v="13"/>
    <x v="3"/>
    <n v="1397"/>
    <x v="117"/>
    <n v="19829"/>
    <n v="22243"/>
    <n v="42072"/>
    <n v="29248"/>
  </r>
  <r>
    <n v="13"/>
    <x v="3"/>
    <n v="1398"/>
    <x v="118"/>
    <n v="39418"/>
    <n v="45906"/>
    <n v="85324"/>
    <n v="58403"/>
  </r>
  <r>
    <n v="13"/>
    <x v="3"/>
    <n v="1399"/>
    <x v="119"/>
    <n v="10375"/>
    <n v="11745"/>
    <n v="22120"/>
    <n v="9684"/>
  </r>
  <r>
    <n v="14"/>
    <x v="4"/>
    <n v="1401"/>
    <x v="120"/>
    <n v="34471"/>
    <n v="37891"/>
    <n v="72362"/>
    <n v="27558"/>
  </r>
  <r>
    <n v="14"/>
    <x v="4"/>
    <n v="1402"/>
    <x v="121"/>
    <n v="14680"/>
    <n v="16177"/>
    <n v="30857"/>
    <n v="12016"/>
  </r>
  <r>
    <n v="14"/>
    <x v="4"/>
    <n v="1403"/>
    <x v="122"/>
    <n v="10547"/>
    <n v="11571"/>
    <n v="22118"/>
    <n v="12395"/>
  </r>
  <r>
    <n v="14"/>
    <x v="4"/>
    <n v="1404"/>
    <x v="123"/>
    <n v="15281"/>
    <n v="16112"/>
    <n v="31393"/>
    <n v="11241"/>
  </r>
  <r>
    <n v="14"/>
    <x v="4"/>
    <n v="1405"/>
    <x v="124"/>
    <n v="6817"/>
    <n v="7399"/>
    <n v="14216"/>
    <n v="5639"/>
  </r>
  <r>
    <n v="14"/>
    <x v="4"/>
    <n v="1406"/>
    <x v="125"/>
    <n v="19043"/>
    <n v="20931"/>
    <n v="39974"/>
    <n v="19079"/>
  </r>
  <r>
    <n v="14"/>
    <x v="4"/>
    <n v="1407"/>
    <x v="126"/>
    <n v="17399"/>
    <n v="18569"/>
    <n v="35968"/>
    <n v="13122"/>
  </r>
  <r>
    <n v="14"/>
    <x v="4"/>
    <n v="1408"/>
    <x v="127"/>
    <n v="10398"/>
    <n v="11217"/>
    <n v="21615"/>
    <n v="7573"/>
  </r>
  <r>
    <n v="14"/>
    <x v="4"/>
    <n v="1409"/>
    <x v="128"/>
    <n v="12548"/>
    <n v="13293"/>
    <n v="25841"/>
    <n v="8876"/>
  </r>
  <r>
    <n v="14"/>
    <x v="4"/>
    <n v="1410"/>
    <x v="129"/>
    <n v="14649"/>
    <n v="15025"/>
    <n v="29674"/>
    <n v="10235"/>
  </r>
  <r>
    <n v="14"/>
    <x v="4"/>
    <n v="1411"/>
    <x v="130"/>
    <n v="28592"/>
    <n v="30246"/>
    <n v="58838"/>
    <n v="28560"/>
  </r>
  <r>
    <n v="14"/>
    <x v="4"/>
    <n v="1412"/>
    <x v="131"/>
    <n v="14780"/>
    <n v="15677"/>
    <n v="30457"/>
    <n v="10296"/>
  </r>
  <r>
    <n v="14"/>
    <x v="4"/>
    <n v="1413"/>
    <x v="132"/>
    <n v="6745"/>
    <n v="6895"/>
    <n v="13640"/>
    <n v="4652"/>
  </r>
  <r>
    <n v="14"/>
    <x v="4"/>
    <n v="1414"/>
    <x v="133"/>
    <n v="22617"/>
    <n v="24526"/>
    <n v="47143"/>
    <n v="23369"/>
  </r>
  <r>
    <n v="14"/>
    <x v="4"/>
    <n v="1415"/>
    <x v="134"/>
    <n v="6364"/>
    <n v="6984"/>
    <n v="13348"/>
    <n v="5342"/>
  </r>
  <r>
    <n v="14"/>
    <x v="4"/>
    <n v="1416"/>
    <x v="135"/>
    <n v="3121"/>
    <n v="3568"/>
    <n v="6689"/>
    <n v="2766"/>
  </r>
  <r>
    <n v="14"/>
    <x v="4"/>
    <n v="1465"/>
    <x v="136"/>
    <n v="6931"/>
    <n v="8122"/>
    <n v="15053"/>
    <n v="10719"/>
  </r>
  <r>
    <n v="14"/>
    <x v="4"/>
    <n v="1466"/>
    <x v="137"/>
    <n v="3670"/>
    <n v="3823"/>
    <n v="7493"/>
    <n v="3061"/>
  </r>
  <r>
    <n v="14"/>
    <x v="4"/>
    <n v="1467"/>
    <x v="138"/>
    <n v="3199"/>
    <n v="3550"/>
    <n v="6749"/>
    <n v="3047"/>
  </r>
  <r>
    <n v="14"/>
    <x v="4"/>
    <n v="1468"/>
    <x v="139"/>
    <n v="3673"/>
    <n v="4150"/>
    <n v="7823"/>
    <n v="4352"/>
  </r>
  <r>
    <n v="14"/>
    <x v="4"/>
    <n v="1469"/>
    <x v="140"/>
    <n v="6321"/>
    <n v="7321"/>
    <n v="13642"/>
    <n v="6045"/>
  </r>
  <r>
    <n v="14"/>
    <x v="4"/>
    <n v="1470"/>
    <x v="141"/>
    <n v="4982"/>
    <n v="5303"/>
    <n v="10285"/>
    <n v="4727"/>
  </r>
  <r>
    <n v="14"/>
    <x v="4"/>
    <n v="1471"/>
    <x v="142"/>
    <n v="4598"/>
    <n v="5163"/>
    <n v="9761"/>
    <n v="6103"/>
  </r>
  <r>
    <n v="14"/>
    <x v="4"/>
    <n v="1472"/>
    <x v="143"/>
    <n v="2487"/>
    <n v="2823"/>
    <n v="5310"/>
    <n v="3511"/>
  </r>
  <r>
    <n v="14"/>
    <x v="4"/>
    <n v="1473"/>
    <x v="144"/>
    <n v="921"/>
    <n v="1000"/>
    <n v="1921"/>
    <n v="892"/>
  </r>
  <r>
    <n v="14"/>
    <x v="4"/>
    <n v="1474"/>
    <x v="145"/>
    <n v="2913"/>
    <n v="3180"/>
    <n v="6093"/>
    <n v="2573"/>
  </r>
  <r>
    <n v="14"/>
    <x v="4"/>
    <n v="1475"/>
    <x v="146"/>
    <n v="1541"/>
    <n v="1631"/>
    <n v="3172"/>
    <n v="1506"/>
  </r>
  <r>
    <n v="14"/>
    <x v="4"/>
    <n v="1476"/>
    <x v="147"/>
    <n v="3461"/>
    <n v="3980"/>
    <n v="7441"/>
    <n v="4734"/>
  </r>
  <r>
    <n v="14"/>
    <x v="4"/>
    <n v="1477"/>
    <x v="148"/>
    <n v="2507"/>
    <n v="2679"/>
    <n v="5186"/>
    <n v="1957"/>
  </r>
  <r>
    <n v="14"/>
    <x v="4"/>
    <n v="1478"/>
    <x v="149"/>
    <n v="2710"/>
    <n v="2955"/>
    <n v="5665"/>
    <n v="1860"/>
  </r>
  <r>
    <n v="14"/>
    <x v="4"/>
    <n v="1479"/>
    <x v="150"/>
    <n v="10705"/>
    <n v="11338"/>
    <n v="22043"/>
    <n v="10322"/>
  </r>
  <r>
    <n v="14"/>
    <x v="4"/>
    <n v="1480"/>
    <x v="151"/>
    <n v="1264"/>
    <n v="1308"/>
    <n v="2572"/>
    <n v="1459"/>
  </r>
  <r>
    <n v="14"/>
    <x v="4"/>
    <n v="1481"/>
    <x v="152"/>
    <n v="2417"/>
    <n v="2758"/>
    <n v="5175"/>
    <n v="2642"/>
  </r>
  <r>
    <n v="14"/>
    <x v="4"/>
    <n v="1482"/>
    <x v="153"/>
    <n v="3530"/>
    <n v="3701"/>
    <n v="7231"/>
    <n v="2858"/>
  </r>
  <r>
    <n v="14"/>
    <x v="4"/>
    <n v="1483"/>
    <x v="154"/>
    <n v="4401"/>
    <n v="4688"/>
    <n v="9089"/>
    <n v="4451"/>
  </r>
  <r>
    <n v="14"/>
    <x v="4"/>
    <n v="1484"/>
    <x v="155"/>
    <n v="4436"/>
    <n v="5032"/>
    <n v="9468"/>
    <n v="6919"/>
  </r>
  <r>
    <n v="14"/>
    <x v="4"/>
    <n v="1485"/>
    <x v="156"/>
    <n v="5322"/>
    <n v="6152"/>
    <n v="11474"/>
    <n v="7605"/>
  </r>
  <r>
    <n v="14"/>
    <x v="4"/>
    <n v="1486"/>
    <x v="157"/>
    <n v="3124"/>
    <n v="3222"/>
    <n v="6346"/>
    <n v="2210"/>
  </r>
  <r>
    <n v="14"/>
    <x v="4"/>
    <n v="1487"/>
    <x v="158"/>
    <n v="2413"/>
    <n v="2707"/>
    <n v="5120"/>
    <n v="2280"/>
  </r>
  <r>
    <n v="14"/>
    <x v="4"/>
    <n v="1488"/>
    <x v="159"/>
    <n v="4037"/>
    <n v="4286"/>
    <n v="8323"/>
    <n v="3426"/>
  </r>
  <r>
    <n v="14"/>
    <x v="4"/>
    <n v="1489"/>
    <x v="160"/>
    <n v="5094"/>
    <n v="5592"/>
    <n v="10686"/>
    <n v="3851"/>
  </r>
  <r>
    <n v="14"/>
    <x v="4"/>
    <n v="1490"/>
    <x v="161"/>
    <n v="3011"/>
    <n v="3090"/>
    <n v="6101"/>
    <n v="1900"/>
  </r>
  <r>
    <n v="14"/>
    <x v="4"/>
    <n v="1491"/>
    <x v="162"/>
    <n v="4910"/>
    <n v="5127"/>
    <n v="10037"/>
    <n v="4048"/>
  </r>
  <r>
    <n v="14"/>
    <x v="4"/>
    <n v="1492"/>
    <x v="163"/>
    <n v="3653"/>
    <n v="3907"/>
    <n v="7560"/>
    <n v="2910"/>
  </r>
  <r>
    <n v="14"/>
    <x v="4"/>
    <n v="1493"/>
    <x v="164"/>
    <n v="3229"/>
    <n v="3520"/>
    <n v="6749"/>
    <n v="3079"/>
  </r>
  <r>
    <n v="14"/>
    <x v="4"/>
    <n v="1494"/>
    <x v="165"/>
    <n v="3793"/>
    <n v="4241"/>
    <n v="8034"/>
    <n v="4190"/>
  </r>
  <r>
    <n v="14"/>
    <x v="4"/>
    <n v="1495"/>
    <x v="166"/>
    <n v="9053"/>
    <n v="10645"/>
    <n v="19698"/>
    <n v="11524"/>
  </r>
  <r>
    <n v="14"/>
    <x v="4"/>
    <n v="1496"/>
    <x v="167"/>
    <n v="5066"/>
    <n v="5525"/>
    <n v="10591"/>
    <n v="3362"/>
  </r>
  <r>
    <n v="14"/>
    <x v="4"/>
    <n v="1497"/>
    <x v="168"/>
    <n v="2910"/>
    <n v="3318"/>
    <n v="6228"/>
    <n v="3261"/>
  </r>
  <r>
    <n v="14"/>
    <x v="4"/>
    <n v="1498"/>
    <x v="169"/>
    <n v="1615"/>
    <n v="1794"/>
    <n v="3409"/>
    <n v="1500"/>
  </r>
  <r>
    <n v="14"/>
    <x v="4"/>
    <n v="1499"/>
    <x v="170"/>
    <n v="22382"/>
    <n v="24677"/>
    <n v="47059"/>
    <n v="20682"/>
  </r>
  <r>
    <n v="15"/>
    <x v="5"/>
    <n v="1501"/>
    <x v="171"/>
    <n v="20501"/>
    <n v="22698"/>
    <n v="43199"/>
    <n v="17828"/>
  </r>
  <r>
    <n v="15"/>
    <x v="5"/>
    <n v="1502"/>
    <x v="172"/>
    <n v="3383"/>
    <n v="3604"/>
    <n v="6987"/>
    <n v="2535"/>
  </r>
  <r>
    <n v="15"/>
    <x v="5"/>
    <n v="1503"/>
    <x v="173"/>
    <n v="8767"/>
    <n v="9637"/>
    <n v="18404"/>
    <n v="6972"/>
  </r>
  <r>
    <n v="15"/>
    <x v="5"/>
    <n v="1504"/>
    <x v="174"/>
    <n v="20382"/>
    <n v="22485"/>
    <n v="42867"/>
    <n v="15483"/>
  </r>
  <r>
    <n v="15"/>
    <x v="5"/>
    <n v="1505"/>
    <x v="175"/>
    <n v="14659"/>
    <n v="15391"/>
    <n v="30050"/>
    <n v="10515"/>
  </r>
  <r>
    <n v="15"/>
    <x v="5"/>
    <n v="1506"/>
    <x v="176"/>
    <n v="23882"/>
    <n v="25891"/>
    <n v="49773"/>
    <n v="19007"/>
  </r>
  <r>
    <n v="15"/>
    <x v="5"/>
    <n v="1507"/>
    <x v="177"/>
    <n v="3985"/>
    <n v="4246"/>
    <n v="8231"/>
    <n v="2957"/>
  </r>
  <r>
    <n v="15"/>
    <x v="5"/>
    <n v="1590"/>
    <x v="178"/>
    <n v="4955"/>
    <n v="5467"/>
    <n v="10422"/>
    <n v="3734"/>
  </r>
  <r>
    <n v="15"/>
    <x v="5"/>
    <n v="1591"/>
    <x v="179"/>
    <n v="2539"/>
    <n v="3081"/>
    <n v="5620"/>
    <n v="3067"/>
  </r>
  <r>
    <n v="15"/>
    <x v="5"/>
    <n v="1592"/>
    <x v="180"/>
    <n v="3519"/>
    <n v="3867"/>
    <n v="7386"/>
    <n v="2914"/>
  </r>
  <r>
    <n v="15"/>
    <x v="5"/>
    <n v="1593"/>
    <x v="181"/>
    <n v="1490"/>
    <n v="1611"/>
    <n v="3101"/>
    <n v="1292"/>
  </r>
  <r>
    <n v="15"/>
    <x v="5"/>
    <n v="1594"/>
    <x v="182"/>
    <n v="1946"/>
    <n v="2140"/>
    <n v="4086"/>
    <n v="1536"/>
  </r>
  <r>
    <n v="15"/>
    <x v="5"/>
    <n v="1595"/>
    <x v="183"/>
    <n v="1923"/>
    <n v="2158"/>
    <n v="4081"/>
    <n v="1766"/>
  </r>
  <r>
    <n v="15"/>
    <x v="5"/>
    <n v="1596"/>
    <x v="184"/>
    <n v="5925"/>
    <n v="6380"/>
    <n v="12305"/>
    <n v="4352"/>
  </r>
  <r>
    <n v="15"/>
    <x v="5"/>
    <n v="1597"/>
    <x v="185"/>
    <n v="1305"/>
    <n v="1398"/>
    <n v="2703"/>
    <n v="1047"/>
  </r>
  <r>
    <n v="15"/>
    <x v="5"/>
    <n v="1598"/>
    <x v="186"/>
    <n v="4001"/>
    <n v="4436"/>
    <n v="8437"/>
    <n v="3645"/>
  </r>
  <r>
    <n v="15"/>
    <x v="5"/>
    <n v="1599"/>
    <x v="187"/>
    <n v="5283"/>
    <n v="5940"/>
    <n v="11223"/>
    <n v="6704"/>
  </r>
  <r>
    <n v="16"/>
    <x v="6"/>
    <n v="1601"/>
    <x v="188"/>
    <n v="48899"/>
    <n v="50068"/>
    <n v="98967"/>
    <n v="42967"/>
  </r>
  <r>
    <n v="16"/>
    <x v="6"/>
    <n v="1602"/>
    <x v="189"/>
    <n v="27092"/>
    <n v="28062"/>
    <n v="55154"/>
    <n v="24942"/>
  </r>
  <r>
    <n v="16"/>
    <x v="6"/>
    <n v="1603"/>
    <x v="190"/>
    <n v="36982"/>
    <n v="37818"/>
    <n v="74800"/>
    <n v="29980"/>
  </r>
  <r>
    <n v="16"/>
    <x v="6"/>
    <n v="1604"/>
    <x v="191"/>
    <n v="36093"/>
    <n v="36928"/>
    <n v="73021"/>
    <n v="29362"/>
  </r>
  <r>
    <n v="16"/>
    <x v="6"/>
    <n v="1605"/>
    <x v="192"/>
    <n v="20612"/>
    <n v="22431"/>
    <n v="43043"/>
    <n v="14624"/>
  </r>
  <r>
    <n v="16"/>
    <x v="6"/>
    <n v="1606"/>
    <x v="193"/>
    <n v="32006"/>
    <n v="34773"/>
    <n v="66779"/>
    <n v="24176"/>
  </r>
  <r>
    <n v="16"/>
    <x v="6"/>
    <n v="1607"/>
    <x v="194"/>
    <n v="12697"/>
    <n v="13021"/>
    <n v="25718"/>
    <n v="8933"/>
  </r>
  <r>
    <n v="16"/>
    <x v="6"/>
    <n v="1608"/>
    <x v="195"/>
    <n v="7034"/>
    <n v="6901"/>
    <n v="13935"/>
    <n v="5500"/>
  </r>
  <r>
    <n v="16"/>
    <x v="6"/>
    <n v="1609"/>
    <x v="196"/>
    <n v="12049"/>
    <n v="12080"/>
    <n v="24129"/>
    <n v="8178"/>
  </r>
  <r>
    <n v="16"/>
    <x v="6"/>
    <n v="1610"/>
    <x v="197"/>
    <n v="13320"/>
    <n v="13602"/>
    <n v="26922"/>
    <n v="9872"/>
  </r>
  <r>
    <n v="16"/>
    <x v="6"/>
    <n v="1611"/>
    <x v="198"/>
    <n v="13460"/>
    <n v="13956"/>
    <n v="27416"/>
    <n v="10512"/>
  </r>
  <r>
    <n v="16"/>
    <x v="6"/>
    <n v="1681"/>
    <x v="199"/>
    <n v="5180"/>
    <n v="6093"/>
    <n v="11273"/>
    <n v="6169"/>
  </r>
  <r>
    <n v="16"/>
    <x v="6"/>
    <n v="1682"/>
    <x v="200"/>
    <n v="6044"/>
    <n v="5086"/>
    <n v="11130"/>
    <n v="5000"/>
  </r>
  <r>
    <n v="16"/>
    <x v="6"/>
    <n v="1683"/>
    <x v="201"/>
    <n v="15304"/>
    <n v="12993"/>
    <n v="28297"/>
    <n v="13166"/>
  </r>
  <r>
    <n v="16"/>
    <x v="6"/>
    <n v="1684"/>
    <x v="202"/>
    <n v="6730"/>
    <n v="7628"/>
    <n v="14358"/>
    <n v="7340"/>
  </r>
  <r>
    <n v="16"/>
    <x v="6"/>
    <n v="1685"/>
    <x v="203"/>
    <n v="3889"/>
    <n v="4167"/>
    <n v="8056"/>
    <n v="3955"/>
  </r>
  <r>
    <n v="16"/>
    <x v="6"/>
    <n v="1686"/>
    <x v="204"/>
    <n v="14600"/>
    <n v="8666"/>
    <n v="23266"/>
    <n v="12062"/>
  </r>
  <r>
    <n v="16"/>
    <x v="6"/>
    <n v="1688"/>
    <x v="205"/>
    <n v="3337"/>
    <n v="3610"/>
    <n v="6947"/>
    <n v="3246"/>
  </r>
  <r>
    <n v="16"/>
    <x v="6"/>
    <n v="1689"/>
    <x v="206"/>
    <n v="1853"/>
    <n v="1882"/>
    <n v="3735"/>
    <n v="2222"/>
  </r>
  <r>
    <n v="16"/>
    <x v="6"/>
    <n v="1690"/>
    <x v="207"/>
    <n v="992"/>
    <n v="1053"/>
    <n v="2045"/>
    <n v="916"/>
  </r>
  <r>
    <n v="16"/>
    <x v="6"/>
    <n v="1691"/>
    <x v="208"/>
    <n v="1017"/>
    <n v="1181"/>
    <n v="2198"/>
    <n v="1044"/>
  </r>
  <r>
    <n v="16"/>
    <x v="6"/>
    <n v="1692"/>
    <x v="209"/>
    <n v="7288"/>
    <n v="7844"/>
    <n v="15132"/>
    <n v="8808"/>
  </r>
  <r>
    <n v="16"/>
    <x v="6"/>
    <n v="1693"/>
    <x v="210"/>
    <n v="2298"/>
    <n v="2454"/>
    <n v="4752"/>
    <n v="2181"/>
  </r>
  <r>
    <n v="16"/>
    <x v="6"/>
    <n v="1694"/>
    <x v="211"/>
    <n v="1430"/>
    <n v="1608"/>
    <n v="3038"/>
    <n v="1485"/>
  </r>
  <r>
    <n v="16"/>
    <x v="6"/>
    <n v="1695"/>
    <x v="212"/>
    <n v="1382"/>
    <n v="1424"/>
    <n v="2806"/>
    <n v="1151"/>
  </r>
  <r>
    <n v="16"/>
    <x v="6"/>
    <n v="1696"/>
    <x v="213"/>
    <n v="14913"/>
    <n v="15304"/>
    <n v="30217"/>
    <n v="12398"/>
  </r>
  <r>
    <n v="16"/>
    <x v="6"/>
    <n v="1697"/>
    <x v="214"/>
    <n v="2636"/>
    <n v="2855"/>
    <n v="5491"/>
    <n v="2445"/>
  </r>
  <r>
    <n v="16"/>
    <x v="6"/>
    <n v="1698"/>
    <x v="215"/>
    <n v="1410"/>
    <n v="1572"/>
    <n v="2982"/>
    <n v="1345"/>
  </r>
  <r>
    <n v="16"/>
    <x v="6"/>
    <n v="1699"/>
    <x v="216"/>
    <n v="9493"/>
    <n v="10166"/>
    <n v="19659"/>
    <n v="12808"/>
  </r>
  <r>
    <n v="17"/>
    <x v="7"/>
    <n v="1701"/>
    <x v="217"/>
    <n v="16819"/>
    <n v="19331"/>
    <n v="36150"/>
    <n v="14194"/>
  </r>
  <r>
    <n v="17"/>
    <x v="7"/>
    <n v="1702"/>
    <x v="218"/>
    <n v="9154"/>
    <n v="9773"/>
    <n v="18927"/>
    <n v="7396"/>
  </r>
  <r>
    <n v="17"/>
    <x v="7"/>
    <n v="1703"/>
    <x v="219"/>
    <n v="12264"/>
    <n v="13165"/>
    <n v="25429"/>
    <n v="9318"/>
  </r>
  <r>
    <n v="17"/>
    <x v="7"/>
    <n v="1704"/>
    <x v="220"/>
    <n v="7587"/>
    <n v="8421"/>
    <n v="16008"/>
    <n v="6153"/>
  </r>
  <r>
    <n v="17"/>
    <x v="7"/>
    <n v="1705"/>
    <x v="221"/>
    <n v="2482"/>
    <n v="2803"/>
    <n v="5285"/>
    <n v="1928"/>
  </r>
  <r>
    <n v="17"/>
    <x v="7"/>
    <n v="1706"/>
    <x v="222"/>
    <n v="22738"/>
    <n v="24680"/>
    <n v="47418"/>
    <n v="18239"/>
  </r>
  <r>
    <n v="17"/>
    <x v="7"/>
    <n v="1793"/>
    <x v="223"/>
    <n v="1998"/>
    <n v="2195"/>
    <n v="4193"/>
    <n v="2304"/>
  </r>
  <r>
    <n v="17"/>
    <x v="7"/>
    <n v="1794"/>
    <x v="224"/>
    <n v="4017"/>
    <n v="4374"/>
    <n v="8391"/>
    <n v="3544"/>
  </r>
  <r>
    <n v="17"/>
    <x v="7"/>
    <n v="1795"/>
    <x v="225"/>
    <n v="1479"/>
    <n v="1582"/>
    <n v="3061"/>
    <n v="1335"/>
  </r>
  <r>
    <n v="17"/>
    <x v="7"/>
    <n v="1796"/>
    <x v="226"/>
    <n v="1561"/>
    <n v="1709"/>
    <n v="3270"/>
    <n v="1426"/>
  </r>
  <r>
    <n v="17"/>
    <x v="7"/>
    <n v="1797"/>
    <x v="227"/>
    <n v="910"/>
    <n v="1015"/>
    <n v="1925"/>
    <n v="868"/>
  </r>
  <r>
    <n v="17"/>
    <x v="7"/>
    <n v="1798"/>
    <x v="228"/>
    <n v="6289"/>
    <n v="7093"/>
    <n v="13382"/>
    <n v="5839"/>
  </r>
  <r>
    <n v="17"/>
    <x v="7"/>
    <n v="1799"/>
    <x v="229"/>
    <n v="7597"/>
    <n v="8767"/>
    <n v="16364"/>
    <n v="9448"/>
  </r>
  <r>
    <n v="18"/>
    <x v="8"/>
    <n v="1801"/>
    <x v="230"/>
    <n v="10954"/>
    <n v="11729"/>
    <n v="22683"/>
    <n v="9117"/>
  </r>
  <r>
    <n v="18"/>
    <x v="8"/>
    <n v="1802"/>
    <x v="231"/>
    <n v="11065"/>
    <n v="12139"/>
    <n v="23204"/>
    <n v="9341"/>
  </r>
  <r>
    <n v="18"/>
    <x v="8"/>
    <n v="1803"/>
    <x v="232"/>
    <n v="10487"/>
    <n v="11203"/>
    <n v="21690"/>
    <n v="9659"/>
  </r>
  <r>
    <n v="18"/>
    <x v="8"/>
    <n v="1804"/>
    <x v="233"/>
    <n v="14409"/>
    <n v="15479"/>
    <n v="29888"/>
    <n v="12121"/>
  </r>
  <r>
    <n v="18"/>
    <x v="8"/>
    <n v="1805"/>
    <x v="234"/>
    <n v="28442"/>
    <n v="30956"/>
    <n v="59398"/>
    <n v="22886"/>
  </r>
  <r>
    <n v="18"/>
    <x v="8"/>
    <n v="1806"/>
    <x v="235"/>
    <n v="19462"/>
    <n v="20748"/>
    <n v="40210"/>
    <n v="15267"/>
  </r>
  <r>
    <n v="18"/>
    <x v="8"/>
    <n v="1807"/>
    <x v="236"/>
    <n v="6199"/>
    <n v="6426"/>
    <n v="12625"/>
    <n v="5316"/>
  </r>
  <r>
    <n v="18"/>
    <x v="8"/>
    <n v="1808"/>
    <x v="237"/>
    <n v="5241"/>
    <n v="5436"/>
    <n v="10677"/>
    <n v="4139"/>
  </r>
  <r>
    <n v="18"/>
    <x v="8"/>
    <n v="1880"/>
    <x v="115"/>
    <n v="2396"/>
    <n v="2684"/>
    <n v="5080"/>
    <n v="2670"/>
  </r>
  <r>
    <n v="18"/>
    <x v="8"/>
    <n v="1881"/>
    <x v="238"/>
    <n v="3469"/>
    <n v="3879"/>
    <n v="7348"/>
    <n v="2656"/>
  </r>
  <r>
    <n v="18"/>
    <x v="8"/>
    <n v="1882"/>
    <x v="239"/>
    <n v="3604"/>
    <n v="3787"/>
    <n v="7391"/>
    <n v="2559"/>
  </r>
  <r>
    <n v="18"/>
    <x v="8"/>
    <n v="1883"/>
    <x v="240"/>
    <n v="2391"/>
    <n v="2539"/>
    <n v="4930"/>
    <n v="1886"/>
  </r>
  <r>
    <n v="18"/>
    <x v="8"/>
    <n v="1884"/>
    <x v="241"/>
    <n v="3511"/>
    <n v="4250"/>
    <n v="7761"/>
    <n v="2794"/>
  </r>
  <r>
    <n v="18"/>
    <x v="8"/>
    <n v="1885"/>
    <x v="242"/>
    <n v="3322"/>
    <n v="3775"/>
    <n v="7097"/>
    <n v="3800"/>
  </r>
  <r>
    <n v="18"/>
    <x v="8"/>
    <n v="1887"/>
    <x v="243"/>
    <n v="3682"/>
    <n v="3844"/>
    <n v="7526"/>
    <n v="2908"/>
  </r>
  <r>
    <n v="18"/>
    <x v="8"/>
    <n v="1889"/>
    <x v="244"/>
    <n v="3212"/>
    <n v="3381"/>
    <n v="6593"/>
    <n v="2587"/>
  </r>
  <r>
    <n v="18"/>
    <x v="8"/>
    <n v="1890"/>
    <x v="245"/>
    <n v="2799"/>
    <n v="3095"/>
    <n v="5894"/>
    <n v="2800"/>
  </r>
  <r>
    <n v="18"/>
    <x v="8"/>
    <n v="1891"/>
    <x v="246"/>
    <n v="1845"/>
    <n v="2070"/>
    <n v="3915"/>
    <n v="2504"/>
  </r>
  <r>
    <n v="18"/>
    <x v="8"/>
    <n v="1892"/>
    <x v="247"/>
    <n v="597"/>
    <n v="644"/>
    <n v="1241"/>
    <n v="492"/>
  </r>
  <r>
    <n v="18"/>
    <x v="8"/>
    <n v="1893"/>
    <x v="248"/>
    <n v="1110"/>
    <n v="1264"/>
    <n v="2374"/>
    <n v="1401"/>
  </r>
  <r>
    <n v="18"/>
    <x v="8"/>
    <n v="1894"/>
    <x v="249"/>
    <n v="1421"/>
    <n v="1509"/>
    <n v="2930"/>
    <n v="1399"/>
  </r>
  <r>
    <n v="18"/>
    <x v="8"/>
    <n v="1895"/>
    <x v="250"/>
    <n v="689"/>
    <n v="781"/>
    <n v="1470"/>
    <n v="585"/>
  </r>
  <r>
    <n v="18"/>
    <x v="8"/>
    <n v="1896"/>
    <x v="251"/>
    <n v="2886"/>
    <n v="3140"/>
    <n v="6026"/>
    <n v="3329"/>
  </r>
  <r>
    <n v="18"/>
    <x v="8"/>
    <n v="1897"/>
    <x v="252"/>
    <n v="845"/>
    <n v="929"/>
    <n v="1774"/>
    <n v="1015"/>
  </r>
  <r>
    <n v="18"/>
    <x v="8"/>
    <n v="1898"/>
    <x v="253"/>
    <n v="1418"/>
    <n v="1587"/>
    <n v="3005"/>
    <n v="1989"/>
  </r>
  <r>
    <n v="18"/>
    <x v="8"/>
    <n v="1899"/>
    <x v="254"/>
    <n v="5039"/>
    <n v="5990"/>
    <n v="11029"/>
    <n v="7688"/>
  </r>
  <r>
    <n v="19"/>
    <x v="9"/>
    <n v="1901"/>
    <x v="255"/>
    <n v="26031"/>
    <n v="22612"/>
    <n v="48643"/>
    <n v="21717"/>
  </r>
  <r>
    <n v="19"/>
    <x v="9"/>
    <n v="1902"/>
    <x v="256"/>
    <n v="34838"/>
    <n v="35823"/>
    <n v="70661"/>
    <n v="33528"/>
  </r>
  <r>
    <n v="19"/>
    <x v="9"/>
    <n v="1903"/>
    <x v="257"/>
    <n v="33161"/>
    <n v="35329"/>
    <n v="68490"/>
    <n v="36588"/>
  </r>
  <r>
    <n v="19"/>
    <x v="9"/>
    <n v="1904"/>
    <x v="258"/>
    <n v="16252"/>
    <n v="17001"/>
    <n v="33253"/>
    <n v="12991"/>
  </r>
  <r>
    <n v="19"/>
    <x v="9"/>
    <n v="1905"/>
    <x v="259"/>
    <n v="6158"/>
    <n v="6875"/>
    <n v="13033"/>
    <n v="4803"/>
  </r>
  <r>
    <n v="19"/>
    <x v="9"/>
    <n v="1906"/>
    <x v="260"/>
    <n v="15150"/>
    <n v="16198"/>
    <n v="31348"/>
    <n v="13085"/>
  </r>
  <r>
    <n v="19"/>
    <x v="9"/>
    <n v="1907"/>
    <x v="261"/>
    <n v="977"/>
    <n v="1072"/>
    <n v="2049"/>
    <n v="685"/>
  </r>
  <r>
    <n v="19"/>
    <x v="9"/>
    <n v="1908"/>
    <x v="262"/>
    <n v="5497"/>
    <n v="5825"/>
    <n v="11322"/>
    <n v="4811"/>
  </r>
  <r>
    <n v="19"/>
    <x v="9"/>
    <n v="1909"/>
    <x v="263"/>
    <n v="12169"/>
    <n v="12970"/>
    <n v="25139"/>
    <n v="10928"/>
  </r>
  <r>
    <n v="19"/>
    <x v="9"/>
    <n v="1910"/>
    <x v="264"/>
    <n v="10617"/>
    <n v="11643"/>
    <n v="22260"/>
    <n v="9050"/>
  </r>
  <r>
    <n v="19"/>
    <x v="9"/>
    <n v="1911"/>
    <x v="265"/>
    <n v="24982"/>
    <n v="24992"/>
    <n v="49974"/>
    <n v="23406"/>
  </r>
  <r>
    <n v="19"/>
    <x v="9"/>
    <n v="1912"/>
    <x v="266"/>
    <n v="5638"/>
    <n v="5929"/>
    <n v="11567"/>
    <n v="4845"/>
  </r>
  <r>
    <n v="19"/>
    <x v="9"/>
    <n v="1913"/>
    <x v="267"/>
    <n v="14832"/>
    <n v="15760"/>
    <n v="30592"/>
    <n v="13862"/>
  </r>
  <r>
    <n v="19"/>
    <x v="9"/>
    <n v="1974"/>
    <x v="268"/>
    <n v="3295"/>
    <n v="3502"/>
    <n v="6797"/>
    <n v="2581"/>
  </r>
  <r>
    <n v="19"/>
    <x v="9"/>
    <n v="1975"/>
    <x v="269"/>
    <n v="2099"/>
    <n v="2182"/>
    <n v="4281"/>
    <n v="2230"/>
  </r>
  <r>
    <n v="19"/>
    <x v="9"/>
    <n v="1976"/>
    <x v="270"/>
    <n v="2084"/>
    <n v="2129"/>
    <n v="4213"/>
    <n v="2425"/>
  </r>
  <r>
    <n v="19"/>
    <x v="9"/>
    <n v="1977"/>
    <x v="271"/>
    <n v="2375"/>
    <n v="2527"/>
    <n v="4902"/>
    <n v="2445"/>
  </r>
  <r>
    <n v="19"/>
    <x v="9"/>
    <n v="1978"/>
    <x v="272"/>
    <n v="3053"/>
    <n v="3251"/>
    <n v="6304"/>
    <n v="2863"/>
  </r>
  <r>
    <n v="19"/>
    <x v="9"/>
    <n v="1979"/>
    <x v="273"/>
    <n v="3717"/>
    <n v="3730"/>
    <n v="7447"/>
    <n v="3414"/>
  </r>
  <r>
    <n v="19"/>
    <x v="9"/>
    <n v="1980"/>
    <x v="274"/>
    <n v="2095"/>
    <n v="2215"/>
    <n v="4310"/>
    <n v="2723"/>
  </r>
  <r>
    <n v="19"/>
    <x v="9"/>
    <n v="1981"/>
    <x v="275"/>
    <n v="3179"/>
    <n v="3410"/>
    <n v="6589"/>
    <n v="4531"/>
  </r>
  <r>
    <n v="19"/>
    <x v="9"/>
    <n v="1982"/>
    <x v="276"/>
    <n v="1441"/>
    <n v="1583"/>
    <n v="3024"/>
    <n v="1581"/>
  </r>
  <r>
    <n v="19"/>
    <x v="9"/>
    <n v="1983"/>
    <x v="277"/>
    <n v="3748"/>
    <n v="4176"/>
    <n v="7924"/>
    <n v="4461"/>
  </r>
  <r>
    <n v="19"/>
    <x v="9"/>
    <n v="1984"/>
    <x v="278"/>
    <n v="721"/>
    <n v="766"/>
    <n v="1487"/>
    <n v="419"/>
  </r>
  <r>
    <n v="19"/>
    <x v="9"/>
    <n v="1985"/>
    <x v="279"/>
    <n v="1104"/>
    <n v="1227"/>
    <n v="2331"/>
    <n v="1063"/>
  </r>
  <r>
    <n v="19"/>
    <x v="9"/>
    <n v="1986"/>
    <x v="280"/>
    <n v="2260"/>
    <n v="2312"/>
    <n v="4572"/>
    <n v="1918"/>
  </r>
  <r>
    <n v="19"/>
    <x v="9"/>
    <n v="1987"/>
    <x v="281"/>
    <n v="1177"/>
    <n v="1282"/>
    <n v="2459"/>
    <n v="1352"/>
  </r>
  <r>
    <n v="19"/>
    <x v="9"/>
    <n v="1988"/>
    <x v="282"/>
    <n v="3573"/>
    <n v="3832"/>
    <n v="7405"/>
    <n v="4072"/>
  </r>
  <r>
    <n v="19"/>
    <x v="9"/>
    <n v="1989"/>
    <x v="243"/>
    <n v="1342"/>
    <n v="1464"/>
    <n v="2806"/>
    <n v="1067"/>
  </r>
  <r>
    <n v="19"/>
    <x v="9"/>
    <n v="1990"/>
    <x v="283"/>
    <n v="812"/>
    <n v="858"/>
    <n v="1670"/>
    <n v="511"/>
  </r>
  <r>
    <n v="19"/>
    <x v="9"/>
    <n v="1991"/>
    <x v="284"/>
    <n v="1814"/>
    <n v="1999"/>
    <n v="3813"/>
    <n v="2016"/>
  </r>
  <r>
    <n v="19"/>
    <x v="9"/>
    <n v="1992"/>
    <x v="285"/>
    <n v="4415"/>
    <n v="4893"/>
    <n v="9308"/>
    <n v="5847"/>
  </r>
  <r>
    <n v="19"/>
    <x v="9"/>
    <n v="1993"/>
    <x v="286"/>
    <n v="626"/>
    <n v="697"/>
    <n v="1323"/>
    <n v="694"/>
  </r>
  <r>
    <n v="19"/>
    <x v="9"/>
    <n v="1994"/>
    <x v="287"/>
    <n v="10275"/>
    <n v="10274"/>
    <n v="20549"/>
    <n v="10521"/>
  </r>
  <r>
    <n v="19"/>
    <x v="9"/>
    <n v="1995"/>
    <x v="288"/>
    <n v="356"/>
    <n v="400"/>
    <n v="756"/>
    <n v="450"/>
  </r>
  <r>
    <n v="19"/>
    <x v="9"/>
    <n v="1996"/>
    <x v="289"/>
    <n v="12826"/>
    <n v="14861"/>
    <n v="27687"/>
    <n v="13868"/>
  </r>
  <r>
    <n v="19"/>
    <x v="9"/>
    <n v="1997"/>
    <x v="290"/>
    <n v="5841"/>
    <n v="6182"/>
    <n v="12023"/>
    <n v="6594"/>
  </r>
  <r>
    <n v="19"/>
    <x v="9"/>
    <n v="1998"/>
    <x v="291"/>
    <n v="4972"/>
    <n v="5406"/>
    <n v="10378"/>
    <n v="6305"/>
  </r>
  <r>
    <n v="19"/>
    <x v="9"/>
    <n v="1999"/>
    <x v="292"/>
    <n v="27760"/>
    <n v="28716"/>
    <n v="56476"/>
    <n v="29276"/>
  </r>
  <r>
    <n v="20"/>
    <x v="10"/>
    <n v="2001"/>
    <x v="293"/>
    <n v="22493"/>
    <n v="24077"/>
    <n v="46570"/>
    <n v="29911"/>
  </r>
  <r>
    <n v="20"/>
    <x v="10"/>
    <n v="2002"/>
    <x v="294"/>
    <n v="42638"/>
    <n v="44181"/>
    <n v="86819"/>
    <n v="51018"/>
  </r>
  <r>
    <n v="20"/>
    <x v="10"/>
    <n v="2003"/>
    <x v="295"/>
    <n v="7656"/>
    <n v="7659"/>
    <n v="15315"/>
    <n v="7378"/>
  </r>
  <r>
    <n v="20"/>
    <x v="10"/>
    <n v="2004"/>
    <x v="296"/>
    <n v="15347"/>
    <n v="17433"/>
    <n v="32780"/>
    <n v="20786"/>
  </r>
  <r>
    <n v="20"/>
    <x v="10"/>
    <n v="2005"/>
    <x v="297"/>
    <n v="25755"/>
    <n v="26832"/>
    <n v="52587"/>
    <n v="46495"/>
  </r>
  <r>
    <n v="20"/>
    <x v="10"/>
    <n v="2006"/>
    <x v="298"/>
    <n v="49977"/>
    <n v="53110"/>
    <n v="103087"/>
    <n v="41090"/>
  </r>
  <r>
    <n v="20"/>
    <x v="10"/>
    <n v="2007"/>
    <x v="299"/>
    <n v="29401"/>
    <n v="29925"/>
    <n v="59326"/>
    <n v="52114"/>
  </r>
  <r>
    <n v="20"/>
    <x v="10"/>
    <n v="2009"/>
    <x v="300"/>
    <n v="27158"/>
    <n v="26846"/>
    <n v="54004"/>
    <n v="31247"/>
  </r>
  <r>
    <n v="20"/>
    <x v="10"/>
    <n v="2010"/>
    <x v="301"/>
    <n v="19056"/>
    <n v="18862"/>
    <n v="37918"/>
    <n v="14367"/>
  </r>
  <r>
    <n v="20"/>
    <x v="10"/>
    <n v="2011"/>
    <x v="302"/>
    <n v="14153"/>
    <n v="13166"/>
    <n v="27319"/>
    <n v="9435"/>
  </r>
  <r>
    <n v="20"/>
    <x v="10"/>
    <n v="2060"/>
    <x v="303"/>
    <n v="7165"/>
    <n v="5894"/>
    <n v="13059"/>
    <n v="6917"/>
  </r>
  <r>
    <n v="20"/>
    <x v="10"/>
    <n v="2061"/>
    <x v="304"/>
    <n v="33905"/>
    <n v="22232"/>
    <n v="56137"/>
    <n v="28758"/>
  </r>
  <r>
    <n v="20"/>
    <x v="10"/>
    <n v="2063"/>
    <x v="305"/>
    <n v="6514"/>
    <n v="6976"/>
    <n v="13490"/>
    <n v="4920"/>
  </r>
  <r>
    <n v="20"/>
    <x v="10"/>
    <n v="2064"/>
    <x v="306"/>
    <n v="13459"/>
    <n v="14689"/>
    <n v="28148"/>
    <n v="14857"/>
  </r>
  <r>
    <n v="20"/>
    <x v="10"/>
    <n v="2065"/>
    <x v="307"/>
    <n v="10486"/>
    <n v="12746"/>
    <n v="23232"/>
    <n v="17967"/>
  </r>
  <r>
    <n v="20"/>
    <x v="10"/>
    <n v="2066"/>
    <x v="308"/>
    <n v="7086"/>
    <n v="7331"/>
    <n v="14417"/>
    <n v="17176"/>
  </r>
  <r>
    <n v="20"/>
    <x v="10"/>
    <n v="2067"/>
    <x v="309"/>
    <n v="8328"/>
    <n v="9558"/>
    <n v="17886"/>
    <n v="12341"/>
  </r>
  <r>
    <n v="20"/>
    <x v="10"/>
    <n v="2068"/>
    <x v="310"/>
    <n v="21229"/>
    <n v="22455"/>
    <n v="43684"/>
    <n v="28247"/>
  </r>
  <r>
    <n v="20"/>
    <x v="10"/>
    <n v="2069"/>
    <x v="311"/>
    <n v="6943"/>
    <n v="6581"/>
    <n v="13524"/>
    <n v="11613"/>
  </r>
  <r>
    <n v="20"/>
    <x v="10"/>
    <n v="2070"/>
    <x v="312"/>
    <n v="3840"/>
    <n v="3979"/>
    <n v="7819"/>
    <n v="2908"/>
  </r>
  <r>
    <n v="20"/>
    <x v="10"/>
    <n v="2071"/>
    <x v="313"/>
    <n v="5858"/>
    <n v="6435"/>
    <n v="12293"/>
    <n v="7634"/>
  </r>
  <r>
    <n v="20"/>
    <x v="10"/>
    <n v="2072"/>
    <x v="314"/>
    <n v="42168"/>
    <n v="51957"/>
    <n v="94125"/>
    <n v="53868"/>
  </r>
  <r>
    <n v="20"/>
    <x v="10"/>
    <n v="2073"/>
    <x v="315"/>
    <n v="3203"/>
    <n v="3417"/>
    <n v="6620"/>
    <n v="4290"/>
  </r>
  <r>
    <n v="20"/>
    <x v="10"/>
    <n v="2074"/>
    <x v="316"/>
    <n v="4307"/>
    <n v="1834"/>
    <n v="6141"/>
    <n v="2211"/>
  </r>
  <r>
    <n v="20"/>
    <x v="10"/>
    <n v="2075"/>
    <x v="317"/>
    <n v="1956"/>
    <n v="2046"/>
    <n v="4002"/>
    <n v="2230"/>
  </r>
  <r>
    <n v="20"/>
    <x v="10"/>
    <n v="2076"/>
    <x v="318"/>
    <n v="9895"/>
    <n v="11161"/>
    <n v="21056"/>
    <n v="12297"/>
  </r>
  <r>
    <n v="20"/>
    <x v="10"/>
    <n v="2077"/>
    <x v="319"/>
    <n v="5383"/>
    <n v="6415"/>
    <n v="11798"/>
    <n v="9793"/>
  </r>
  <r>
    <n v="20"/>
    <x v="10"/>
    <n v="2078"/>
    <x v="320"/>
    <n v="3735"/>
    <n v="4112"/>
    <n v="7847"/>
    <n v="17025"/>
  </r>
  <r>
    <n v="20"/>
    <x v="10"/>
    <n v="2079"/>
    <x v="321"/>
    <n v="2298"/>
    <n v="2380"/>
    <n v="4678"/>
    <n v="2317"/>
  </r>
  <r>
    <n v="20"/>
    <x v="10"/>
    <n v="2080"/>
    <x v="322"/>
    <n v="77981"/>
    <n v="82601"/>
    <n v="160582"/>
    <n v="113075"/>
  </r>
  <r>
    <n v="20"/>
    <x v="10"/>
    <n v="2081"/>
    <x v="323"/>
    <n v="6432"/>
    <n v="7125"/>
    <n v="13557"/>
    <n v="8355"/>
  </r>
  <r>
    <n v="20"/>
    <x v="10"/>
    <n v="2082"/>
    <x v="324"/>
    <n v="11668"/>
    <n v="12072"/>
    <n v="23740"/>
    <n v="18588"/>
  </r>
  <r>
    <n v="20"/>
    <x v="10"/>
    <n v="2083"/>
    <x v="325"/>
    <n v="3170"/>
    <n v="3387"/>
    <n v="6557"/>
    <n v="3906"/>
  </r>
  <r>
    <n v="20"/>
    <x v="10"/>
    <n v="2084"/>
    <x v="326"/>
    <n v="15127"/>
    <n v="17155"/>
    <n v="32282"/>
    <n v="20033"/>
  </r>
  <r>
    <n v="20"/>
    <x v="10"/>
    <n v="2085"/>
    <x v="327"/>
    <n v="6429"/>
    <n v="7139"/>
    <n v="13568"/>
    <n v="9373"/>
  </r>
  <r>
    <n v="20"/>
    <x v="10"/>
    <n v="2086"/>
    <x v="328"/>
    <n v="4426"/>
    <n v="4245"/>
    <n v="8671"/>
    <n v="3999"/>
  </r>
  <r>
    <n v="20"/>
    <x v="10"/>
    <n v="2087"/>
    <x v="329"/>
    <n v="1612"/>
    <n v="1820"/>
    <n v="3432"/>
    <n v="2221"/>
  </r>
  <r>
    <n v="20"/>
    <x v="10"/>
    <n v="2088"/>
    <x v="330"/>
    <n v="1089"/>
    <n v="1168"/>
    <n v="2257"/>
    <n v="1662"/>
  </r>
  <r>
    <n v="20"/>
    <x v="10"/>
    <n v="2089"/>
    <x v="331"/>
    <n v="17287"/>
    <n v="20307"/>
    <n v="37594"/>
    <n v="23259"/>
  </r>
  <r>
    <n v="20"/>
    <x v="10"/>
    <n v="2090"/>
    <x v="332"/>
    <n v="34340"/>
    <n v="34817"/>
    <n v="69157"/>
    <n v="46736"/>
  </r>
  <r>
    <n v="20"/>
    <x v="10"/>
    <n v="2091"/>
    <x v="333"/>
    <n v="6043"/>
    <n v="4893"/>
    <n v="10936"/>
    <n v="7492"/>
  </r>
  <r>
    <n v="20"/>
    <x v="10"/>
    <n v="2092"/>
    <x v="334"/>
    <n v="2200"/>
    <n v="2480"/>
    <n v="4680"/>
    <n v="7403"/>
  </r>
  <r>
    <n v="20"/>
    <x v="10"/>
    <n v="2093"/>
    <x v="335"/>
    <n v="45951"/>
    <n v="47715"/>
    <n v="93666"/>
    <n v="86790"/>
  </r>
  <r>
    <n v="20"/>
    <x v="10"/>
    <n v="2094"/>
    <x v="336"/>
    <n v="21544"/>
    <n v="24848"/>
    <n v="46392"/>
    <n v="41230"/>
  </r>
  <r>
    <n v="20"/>
    <x v="10"/>
    <n v="2095"/>
    <x v="337"/>
    <n v="9017"/>
    <n v="10324"/>
    <n v="19341"/>
    <n v="10935"/>
  </r>
  <r>
    <n v="20"/>
    <x v="10"/>
    <n v="2096"/>
    <x v="338"/>
    <n v="53005"/>
    <n v="63499"/>
    <n v="116504"/>
    <n v="179568"/>
  </r>
  <r>
    <n v="20"/>
    <x v="10"/>
    <n v="2097"/>
    <x v="339"/>
    <n v="10949"/>
    <n v="13692"/>
    <n v="24641"/>
    <n v="8991"/>
  </r>
  <r>
    <n v="20"/>
    <x v="10"/>
    <n v="2098"/>
    <x v="340"/>
    <n v="4453"/>
    <n v="5271"/>
    <n v="9724"/>
    <n v="5093"/>
  </r>
  <r>
    <n v="20"/>
    <x v="10"/>
    <n v="2099"/>
    <x v="341"/>
    <n v="10668"/>
    <n v="11895"/>
    <n v="22563"/>
    <n v="12506"/>
  </r>
  <r>
    <n v="21"/>
    <x v="11"/>
    <n v="2101"/>
    <x v="342"/>
    <n v="51178"/>
    <n v="53322"/>
    <n v="104500"/>
    <n v="70408"/>
  </r>
  <r>
    <n v="21"/>
    <x v="11"/>
    <n v="2102"/>
    <x v="343"/>
    <n v="5662"/>
    <n v="5371"/>
    <n v="11033"/>
    <n v="5459"/>
  </r>
  <r>
    <n v="21"/>
    <x v="11"/>
    <n v="2103"/>
    <x v="344"/>
    <n v="32450"/>
    <n v="35036"/>
    <n v="67486"/>
    <n v="33340"/>
  </r>
  <r>
    <n v="21"/>
    <x v="11"/>
    <n v="2104"/>
    <x v="345"/>
    <n v="11121"/>
    <n v="11172"/>
    <n v="22293"/>
    <n v="11834"/>
  </r>
  <r>
    <n v="21"/>
    <x v="11"/>
    <n v="2105"/>
    <x v="346"/>
    <n v="34112"/>
    <n v="35903"/>
    <n v="70015"/>
    <n v="39451"/>
  </r>
  <r>
    <n v="21"/>
    <x v="11"/>
    <n v="2106"/>
    <x v="347"/>
    <n v="42285"/>
    <n v="41383"/>
    <n v="83668"/>
    <n v="116865"/>
  </r>
  <r>
    <n v="21"/>
    <x v="11"/>
    <n v="2107"/>
    <x v="348"/>
    <n v="11672"/>
    <n v="11906"/>
    <n v="23578"/>
    <n v="11651"/>
  </r>
  <r>
    <n v="21"/>
    <x v="11"/>
    <n v="2108"/>
    <x v="349"/>
    <n v="13056"/>
    <n v="13119"/>
    <n v="26175"/>
    <n v="23199"/>
  </r>
  <r>
    <n v="21"/>
    <x v="11"/>
    <n v="2177"/>
    <x v="350"/>
    <n v="4372"/>
    <n v="4360"/>
    <n v="8732"/>
    <n v="5900"/>
  </r>
  <r>
    <n v="21"/>
    <x v="11"/>
    <n v="2178"/>
    <x v="351"/>
    <n v="2216"/>
    <n v="2345"/>
    <n v="4561"/>
    <n v="2084"/>
  </r>
  <r>
    <n v="21"/>
    <x v="11"/>
    <n v="2179"/>
    <x v="352"/>
    <n v="12917"/>
    <n v="13219"/>
    <n v="26136"/>
    <n v="18648"/>
  </r>
  <r>
    <n v="21"/>
    <x v="11"/>
    <n v="2180"/>
    <x v="353"/>
    <n v="4213"/>
    <n v="4435"/>
    <n v="8648"/>
    <n v="3640"/>
  </r>
  <r>
    <n v="21"/>
    <x v="11"/>
    <n v="2181"/>
    <x v="354"/>
    <n v="6037"/>
    <n v="6055"/>
    <n v="12092"/>
    <n v="8827"/>
  </r>
  <r>
    <n v="21"/>
    <x v="11"/>
    <n v="2182"/>
    <x v="355"/>
    <n v="8261"/>
    <n v="8675"/>
    <n v="16936"/>
    <n v="10242"/>
  </r>
  <r>
    <n v="21"/>
    <x v="11"/>
    <n v="2183"/>
    <x v="356"/>
    <n v="7660"/>
    <n v="7729"/>
    <n v="15389"/>
    <n v="14410"/>
  </r>
  <r>
    <n v="21"/>
    <x v="11"/>
    <n v="2184"/>
    <x v="357"/>
    <n v="5742"/>
    <n v="5698"/>
    <n v="11440"/>
    <n v="9067"/>
  </r>
  <r>
    <n v="21"/>
    <x v="11"/>
    <n v="2185"/>
    <x v="358"/>
    <n v="2601"/>
    <n v="2969"/>
    <n v="5570"/>
    <n v="4609"/>
  </r>
  <r>
    <n v="21"/>
    <x v="11"/>
    <n v="2186"/>
    <x v="359"/>
    <n v="204"/>
    <n v="189"/>
    <n v="393"/>
    <n v="620"/>
  </r>
  <r>
    <n v="21"/>
    <x v="11"/>
    <n v="2187"/>
    <x v="360"/>
    <n v="1621"/>
    <n v="1768"/>
    <n v="3389"/>
    <n v="2183"/>
  </r>
  <r>
    <n v="21"/>
    <x v="11"/>
    <n v="2188"/>
    <x v="361"/>
    <n v="1820"/>
    <n v="1896"/>
    <n v="3716"/>
    <n v="2499"/>
  </r>
  <r>
    <n v="21"/>
    <x v="11"/>
    <n v="2189"/>
    <x v="362"/>
    <n v="7189"/>
    <n v="7983"/>
    <n v="15172"/>
    <n v="10601"/>
  </r>
  <r>
    <n v="21"/>
    <x v="11"/>
    <n v="2190"/>
    <x v="363"/>
    <n v="2242"/>
    <n v="2378"/>
    <n v="4620"/>
    <n v="2113"/>
  </r>
  <r>
    <n v="21"/>
    <x v="11"/>
    <n v="2191"/>
    <x v="364"/>
    <n v="3075"/>
    <n v="3418"/>
    <n v="6493"/>
    <n v="4223"/>
  </r>
  <r>
    <n v="21"/>
    <x v="11"/>
    <n v="2192"/>
    <x v="365"/>
    <n v="2322"/>
    <n v="2368"/>
    <n v="4690"/>
    <n v="1919"/>
  </r>
  <r>
    <n v="21"/>
    <x v="11"/>
    <n v="2193"/>
    <x v="366"/>
    <n v="5589"/>
    <n v="5791"/>
    <n v="11380"/>
    <n v="6402"/>
  </r>
  <r>
    <n v="21"/>
    <x v="11"/>
    <n v="2194"/>
    <x v="367"/>
    <n v="15485"/>
    <n v="16505"/>
    <n v="31990"/>
    <n v="22168"/>
  </r>
  <r>
    <n v="21"/>
    <x v="11"/>
    <n v="2195"/>
    <x v="368"/>
    <n v="8625"/>
    <n v="9571"/>
    <n v="18196"/>
    <n v="12698"/>
  </r>
  <r>
    <n v="21"/>
    <x v="11"/>
    <n v="2196"/>
    <x v="369"/>
    <n v="3427"/>
    <n v="3724"/>
    <n v="7151"/>
    <n v="3567"/>
  </r>
  <r>
    <n v="21"/>
    <x v="11"/>
    <n v="2197"/>
    <x v="370"/>
    <n v="39769"/>
    <n v="40004"/>
    <n v="79773"/>
    <n v="69179"/>
  </r>
  <r>
    <n v="21"/>
    <x v="11"/>
    <n v="2198"/>
    <x v="371"/>
    <n v="8647"/>
    <n v="9695"/>
    <n v="18342"/>
    <n v="12071"/>
  </r>
  <r>
    <n v="21"/>
    <x v="11"/>
    <n v="2199"/>
    <x v="372"/>
    <n v="27409"/>
    <n v="31205"/>
    <n v="58614"/>
    <n v="38537"/>
  </r>
  <r>
    <n v="22"/>
    <x v="12"/>
    <n v="2201"/>
    <x v="373"/>
    <n v="23026"/>
    <n v="25609"/>
    <n v="48635"/>
    <n v="24450"/>
  </r>
  <r>
    <n v="22"/>
    <x v="12"/>
    <n v="2202"/>
    <x v="374"/>
    <n v="12459"/>
    <n v="13001"/>
    <n v="25460"/>
    <n v="10815"/>
  </r>
  <r>
    <n v="22"/>
    <x v="12"/>
    <n v="2203"/>
    <x v="375"/>
    <n v="23241"/>
    <n v="24302"/>
    <n v="47543"/>
    <n v="19239"/>
  </r>
  <r>
    <n v="22"/>
    <x v="12"/>
    <n v="2204"/>
    <x v="376"/>
    <n v="11005"/>
    <n v="10527"/>
    <n v="21532"/>
    <n v="9196"/>
  </r>
  <r>
    <n v="22"/>
    <x v="12"/>
    <n v="2205"/>
    <x v="377"/>
    <n v="15269"/>
    <n v="15915"/>
    <n v="31184"/>
    <n v="14383"/>
  </r>
  <r>
    <n v="22"/>
    <x v="12"/>
    <n v="2206"/>
    <x v="378"/>
    <n v="6763"/>
    <n v="7084"/>
    <n v="13847"/>
    <n v="5522"/>
  </r>
  <r>
    <n v="22"/>
    <x v="12"/>
    <n v="2207"/>
    <x v="379"/>
    <n v="18607"/>
    <n v="18346"/>
    <n v="36953"/>
    <n v="15547"/>
  </r>
  <r>
    <n v="22"/>
    <x v="12"/>
    <n v="2208"/>
    <x v="380"/>
    <n v="21455"/>
    <n v="21366"/>
    <n v="42821"/>
    <n v="22728"/>
  </r>
  <r>
    <n v="22"/>
    <x v="12"/>
    <n v="2209"/>
    <x v="381"/>
    <n v="14890"/>
    <n v="15938"/>
    <n v="30828"/>
    <n v="12712"/>
  </r>
  <r>
    <n v="22"/>
    <x v="12"/>
    <n v="2210"/>
    <x v="382"/>
    <n v="6325"/>
    <n v="6530"/>
    <n v="12855"/>
    <n v="5863"/>
  </r>
  <r>
    <n v="22"/>
    <x v="12"/>
    <n v="2272"/>
    <x v="383"/>
    <n v="3061"/>
    <n v="3218"/>
    <n v="6279"/>
    <n v="2658"/>
  </r>
  <r>
    <n v="22"/>
    <x v="12"/>
    <n v="2273"/>
    <x v="384"/>
    <n v="2698"/>
    <n v="2710"/>
    <n v="5408"/>
    <n v="2192"/>
  </r>
  <r>
    <n v="22"/>
    <x v="12"/>
    <n v="2274"/>
    <x v="385"/>
    <n v="5206"/>
    <n v="4960"/>
    <n v="10166"/>
    <n v="4188"/>
  </r>
  <r>
    <n v="22"/>
    <x v="12"/>
    <n v="2275"/>
    <x v="386"/>
    <n v="1980"/>
    <n v="2143"/>
    <n v="4123"/>
    <n v="1710"/>
  </r>
  <r>
    <n v="22"/>
    <x v="12"/>
    <n v="2276"/>
    <x v="387"/>
    <n v="2152"/>
    <n v="2503"/>
    <n v="4655"/>
    <n v="2384"/>
  </r>
  <r>
    <n v="22"/>
    <x v="12"/>
    <n v="2277"/>
    <x v="388"/>
    <n v="3443"/>
    <n v="3621"/>
    <n v="7064"/>
    <n v="2912"/>
  </r>
  <r>
    <n v="22"/>
    <x v="12"/>
    <n v="2278"/>
    <x v="389"/>
    <n v="2133"/>
    <n v="2259"/>
    <n v="4392"/>
    <n v="1974"/>
  </r>
  <r>
    <n v="22"/>
    <x v="12"/>
    <n v="2279"/>
    <x v="390"/>
    <n v="2388"/>
    <n v="2354"/>
    <n v="4742"/>
    <n v="1931"/>
  </r>
  <r>
    <n v="22"/>
    <x v="12"/>
    <n v="2280"/>
    <x v="391"/>
    <n v="8557"/>
    <n v="9548"/>
    <n v="18105"/>
    <n v="9022"/>
  </r>
  <r>
    <n v="22"/>
    <x v="12"/>
    <n v="2281"/>
    <x v="392"/>
    <n v="2269"/>
    <n v="2118"/>
    <n v="4387"/>
    <n v="2720"/>
  </r>
  <r>
    <n v="22"/>
    <x v="12"/>
    <n v="2282"/>
    <x v="393"/>
    <n v="3576"/>
    <n v="3776"/>
    <n v="7352"/>
    <n v="4364"/>
  </r>
  <r>
    <n v="22"/>
    <x v="12"/>
    <n v="2283"/>
    <x v="394"/>
    <n v="8098"/>
    <n v="8078"/>
    <n v="16176"/>
    <n v="6331"/>
  </r>
  <r>
    <n v="22"/>
    <x v="12"/>
    <n v="2284"/>
    <x v="395"/>
    <n v="1605"/>
    <n v="1796"/>
    <n v="3401"/>
    <n v="2034"/>
  </r>
  <r>
    <n v="22"/>
    <x v="12"/>
    <n v="2285"/>
    <x v="396"/>
    <n v="5505"/>
    <n v="5703"/>
    <n v="11208"/>
    <n v="6611"/>
  </r>
  <r>
    <n v="22"/>
    <x v="12"/>
    <n v="2286"/>
    <x v="397"/>
    <n v="3198"/>
    <n v="3687"/>
    <n v="6885"/>
    <n v="3243"/>
  </r>
  <r>
    <n v="22"/>
    <x v="12"/>
    <n v="2287"/>
    <x v="398"/>
    <n v="4108"/>
    <n v="4368"/>
    <n v="8476"/>
    <n v="3543"/>
  </r>
  <r>
    <n v="22"/>
    <x v="12"/>
    <n v="2288"/>
    <x v="399"/>
    <n v="784"/>
    <n v="897"/>
    <n v="1681"/>
    <n v="1041"/>
  </r>
  <r>
    <n v="22"/>
    <x v="12"/>
    <n v="2289"/>
    <x v="400"/>
    <n v="5129"/>
    <n v="4292"/>
    <n v="9421"/>
    <n v="4492"/>
  </r>
  <r>
    <n v="22"/>
    <x v="12"/>
    <n v="2290"/>
    <x v="401"/>
    <n v="1752"/>
    <n v="1963"/>
    <n v="3715"/>
    <n v="2249"/>
  </r>
  <r>
    <n v="22"/>
    <x v="12"/>
    <n v="2291"/>
    <x v="402"/>
    <n v="1481"/>
    <n v="1567"/>
    <n v="3048"/>
    <n v="1789"/>
  </r>
  <r>
    <n v="22"/>
    <x v="12"/>
    <n v="2292"/>
    <x v="403"/>
    <n v="998"/>
    <n v="1152"/>
    <n v="2150"/>
    <n v="992"/>
  </r>
  <r>
    <n v="22"/>
    <x v="12"/>
    <n v="2293"/>
    <x v="404"/>
    <n v="4859"/>
    <n v="5430"/>
    <n v="10289"/>
    <n v="6832"/>
  </r>
  <r>
    <n v="22"/>
    <x v="12"/>
    <n v="2294"/>
    <x v="405"/>
    <n v="2474"/>
    <n v="2669"/>
    <n v="5143"/>
    <n v="2333"/>
  </r>
  <r>
    <n v="22"/>
    <x v="12"/>
    <n v="2295"/>
    <x v="406"/>
    <n v="6468"/>
    <n v="7637"/>
    <n v="14105"/>
    <n v="11403"/>
  </r>
  <r>
    <n v="22"/>
    <x v="12"/>
    <n v="2296"/>
    <x v="407"/>
    <n v="5342"/>
    <n v="6103"/>
    <n v="11445"/>
    <n v="8015"/>
  </r>
  <r>
    <n v="22"/>
    <x v="12"/>
    <n v="2297"/>
    <x v="408"/>
    <n v="4701"/>
    <n v="5359"/>
    <n v="10060"/>
    <n v="4339"/>
  </r>
  <r>
    <n v="22"/>
    <x v="12"/>
    <n v="2298"/>
    <x v="409"/>
    <n v="4611"/>
    <n v="5299"/>
    <n v="9910"/>
    <n v="4826"/>
  </r>
  <r>
    <n v="22"/>
    <x v="12"/>
    <n v="2299"/>
    <x v="410"/>
    <n v="9939"/>
    <n v="11005"/>
    <n v="20944"/>
    <n v="15066"/>
  </r>
  <r>
    <n v="23"/>
    <x v="13"/>
    <n v="2301"/>
    <x v="411"/>
    <n v="36036"/>
    <n v="38610"/>
    <n v="74646"/>
    <n v="37597"/>
  </r>
  <r>
    <n v="23"/>
    <x v="13"/>
    <n v="2302"/>
    <x v="412"/>
    <n v="7294"/>
    <n v="7120"/>
    <n v="14414"/>
    <n v="5664"/>
  </r>
  <r>
    <n v="23"/>
    <x v="13"/>
    <n v="2303"/>
    <x v="413"/>
    <n v="19764"/>
    <n v="20058"/>
    <n v="39822"/>
    <n v="18700"/>
  </r>
  <r>
    <n v="23"/>
    <x v="13"/>
    <n v="2304"/>
    <x v="414"/>
    <n v="9508"/>
    <n v="9034"/>
    <n v="18542"/>
    <n v="7901"/>
  </r>
  <r>
    <n v="23"/>
    <x v="13"/>
    <n v="2305"/>
    <x v="415"/>
    <n v="7335"/>
    <n v="7031"/>
    <n v="14366"/>
    <n v="6172"/>
  </r>
  <r>
    <n v="23"/>
    <x v="13"/>
    <n v="2306"/>
    <x v="416"/>
    <n v="1547"/>
    <n v="1415"/>
    <n v="2962"/>
    <n v="2214"/>
  </r>
  <r>
    <n v="23"/>
    <x v="13"/>
    <n v="2307"/>
    <x v="417"/>
    <n v="4344"/>
    <n v="4384"/>
    <n v="8728"/>
    <n v="6392"/>
  </r>
  <r>
    <n v="23"/>
    <x v="13"/>
    <n v="2389"/>
    <x v="418"/>
    <n v="1252"/>
    <n v="1350"/>
    <n v="2602"/>
    <n v="1416"/>
  </r>
  <r>
    <n v="23"/>
    <x v="13"/>
    <n v="2390"/>
    <x v="419"/>
    <n v="3655"/>
    <n v="3568"/>
    <n v="7223"/>
    <n v="4009"/>
  </r>
  <r>
    <n v="23"/>
    <x v="13"/>
    <n v="2391"/>
    <x v="420"/>
    <n v="833"/>
    <n v="850"/>
    <n v="1683"/>
    <n v="764"/>
  </r>
  <r>
    <n v="23"/>
    <x v="13"/>
    <n v="2392"/>
    <x v="421"/>
    <n v="1494"/>
    <n v="1603"/>
    <n v="3097"/>
    <n v="1350"/>
  </r>
  <r>
    <n v="23"/>
    <x v="13"/>
    <n v="2393"/>
    <x v="422"/>
    <n v="4224"/>
    <n v="4298"/>
    <n v="8522"/>
    <n v="5867"/>
  </r>
  <r>
    <n v="23"/>
    <x v="13"/>
    <n v="2394"/>
    <x v="423"/>
    <n v="1525"/>
    <n v="1580"/>
    <n v="3105"/>
    <n v="2441"/>
  </r>
  <r>
    <n v="23"/>
    <x v="13"/>
    <n v="2395"/>
    <x v="424"/>
    <n v="769"/>
    <n v="748"/>
    <n v="1517"/>
    <n v="617"/>
  </r>
  <r>
    <n v="23"/>
    <x v="13"/>
    <n v="2396"/>
    <x v="425"/>
    <n v="2681"/>
    <n v="2552"/>
    <n v="5233"/>
    <n v="2032"/>
  </r>
  <r>
    <n v="23"/>
    <x v="13"/>
    <n v="2397"/>
    <x v="384"/>
    <n v="2525"/>
    <n v="2567"/>
    <n v="5092"/>
    <n v="2457"/>
  </r>
  <r>
    <n v="23"/>
    <x v="13"/>
    <n v="2398"/>
    <x v="426"/>
    <n v="3122"/>
    <n v="3430"/>
    <n v="6552"/>
    <n v="3220"/>
  </r>
  <r>
    <n v="23"/>
    <x v="13"/>
    <n v="2399"/>
    <x v="427"/>
    <n v="3985"/>
    <n v="4426"/>
    <n v="8411"/>
    <n v="5580"/>
  </r>
  <r>
    <n v="24"/>
    <x v="14"/>
    <n v="2401"/>
    <x v="428"/>
    <n v="61490"/>
    <n v="65257"/>
    <n v="126747"/>
    <n v="56559"/>
  </r>
  <r>
    <n v="24"/>
    <x v="14"/>
    <n v="2402"/>
    <x v="429"/>
    <n v="14658"/>
    <n v="15685"/>
    <n v="30343"/>
    <n v="13395"/>
  </r>
  <r>
    <n v="24"/>
    <x v="14"/>
    <n v="2403"/>
    <x v="430"/>
    <n v="36580"/>
    <n v="37215"/>
    <n v="73795"/>
    <n v="24009"/>
  </r>
  <r>
    <n v="24"/>
    <x v="14"/>
    <n v="2404"/>
    <x v="431"/>
    <n v="29250"/>
    <n v="30344"/>
    <n v="59594"/>
    <n v="29826"/>
  </r>
  <r>
    <n v="24"/>
    <x v="14"/>
    <n v="2405"/>
    <x v="432"/>
    <n v="22616"/>
    <n v="24533"/>
    <n v="47149"/>
    <n v="22943"/>
  </r>
  <r>
    <n v="24"/>
    <x v="14"/>
    <n v="2406"/>
    <x v="433"/>
    <n v="34991"/>
    <n v="37071"/>
    <n v="72062"/>
    <n v="32344"/>
  </r>
  <r>
    <n v="24"/>
    <x v="14"/>
    <n v="2407"/>
    <x v="434"/>
    <n v="6130"/>
    <n v="6380"/>
    <n v="12510"/>
    <n v="5117"/>
  </r>
  <r>
    <n v="24"/>
    <x v="14"/>
    <n v="2408"/>
    <x v="435"/>
    <n v="35587"/>
    <n v="35574"/>
    <n v="71161"/>
    <n v="24441"/>
  </r>
  <r>
    <n v="24"/>
    <x v="14"/>
    <n v="2409"/>
    <x v="436"/>
    <n v="12020"/>
    <n v="11789"/>
    <n v="23809"/>
    <n v="14024"/>
  </r>
  <r>
    <n v="24"/>
    <x v="14"/>
    <n v="2410"/>
    <x v="437"/>
    <n v="23547"/>
    <n v="23212"/>
    <n v="46759"/>
    <n v="18165"/>
  </r>
  <r>
    <n v="24"/>
    <x v="14"/>
    <n v="2411"/>
    <x v="438"/>
    <n v="6064"/>
    <n v="6328"/>
    <n v="12392"/>
    <n v="4788"/>
  </r>
  <r>
    <n v="24"/>
    <x v="14"/>
    <n v="2474"/>
    <x v="439"/>
    <n v="5515"/>
    <n v="6006"/>
    <n v="11521"/>
    <n v="9761"/>
  </r>
  <r>
    <n v="24"/>
    <x v="14"/>
    <n v="2475"/>
    <x v="440"/>
    <n v="1823"/>
    <n v="1957"/>
    <n v="3780"/>
    <n v="4397"/>
  </r>
  <r>
    <n v="24"/>
    <x v="14"/>
    <n v="2476"/>
    <x v="441"/>
    <n v="4902"/>
    <n v="4984"/>
    <n v="9886"/>
    <n v="3837"/>
  </r>
  <r>
    <n v="24"/>
    <x v="14"/>
    <n v="2477"/>
    <x v="442"/>
    <n v="4368"/>
    <n v="4252"/>
    <n v="8620"/>
    <n v="2524"/>
  </r>
  <r>
    <n v="24"/>
    <x v="14"/>
    <n v="2478"/>
    <x v="443"/>
    <n v="3377"/>
    <n v="3538"/>
    <n v="6915"/>
    <n v="4250"/>
  </r>
  <r>
    <n v="24"/>
    <x v="14"/>
    <n v="2479"/>
    <x v="444"/>
    <n v="3062"/>
    <n v="3198"/>
    <n v="6260"/>
    <n v="3832"/>
  </r>
  <r>
    <n v="24"/>
    <x v="14"/>
    <n v="2480"/>
    <x v="445"/>
    <n v="3064"/>
    <n v="2718"/>
    <n v="5782"/>
    <n v="4773"/>
  </r>
  <r>
    <n v="24"/>
    <x v="14"/>
    <n v="2481"/>
    <x v="446"/>
    <n v="1998"/>
    <n v="2233"/>
    <n v="4231"/>
    <n v="3064"/>
  </r>
  <r>
    <n v="24"/>
    <x v="14"/>
    <n v="2482"/>
    <x v="447"/>
    <n v="2806"/>
    <n v="3295"/>
    <n v="6101"/>
    <n v="4310"/>
  </r>
  <r>
    <n v="24"/>
    <x v="14"/>
    <n v="2483"/>
    <x v="448"/>
    <n v="1683"/>
    <n v="1764"/>
    <n v="3447"/>
    <n v="2743"/>
  </r>
  <r>
    <n v="24"/>
    <x v="14"/>
    <n v="2484"/>
    <x v="449"/>
    <n v="967"/>
    <n v="1101"/>
    <n v="2068"/>
    <n v="1129"/>
  </r>
  <r>
    <n v="24"/>
    <x v="14"/>
    <n v="2485"/>
    <x v="450"/>
    <n v="1402"/>
    <n v="1479"/>
    <n v="2881"/>
    <n v="1458"/>
  </r>
  <r>
    <n v="24"/>
    <x v="14"/>
    <n v="2486"/>
    <x v="451"/>
    <n v="1988"/>
    <n v="2117"/>
    <n v="4105"/>
    <n v="1313"/>
  </r>
  <r>
    <n v="24"/>
    <x v="14"/>
    <n v="2487"/>
    <x v="452"/>
    <n v="1198"/>
    <n v="1347"/>
    <n v="2545"/>
    <n v="2031"/>
  </r>
  <r>
    <n v="24"/>
    <x v="14"/>
    <n v="2488"/>
    <x v="453"/>
    <n v="2822"/>
    <n v="3071"/>
    <n v="5893"/>
    <n v="2959"/>
  </r>
  <r>
    <n v="24"/>
    <x v="14"/>
    <n v="2489"/>
    <x v="454"/>
    <n v="622"/>
    <n v="639"/>
    <n v="1261"/>
    <n v="327"/>
  </r>
  <r>
    <n v="24"/>
    <x v="14"/>
    <n v="2490"/>
    <x v="455"/>
    <n v="1868"/>
    <n v="1988"/>
    <n v="3856"/>
    <n v="2837"/>
  </r>
  <r>
    <n v="24"/>
    <x v="14"/>
    <n v="2491"/>
    <x v="456"/>
    <n v="3555"/>
    <n v="3815"/>
    <n v="7370"/>
    <n v="9606"/>
  </r>
  <r>
    <n v="24"/>
    <x v="14"/>
    <n v="2492"/>
    <x v="457"/>
    <n v="713"/>
    <n v="761"/>
    <n v="1474"/>
    <n v="566"/>
  </r>
  <r>
    <n v="24"/>
    <x v="14"/>
    <n v="2493"/>
    <x v="458"/>
    <n v="1097"/>
    <n v="1161"/>
    <n v="2258"/>
    <n v="1238"/>
  </r>
  <r>
    <n v="24"/>
    <x v="14"/>
    <n v="2494"/>
    <x v="459"/>
    <n v="1067"/>
    <n v="1027"/>
    <n v="2094"/>
    <n v="818"/>
  </r>
  <r>
    <n v="24"/>
    <x v="14"/>
    <n v="2495"/>
    <x v="460"/>
    <n v="756"/>
    <n v="764"/>
    <n v="1520"/>
    <n v="742"/>
  </r>
  <r>
    <n v="24"/>
    <x v="14"/>
    <n v="2496"/>
    <x v="461"/>
    <n v="2564"/>
    <n v="2800"/>
    <n v="5364"/>
    <n v="2789"/>
  </r>
  <r>
    <n v="24"/>
    <x v="14"/>
    <n v="2497"/>
    <x v="462"/>
    <n v="621"/>
    <n v="726"/>
    <n v="1347"/>
    <n v="505"/>
  </r>
  <r>
    <n v="24"/>
    <x v="14"/>
    <n v="2498"/>
    <x v="463"/>
    <n v="4579"/>
    <n v="5334"/>
    <n v="9913"/>
    <n v="5047"/>
  </r>
  <r>
    <n v="24"/>
    <x v="14"/>
    <n v="2499"/>
    <x v="464"/>
    <n v="17206"/>
    <n v="19112"/>
    <n v="36318"/>
    <n v="22914"/>
  </r>
  <r>
    <n v="25"/>
    <x v="15"/>
    <n v="2501"/>
    <x v="465"/>
    <n v="45275"/>
    <n v="42736"/>
    <n v="88011"/>
    <n v="37954"/>
  </r>
  <r>
    <n v="25"/>
    <x v="15"/>
    <n v="2502"/>
    <x v="466"/>
    <n v="67379"/>
    <n v="69718"/>
    <n v="137097"/>
    <n v="57049"/>
  </r>
  <r>
    <n v="25"/>
    <x v="15"/>
    <n v="2503"/>
    <x v="467"/>
    <n v="21992"/>
    <n v="22299"/>
    <n v="44291"/>
    <n v="19209"/>
  </r>
  <r>
    <n v="25"/>
    <x v="15"/>
    <n v="2506"/>
    <x v="468"/>
    <n v="13291"/>
    <n v="13871"/>
    <n v="27162"/>
    <n v="9865"/>
  </r>
  <r>
    <n v="25"/>
    <x v="15"/>
    <n v="2507"/>
    <x v="469"/>
    <n v="24206"/>
    <n v="25474"/>
    <n v="49680"/>
    <n v="18499"/>
  </r>
  <r>
    <n v="25"/>
    <x v="15"/>
    <n v="2508"/>
    <x v="470"/>
    <n v="39177"/>
    <n v="41327"/>
    <n v="80504"/>
    <n v="60592"/>
  </r>
  <r>
    <n v="25"/>
    <x v="15"/>
    <n v="2509"/>
    <x v="471"/>
    <n v="6643"/>
    <n v="6869"/>
    <n v="13512"/>
    <n v="7003"/>
  </r>
  <r>
    <n v="25"/>
    <x v="15"/>
    <n v="2587"/>
    <x v="472"/>
    <n v="1057"/>
    <n v="1174"/>
    <n v="2231"/>
    <n v="880"/>
  </r>
  <r>
    <n v="25"/>
    <x v="15"/>
    <n v="2588"/>
    <x v="473"/>
    <n v="2698"/>
    <n v="2937"/>
    <n v="5635"/>
    <n v="2414"/>
  </r>
  <r>
    <n v="25"/>
    <x v="15"/>
    <n v="2589"/>
    <x v="474"/>
    <n v="1724"/>
    <n v="1845"/>
    <n v="3569"/>
    <n v="2595"/>
  </r>
  <r>
    <n v="25"/>
    <x v="15"/>
    <n v="2590"/>
    <x v="475"/>
    <n v="1764"/>
    <n v="1828"/>
    <n v="3592"/>
    <n v="1344"/>
  </r>
  <r>
    <n v="25"/>
    <x v="15"/>
    <n v="2591"/>
    <x v="476"/>
    <n v="2029"/>
    <n v="2243"/>
    <n v="4272"/>
    <n v="2433"/>
  </r>
  <r>
    <n v="25"/>
    <x v="15"/>
    <n v="2592"/>
    <x v="156"/>
    <n v="1581"/>
    <n v="1651"/>
    <n v="3232"/>
    <n v="1729"/>
  </r>
  <r>
    <n v="25"/>
    <x v="15"/>
    <n v="2593"/>
    <x v="477"/>
    <n v="3879"/>
    <n v="4037"/>
    <n v="7916"/>
    <n v="3491"/>
  </r>
  <r>
    <n v="25"/>
    <x v="15"/>
    <n v="2594"/>
    <x v="478"/>
    <n v="865"/>
    <n v="908"/>
    <n v="1773"/>
    <n v="664"/>
  </r>
  <r>
    <n v="25"/>
    <x v="15"/>
    <n v="2595"/>
    <x v="479"/>
    <n v="3241"/>
    <n v="3376"/>
    <n v="6617"/>
    <n v="4650"/>
  </r>
  <r>
    <n v="25"/>
    <x v="15"/>
    <n v="2596"/>
    <x v="480"/>
    <n v="1102"/>
    <n v="1130"/>
    <n v="2232"/>
    <n v="837"/>
  </r>
  <r>
    <n v="25"/>
    <x v="15"/>
    <n v="2598"/>
    <x v="481"/>
    <n v="1643"/>
    <n v="1868"/>
    <n v="3511"/>
    <n v="2216"/>
  </r>
  <r>
    <n v="25"/>
    <x v="15"/>
    <n v="2599"/>
    <x v="482"/>
    <n v="7289"/>
    <n v="8481"/>
    <n v="15770"/>
    <n v="9170"/>
  </r>
  <r>
    <n v="26"/>
    <x v="16"/>
    <n v="2601"/>
    <x v="483"/>
    <n v="42555"/>
    <n v="42629"/>
    <n v="85184"/>
    <n v="38011"/>
  </r>
  <r>
    <n v="26"/>
    <x v="16"/>
    <n v="2602"/>
    <x v="484"/>
    <n v="10779"/>
    <n v="11382"/>
    <n v="22161"/>
    <n v="9215"/>
  </r>
  <r>
    <n v="26"/>
    <x v="16"/>
    <n v="2603"/>
    <x v="485"/>
    <n v="32047"/>
    <n v="32160"/>
    <n v="64207"/>
    <n v="25935"/>
  </r>
  <r>
    <n v="26"/>
    <x v="16"/>
    <n v="2604"/>
    <x v="486"/>
    <n v="30999"/>
    <n v="31982"/>
    <n v="62981"/>
    <n v="24023"/>
  </r>
  <r>
    <n v="26"/>
    <x v="16"/>
    <n v="2695"/>
    <x v="487"/>
    <n v="1227"/>
    <n v="1347"/>
    <n v="2574"/>
    <n v="1394"/>
  </r>
  <r>
    <n v="26"/>
    <x v="16"/>
    <n v="2696"/>
    <x v="353"/>
    <n v="2144"/>
    <n v="2415"/>
    <n v="4559"/>
    <n v="2605"/>
  </r>
  <r>
    <n v="26"/>
    <x v="16"/>
    <n v="2697"/>
    <x v="488"/>
    <n v="795"/>
    <n v="905"/>
    <n v="1700"/>
    <n v="767"/>
  </r>
  <r>
    <n v="26"/>
    <x v="16"/>
    <n v="2698"/>
    <x v="489"/>
    <n v="498"/>
    <n v="529"/>
    <n v="1027"/>
    <n v="317"/>
  </r>
  <r>
    <n v="26"/>
    <x v="16"/>
    <n v="2699"/>
    <x v="490"/>
    <n v="7305"/>
    <n v="8072"/>
    <n v="15377"/>
    <n v="8979"/>
  </r>
  <r>
    <n v="27"/>
    <x v="17"/>
    <n v="2701"/>
    <x v="491"/>
    <n v="43855"/>
    <n v="43035"/>
    <n v="86890"/>
    <n v="31565"/>
  </r>
  <r>
    <n v="27"/>
    <x v="17"/>
    <n v="2702"/>
    <x v="492"/>
    <n v="19513"/>
    <n v="19512"/>
    <n v="39025"/>
    <n v="14443"/>
  </r>
  <r>
    <n v="27"/>
    <x v="17"/>
    <n v="2703"/>
    <x v="493"/>
    <n v="27531"/>
    <n v="27366"/>
    <n v="54897"/>
    <n v="17397"/>
  </r>
  <r>
    <n v="27"/>
    <x v="17"/>
    <n v="2704"/>
    <x v="494"/>
    <n v="20169"/>
    <n v="20167"/>
    <n v="40336"/>
    <n v="15723"/>
  </r>
  <r>
    <n v="27"/>
    <x v="17"/>
    <n v="2705"/>
    <x v="495"/>
    <n v="38371"/>
    <n v="38083"/>
    <n v="76454"/>
    <n v="28513"/>
  </r>
  <r>
    <n v="27"/>
    <x v="17"/>
    <n v="2706"/>
    <x v="496"/>
    <n v="37252"/>
    <n v="38574"/>
    <n v="75826"/>
    <n v="39533"/>
  </r>
  <r>
    <n v="27"/>
    <x v="17"/>
    <n v="2707"/>
    <x v="497"/>
    <n v="25387"/>
    <n v="25478"/>
    <n v="50865"/>
    <n v="17217"/>
  </r>
  <r>
    <n v="27"/>
    <x v="17"/>
    <n v="2708"/>
    <x v="498"/>
    <n v="13463"/>
    <n v="13784"/>
    <n v="27247"/>
    <n v="8919"/>
  </r>
  <r>
    <n v="27"/>
    <x v="17"/>
    <n v="2709"/>
    <x v="499"/>
    <n v="12642"/>
    <n v="12503"/>
    <n v="25145"/>
    <n v="10915"/>
  </r>
  <r>
    <n v="27"/>
    <x v="17"/>
    <n v="2791"/>
    <x v="500"/>
    <n v="5159"/>
    <n v="5316"/>
    <n v="10475"/>
    <n v="5329"/>
  </r>
  <r>
    <n v="27"/>
    <x v="17"/>
    <n v="2792"/>
    <x v="501"/>
    <n v="2344"/>
    <n v="2412"/>
    <n v="4756"/>
    <n v="2484"/>
  </r>
  <r>
    <n v="27"/>
    <x v="17"/>
    <n v="2793"/>
    <x v="502"/>
    <n v="2506"/>
    <n v="2973"/>
    <n v="5479"/>
    <n v="3154"/>
  </r>
  <r>
    <n v="27"/>
    <x v="17"/>
    <n v="2794"/>
    <x v="503"/>
    <n v="9884"/>
    <n v="10404"/>
    <n v="20288"/>
    <n v="10328"/>
  </r>
  <r>
    <n v="27"/>
    <x v="17"/>
    <n v="2795"/>
    <x v="504"/>
    <n v="1220"/>
    <n v="1252"/>
    <n v="2472"/>
    <n v="1209"/>
  </r>
  <r>
    <n v="27"/>
    <x v="17"/>
    <n v="2796"/>
    <x v="505"/>
    <n v="1311"/>
    <n v="1376"/>
    <n v="2687"/>
    <n v="1253"/>
  </r>
  <r>
    <n v="27"/>
    <x v="17"/>
    <n v="2797"/>
    <x v="506"/>
    <n v="2191"/>
    <n v="1871"/>
    <n v="4062"/>
    <n v="1723"/>
  </r>
  <r>
    <n v="27"/>
    <x v="17"/>
    <n v="2798"/>
    <x v="507"/>
    <n v="9129"/>
    <n v="7941"/>
    <n v="17070"/>
    <n v="11857"/>
  </r>
  <r>
    <n v="27"/>
    <x v="17"/>
    <n v="2799"/>
    <x v="508"/>
    <n v="8714"/>
    <n v="9554"/>
    <n v="18268"/>
    <n v="12290"/>
  </r>
  <r>
    <n v="30"/>
    <x v="18"/>
    <n v="3001"/>
    <x v="509"/>
    <n v="108399"/>
    <n v="120739"/>
    <n v="229138"/>
    <n v="116113"/>
  </r>
  <r>
    <n v="30"/>
    <x v="18"/>
    <n v="3002"/>
    <x v="510"/>
    <n v="39574"/>
    <n v="40656"/>
    <n v="80230"/>
    <n v="32003"/>
  </r>
  <r>
    <n v="30"/>
    <x v="18"/>
    <n v="3003"/>
    <x v="511"/>
    <n v="28111"/>
    <n v="28556"/>
    <n v="56667"/>
    <n v="18150"/>
  </r>
  <r>
    <n v="30"/>
    <x v="18"/>
    <n v="3004"/>
    <x v="512"/>
    <n v="36135"/>
    <n v="37162"/>
    <n v="73297"/>
    <n v="22682"/>
  </r>
  <r>
    <n v="30"/>
    <x v="18"/>
    <n v="3005"/>
    <x v="513"/>
    <n v="8406"/>
    <n v="8616"/>
    <n v="17022"/>
    <n v="5393"/>
  </r>
  <r>
    <n v="30"/>
    <x v="18"/>
    <n v="3006"/>
    <x v="514"/>
    <n v="33437"/>
    <n v="33952"/>
    <n v="67389"/>
    <n v="20221"/>
  </r>
  <r>
    <n v="30"/>
    <x v="18"/>
    <n v="3007"/>
    <x v="515"/>
    <n v="24460"/>
    <n v="26217"/>
    <n v="50677"/>
    <n v="20530"/>
  </r>
  <r>
    <n v="30"/>
    <x v="18"/>
    <n v="3008"/>
    <x v="516"/>
    <n v="53845"/>
    <n v="55407"/>
    <n v="109252"/>
    <n v="36691"/>
  </r>
  <r>
    <n v="30"/>
    <x v="18"/>
    <n v="3009"/>
    <x v="517"/>
    <n v="26399"/>
    <n v="27681"/>
    <n v="54080"/>
    <n v="17931"/>
  </r>
  <r>
    <n v="30"/>
    <x v="18"/>
    <n v="3010"/>
    <x v="518"/>
    <n v="41140"/>
    <n v="42793"/>
    <n v="83933"/>
    <n v="26637"/>
  </r>
  <r>
    <n v="30"/>
    <x v="18"/>
    <n v="3011"/>
    <x v="519"/>
    <n v="16446"/>
    <n v="16614"/>
    <n v="33060"/>
    <n v="10502"/>
  </r>
  <r>
    <n v="30"/>
    <x v="18"/>
    <n v="3012"/>
    <x v="520"/>
    <n v="33287"/>
    <n v="33337"/>
    <n v="66624"/>
    <n v="20304"/>
  </r>
  <r>
    <n v="30"/>
    <x v="18"/>
    <n v="3013"/>
    <x v="521"/>
    <n v="34669"/>
    <n v="35404"/>
    <n v="70073"/>
    <n v="20701"/>
  </r>
  <r>
    <n v="30"/>
    <x v="18"/>
    <n v="3014"/>
    <x v="522"/>
    <n v="44724"/>
    <n v="47140"/>
    <n v="91864"/>
    <n v="34171"/>
  </r>
  <r>
    <n v="30"/>
    <x v="18"/>
    <n v="3015"/>
    <x v="523"/>
    <n v="58151"/>
    <n v="60356"/>
    <n v="118507"/>
    <n v="41333"/>
  </r>
  <r>
    <n v="30"/>
    <x v="18"/>
    <n v="3016"/>
    <x v="524"/>
    <n v="34832"/>
    <n v="34796"/>
    <n v="69628"/>
    <n v="20736"/>
  </r>
  <r>
    <n v="30"/>
    <x v="18"/>
    <n v="3017"/>
    <x v="525"/>
    <n v="36238"/>
    <n v="36781"/>
    <n v="73019"/>
    <n v="21234"/>
  </r>
  <r>
    <n v="30"/>
    <x v="18"/>
    <n v="3018"/>
    <x v="526"/>
    <n v="35651"/>
    <n v="37445"/>
    <n v="73096"/>
    <n v="31810"/>
  </r>
  <r>
    <n v="30"/>
    <x v="18"/>
    <n v="3019"/>
    <x v="527"/>
    <n v="12785"/>
    <n v="13358"/>
    <n v="26143"/>
    <n v="9239"/>
  </r>
  <r>
    <n v="30"/>
    <x v="18"/>
    <n v="3020"/>
    <x v="528"/>
    <n v="43077"/>
    <n v="43778"/>
    <n v="86855"/>
    <n v="34142"/>
  </r>
  <r>
    <n v="30"/>
    <x v="18"/>
    <n v="3021"/>
    <x v="529"/>
    <n v="62994"/>
    <n v="64563"/>
    <n v="127557"/>
    <n v="74213"/>
  </r>
  <r>
    <n v="30"/>
    <x v="18"/>
    <n v="3022"/>
    <x v="530"/>
    <n v="29934"/>
    <n v="30600"/>
    <n v="60534"/>
    <n v="19625"/>
  </r>
  <r>
    <n v="30"/>
    <x v="18"/>
    <n v="3023"/>
    <x v="531"/>
    <n v="17766"/>
    <n v="18253"/>
    <n v="36019"/>
    <n v="11203"/>
  </r>
  <r>
    <n v="30"/>
    <x v="18"/>
    <n v="3024"/>
    <x v="532"/>
    <n v="10069"/>
    <n v="10404"/>
    <n v="20473"/>
    <n v="6008"/>
  </r>
  <r>
    <n v="30"/>
    <x v="18"/>
    <n v="3025"/>
    <x v="533"/>
    <n v="21848"/>
    <n v="22268"/>
    <n v="44116"/>
    <n v="21028"/>
  </r>
  <r>
    <n v="30"/>
    <x v="18"/>
    <n v="3026"/>
    <x v="534"/>
    <n v="12742"/>
    <n v="12606"/>
    <n v="25348"/>
    <n v="9024"/>
  </r>
  <r>
    <n v="30"/>
    <x v="18"/>
    <n v="3027"/>
    <x v="535"/>
    <n v="9748"/>
    <n v="9623"/>
    <n v="19371"/>
    <n v="5785"/>
  </r>
  <r>
    <n v="30"/>
    <x v="18"/>
    <n v="3028"/>
    <x v="536"/>
    <n v="18257"/>
    <n v="18482"/>
    <n v="36739"/>
    <n v="12954"/>
  </r>
  <r>
    <n v="30"/>
    <x v="18"/>
    <n v="3029"/>
    <x v="537"/>
    <n v="13805"/>
    <n v="13968"/>
    <n v="27773"/>
    <n v="7919"/>
  </r>
  <r>
    <n v="30"/>
    <x v="18"/>
    <n v="3030"/>
    <x v="538"/>
    <n v="10457"/>
    <n v="10695"/>
    <n v="21152"/>
    <n v="6761"/>
  </r>
  <r>
    <n v="30"/>
    <x v="18"/>
    <n v="3031"/>
    <x v="539"/>
    <n v="9793"/>
    <n v="9908"/>
    <n v="19701"/>
    <n v="6326"/>
  </r>
  <r>
    <n v="30"/>
    <x v="18"/>
    <n v="3032"/>
    <x v="267"/>
    <n v="15158"/>
    <n v="15898"/>
    <n v="31056"/>
    <n v="9976"/>
  </r>
  <r>
    <n v="30"/>
    <x v="18"/>
    <n v="3035"/>
    <x v="540"/>
    <n v="7828"/>
    <n v="8435"/>
    <n v="16263"/>
    <n v="8218"/>
  </r>
  <r>
    <n v="30"/>
    <x v="18"/>
    <n v="3037"/>
    <x v="541"/>
    <n v="3981"/>
    <n v="4054"/>
    <n v="8035"/>
    <n v="2461"/>
  </r>
  <r>
    <n v="30"/>
    <x v="18"/>
    <n v="3038"/>
    <x v="542"/>
    <n v="6623"/>
    <n v="6672"/>
    <n v="13295"/>
    <n v="5364"/>
  </r>
  <r>
    <n v="30"/>
    <x v="18"/>
    <n v="3039"/>
    <x v="543"/>
    <n v="4182"/>
    <n v="4335"/>
    <n v="8517"/>
    <n v="2743"/>
  </r>
  <r>
    <n v="30"/>
    <x v="18"/>
    <n v="3040"/>
    <x v="544"/>
    <n v="6402"/>
    <n v="6494"/>
    <n v="12896"/>
    <n v="3754"/>
  </r>
  <r>
    <n v="30"/>
    <x v="18"/>
    <n v="3041"/>
    <x v="545"/>
    <n v="4266"/>
    <n v="4501"/>
    <n v="8767"/>
    <n v="2853"/>
  </r>
  <r>
    <n v="30"/>
    <x v="18"/>
    <n v="3042"/>
    <x v="546"/>
    <n v="3801"/>
    <n v="3864"/>
    <n v="7665"/>
    <n v="2574"/>
  </r>
  <r>
    <n v="30"/>
    <x v="18"/>
    <n v="3043"/>
    <x v="547"/>
    <n v="3075"/>
    <n v="3073"/>
    <n v="6148"/>
    <n v="1984"/>
  </r>
  <r>
    <n v="30"/>
    <x v="18"/>
    <n v="3044"/>
    <x v="548"/>
    <n v="5617"/>
    <n v="5797"/>
    <n v="11414"/>
    <n v="5828"/>
  </r>
  <r>
    <n v="30"/>
    <x v="18"/>
    <n v="3045"/>
    <x v="549"/>
    <n v="4571"/>
    <n v="4675"/>
    <n v="9246"/>
    <n v="4640"/>
  </r>
  <r>
    <n v="30"/>
    <x v="18"/>
    <n v="3046"/>
    <x v="550"/>
    <n v="2340"/>
    <n v="2374"/>
    <n v="4714"/>
    <n v="1483"/>
  </r>
  <r>
    <n v="30"/>
    <x v="18"/>
    <n v="3047"/>
    <x v="551"/>
    <n v="1741"/>
    <n v="1916"/>
    <n v="3657"/>
    <n v="1375"/>
  </r>
  <r>
    <n v="30"/>
    <x v="18"/>
    <n v="3048"/>
    <x v="552"/>
    <n v="6661"/>
    <n v="6789"/>
    <n v="13450"/>
    <n v="12435"/>
  </r>
  <r>
    <n v="30"/>
    <x v="18"/>
    <n v="3049"/>
    <x v="553"/>
    <n v="14775"/>
    <n v="14425"/>
    <n v="29200"/>
    <n v="14148"/>
  </r>
  <r>
    <n v="30"/>
    <x v="18"/>
    <n v="3050"/>
    <x v="554"/>
    <n v="13224"/>
    <n v="14713"/>
    <n v="27937"/>
    <n v="14664"/>
  </r>
  <r>
    <n v="30"/>
    <x v="18"/>
    <n v="3051"/>
    <x v="555"/>
    <n v="5586"/>
    <n v="5821"/>
    <n v="11407"/>
    <n v="5927"/>
  </r>
  <r>
    <n v="30"/>
    <x v="18"/>
    <n v="3052"/>
    <x v="556"/>
    <n v="4624"/>
    <n v="5106"/>
    <n v="9730"/>
    <n v="5494"/>
  </r>
  <r>
    <n v="30"/>
    <x v="18"/>
    <n v="3053"/>
    <x v="557"/>
    <n v="9494"/>
    <n v="3994"/>
    <n v="13488"/>
    <n v="11306"/>
  </r>
  <r>
    <n v="30"/>
    <x v="18"/>
    <n v="3054"/>
    <x v="489"/>
    <n v="2430"/>
    <n v="2611"/>
    <n v="5041"/>
    <n v="2195"/>
  </r>
  <r>
    <n v="30"/>
    <x v="18"/>
    <n v="3055"/>
    <x v="558"/>
    <n v="1754"/>
    <n v="1838"/>
    <n v="3592"/>
    <n v="1559"/>
  </r>
  <r>
    <n v="30"/>
    <x v="18"/>
    <n v="3056"/>
    <x v="559"/>
    <n v="1147"/>
    <n v="1194"/>
    <n v="2341"/>
    <n v="895"/>
  </r>
  <r>
    <n v="30"/>
    <x v="18"/>
    <n v="3057"/>
    <x v="560"/>
    <n v="2241"/>
    <n v="2310"/>
    <n v="4551"/>
    <n v="1955"/>
  </r>
  <r>
    <n v="30"/>
    <x v="18"/>
    <n v="3058"/>
    <x v="561"/>
    <n v="1925"/>
    <n v="2050"/>
    <n v="3975"/>
    <n v="1694"/>
  </r>
  <r>
    <n v="30"/>
    <x v="18"/>
    <n v="3059"/>
    <x v="562"/>
    <n v="887"/>
    <n v="1000"/>
    <n v="1887"/>
    <n v="981"/>
  </r>
  <r>
    <n v="30"/>
    <x v="18"/>
    <n v="3060"/>
    <x v="563"/>
    <n v="2050"/>
    <n v="2180"/>
    <n v="4230"/>
    <n v="1680"/>
  </r>
  <r>
    <n v="30"/>
    <x v="18"/>
    <n v="3061"/>
    <x v="564"/>
    <n v="2422"/>
    <n v="2515"/>
    <n v="4937"/>
    <n v="2804"/>
  </r>
  <r>
    <n v="30"/>
    <x v="18"/>
    <n v="3062"/>
    <x v="565"/>
    <n v="7536"/>
    <n v="8510"/>
    <n v="16046"/>
    <n v="9816"/>
  </r>
  <r>
    <n v="30"/>
    <x v="18"/>
    <n v="3063"/>
    <x v="566"/>
    <n v="1915"/>
    <n v="2105"/>
    <n v="4020"/>
    <n v="2308"/>
  </r>
  <r>
    <n v="30"/>
    <x v="18"/>
    <n v="3064"/>
    <x v="567"/>
    <n v="1945"/>
    <n v="1648"/>
    <n v="3593"/>
    <n v="1774"/>
  </r>
  <r>
    <n v="30"/>
    <x v="18"/>
    <n v="3065"/>
    <x v="568"/>
    <n v="2095"/>
    <n v="2262"/>
    <n v="4357"/>
    <n v="2381"/>
  </r>
  <r>
    <n v="30"/>
    <x v="18"/>
    <n v="3066"/>
    <x v="569"/>
    <n v="4551"/>
    <n v="5073"/>
    <n v="9624"/>
    <n v="6482"/>
  </r>
  <r>
    <n v="30"/>
    <x v="18"/>
    <n v="3067"/>
    <x v="570"/>
    <n v="1263"/>
    <n v="1422"/>
    <n v="2685"/>
    <n v="1545"/>
  </r>
  <r>
    <n v="30"/>
    <x v="18"/>
    <n v="3068"/>
    <x v="571"/>
    <n v="4155"/>
    <n v="4430"/>
    <n v="8585"/>
    <n v="3953"/>
  </r>
  <r>
    <n v="30"/>
    <x v="18"/>
    <n v="3069"/>
    <x v="572"/>
    <n v="1355"/>
    <n v="1373"/>
    <n v="2728"/>
    <n v="824"/>
  </r>
  <r>
    <n v="30"/>
    <x v="18"/>
    <n v="3070"/>
    <x v="573"/>
    <n v="1412"/>
    <n v="1595"/>
    <n v="3007"/>
    <n v="1722"/>
  </r>
  <r>
    <n v="30"/>
    <x v="18"/>
    <n v="3071"/>
    <x v="574"/>
    <n v="3446"/>
    <n v="4037"/>
    <n v="7483"/>
    <n v="2940"/>
  </r>
  <r>
    <n v="30"/>
    <x v="18"/>
    <n v="3072"/>
    <x v="575"/>
    <n v="6190"/>
    <n v="7085"/>
    <n v="13275"/>
    <n v="7210"/>
  </r>
  <r>
    <n v="30"/>
    <x v="18"/>
    <n v="3073"/>
    <x v="576"/>
    <n v="2534"/>
    <n v="2644"/>
    <n v="5178"/>
    <n v="2004"/>
  </r>
  <r>
    <n v="30"/>
    <x v="18"/>
    <n v="3074"/>
    <x v="577"/>
    <n v="2899"/>
    <n v="3031"/>
    <n v="5930"/>
    <n v="3224"/>
  </r>
  <r>
    <n v="30"/>
    <x v="18"/>
    <n v="3075"/>
    <x v="578"/>
    <n v="2220"/>
    <n v="2209"/>
    <n v="4429"/>
    <n v="1517"/>
  </r>
  <r>
    <n v="30"/>
    <x v="18"/>
    <n v="3076"/>
    <x v="579"/>
    <n v="2379"/>
    <n v="2606"/>
    <n v="4985"/>
    <n v="1981"/>
  </r>
  <r>
    <n v="30"/>
    <x v="18"/>
    <n v="3077"/>
    <x v="580"/>
    <n v="941"/>
    <n v="938"/>
    <n v="1879"/>
    <n v="621"/>
  </r>
  <r>
    <n v="30"/>
    <x v="18"/>
    <n v="3078"/>
    <x v="581"/>
    <n v="1507"/>
    <n v="1689"/>
    <n v="3196"/>
    <n v="1382"/>
  </r>
  <r>
    <n v="30"/>
    <x v="18"/>
    <n v="3079"/>
    <x v="582"/>
    <n v="1369"/>
    <n v="1590"/>
    <n v="2959"/>
    <n v="1413"/>
  </r>
  <r>
    <n v="30"/>
    <x v="18"/>
    <n v="3080"/>
    <x v="583"/>
    <n v="2484"/>
    <n v="2631"/>
    <n v="5115"/>
    <n v="1869"/>
  </r>
  <r>
    <n v="30"/>
    <x v="18"/>
    <n v="3081"/>
    <x v="584"/>
    <n v="1935"/>
    <n v="2088"/>
    <n v="4023"/>
    <n v="1405"/>
  </r>
  <r>
    <n v="30"/>
    <x v="18"/>
    <n v="3082"/>
    <x v="585"/>
    <n v="2765"/>
    <n v="3197"/>
    <n v="5962"/>
    <n v="4132"/>
  </r>
  <r>
    <n v="30"/>
    <x v="18"/>
    <n v="3083"/>
    <x v="586"/>
    <n v="4794"/>
    <n v="5107"/>
    <n v="9901"/>
    <n v="4640"/>
  </r>
  <r>
    <n v="30"/>
    <x v="18"/>
    <n v="3084"/>
    <x v="587"/>
    <n v="5869"/>
    <n v="6500"/>
    <n v="12369"/>
    <n v="5709"/>
  </r>
  <r>
    <n v="30"/>
    <x v="18"/>
    <n v="3085"/>
    <x v="588"/>
    <n v="1785"/>
    <n v="1968"/>
    <n v="3753"/>
    <n v="1705"/>
  </r>
  <r>
    <n v="30"/>
    <x v="18"/>
    <n v="3086"/>
    <x v="589"/>
    <n v="1560"/>
    <n v="1790"/>
    <n v="3350"/>
    <n v="1287"/>
  </r>
  <r>
    <n v="30"/>
    <x v="18"/>
    <n v="3087"/>
    <x v="590"/>
    <n v="1026"/>
    <n v="1140"/>
    <n v="2166"/>
    <n v="1010"/>
  </r>
  <r>
    <n v="30"/>
    <x v="18"/>
    <n v="3088"/>
    <x v="591"/>
    <n v="1307"/>
    <n v="1381"/>
    <n v="2688"/>
    <n v="913"/>
  </r>
  <r>
    <n v="30"/>
    <x v="18"/>
    <n v="3089"/>
    <x v="592"/>
    <n v="3613"/>
    <n v="3857"/>
    <n v="7470"/>
    <n v="3350"/>
  </r>
  <r>
    <n v="30"/>
    <x v="18"/>
    <n v="3090"/>
    <x v="593"/>
    <n v="2799"/>
    <n v="2879"/>
    <n v="5678"/>
    <n v="1869"/>
  </r>
  <r>
    <n v="30"/>
    <x v="18"/>
    <n v="3091"/>
    <x v="594"/>
    <n v="1794"/>
    <n v="1858"/>
    <n v="3652"/>
    <n v="1207"/>
  </r>
  <r>
    <n v="30"/>
    <x v="18"/>
    <n v="3092"/>
    <x v="595"/>
    <n v="2625"/>
    <n v="3016"/>
    <n v="5641"/>
    <n v="3088"/>
  </r>
  <r>
    <n v="30"/>
    <x v="18"/>
    <n v="3093"/>
    <x v="596"/>
    <n v="2836"/>
    <n v="3166"/>
    <n v="6002"/>
    <n v="2511"/>
  </r>
  <r>
    <n v="30"/>
    <x v="18"/>
    <n v="3094"/>
    <x v="597"/>
    <n v="8412"/>
    <n v="8782"/>
    <n v="17194"/>
    <n v="10395"/>
  </r>
  <r>
    <n v="30"/>
    <x v="18"/>
    <n v="3095"/>
    <x v="598"/>
    <n v="3215"/>
    <n v="3745"/>
    <n v="6960"/>
    <n v="4784"/>
  </r>
  <r>
    <n v="30"/>
    <x v="18"/>
    <n v="3096"/>
    <x v="599"/>
    <n v="4472"/>
    <n v="4817"/>
    <n v="9289"/>
    <n v="4176"/>
  </r>
  <r>
    <n v="30"/>
    <x v="18"/>
    <n v="3097"/>
    <x v="600"/>
    <n v="6207"/>
    <n v="6813"/>
    <n v="13020"/>
    <n v="7403"/>
  </r>
  <r>
    <n v="30"/>
    <x v="18"/>
    <n v="3098"/>
    <x v="601"/>
    <n v="15025"/>
    <n v="16995"/>
    <n v="32020"/>
    <n v="19408"/>
  </r>
  <r>
    <n v="30"/>
    <x v="18"/>
    <n v="3099"/>
    <x v="602"/>
    <n v="52544"/>
    <n v="60640"/>
    <n v="113184"/>
    <n v="73265"/>
  </r>
  <r>
    <n v="31"/>
    <x v="19"/>
    <n v="3101"/>
    <x v="603"/>
    <n v="83803"/>
    <n v="86137"/>
    <n v="169940"/>
    <n v="53568"/>
  </r>
  <r>
    <n v="31"/>
    <x v="19"/>
    <n v="3102"/>
    <x v="604"/>
    <n v="29318"/>
    <n v="29279"/>
    <n v="58597"/>
    <n v="16997"/>
  </r>
  <r>
    <n v="31"/>
    <x v="19"/>
    <n v="3103"/>
    <x v="605"/>
    <n v="49754"/>
    <n v="50951"/>
    <n v="100705"/>
    <n v="27512"/>
  </r>
  <r>
    <n v="31"/>
    <x v="19"/>
    <n v="3104"/>
    <x v="606"/>
    <n v="45649"/>
    <n v="47137"/>
    <n v="92786"/>
    <n v="27856"/>
  </r>
  <r>
    <n v="31"/>
    <x v="19"/>
    <n v="3105"/>
    <x v="607"/>
    <n v="28659"/>
    <n v="28443"/>
    <n v="57102"/>
    <n v="16177"/>
  </r>
  <r>
    <n v="31"/>
    <x v="19"/>
    <n v="3106"/>
    <x v="608"/>
    <n v="9654"/>
    <n v="9699"/>
    <n v="19353"/>
    <n v="6099"/>
  </r>
  <r>
    <n v="31"/>
    <x v="19"/>
    <n v="3107"/>
    <x v="609"/>
    <n v="61874"/>
    <n v="62752"/>
    <n v="124626"/>
    <n v="38673"/>
  </r>
  <r>
    <n v="31"/>
    <x v="19"/>
    <n v="3108"/>
    <x v="610"/>
    <n v="20318"/>
    <n v="20503"/>
    <n v="40821"/>
    <n v="11926"/>
  </r>
  <r>
    <n v="31"/>
    <x v="19"/>
    <n v="3109"/>
    <x v="611"/>
    <n v="19972"/>
    <n v="20979"/>
    <n v="40951"/>
    <n v="12887"/>
  </r>
  <r>
    <n v="31"/>
    <x v="19"/>
    <n v="3110"/>
    <x v="612"/>
    <n v="56431"/>
    <n v="56820"/>
    <n v="113251"/>
    <n v="32571"/>
  </r>
  <r>
    <n v="31"/>
    <x v="19"/>
    <n v="3111"/>
    <x v="613"/>
    <n v="48724"/>
    <n v="49075"/>
    <n v="97799"/>
    <n v="28402"/>
  </r>
  <r>
    <n v="31"/>
    <x v="19"/>
    <n v="3112"/>
    <x v="614"/>
    <n v="19033"/>
    <n v="18954"/>
    <n v="37987"/>
    <n v="12268"/>
  </r>
  <r>
    <n v="31"/>
    <x v="19"/>
    <n v="3113"/>
    <x v="615"/>
    <n v="13722"/>
    <n v="14206"/>
    <n v="27928"/>
    <n v="8289"/>
  </r>
  <r>
    <n v="31"/>
    <x v="19"/>
    <n v="3114"/>
    <x v="616"/>
    <n v="17663"/>
    <n v="17493"/>
    <n v="35156"/>
    <n v="9778"/>
  </r>
  <r>
    <n v="31"/>
    <x v="19"/>
    <n v="3115"/>
    <x v="617"/>
    <n v="14032"/>
    <n v="13722"/>
    <n v="27754"/>
    <n v="7589"/>
  </r>
  <r>
    <n v="31"/>
    <x v="19"/>
    <n v="3116"/>
    <x v="618"/>
    <n v="16032"/>
    <n v="16324"/>
    <n v="32356"/>
    <n v="8675"/>
  </r>
  <r>
    <n v="31"/>
    <x v="19"/>
    <n v="3117"/>
    <x v="619"/>
    <n v="10899"/>
    <n v="10916"/>
    <n v="21815"/>
    <n v="6706"/>
  </r>
  <r>
    <n v="31"/>
    <x v="19"/>
    <n v="3118"/>
    <x v="620"/>
    <n v="17457"/>
    <n v="17614"/>
    <n v="35071"/>
    <n v="9561"/>
  </r>
  <r>
    <n v="31"/>
    <x v="19"/>
    <n v="3119"/>
    <x v="621"/>
    <n v="10671"/>
    <n v="10998"/>
    <n v="21669"/>
    <n v="6364"/>
  </r>
  <r>
    <n v="31"/>
    <x v="19"/>
    <n v="3120"/>
    <x v="622"/>
    <n v="9334"/>
    <n v="9288"/>
    <n v="18622"/>
    <n v="5981"/>
  </r>
  <r>
    <n v="31"/>
    <x v="19"/>
    <n v="3121"/>
    <x v="623"/>
    <n v="9147"/>
    <n v="9473"/>
    <n v="18620"/>
    <n v="4828"/>
  </r>
  <r>
    <n v="31"/>
    <x v="19"/>
    <n v="3122"/>
    <x v="624"/>
    <n v="13207"/>
    <n v="13437"/>
    <n v="26644"/>
    <n v="7668"/>
  </r>
  <r>
    <n v="31"/>
    <x v="19"/>
    <n v="3123"/>
    <x v="267"/>
    <n v="5997"/>
    <n v="6036"/>
    <n v="12033"/>
    <n v="3697"/>
  </r>
  <r>
    <n v="31"/>
    <x v="19"/>
    <n v="3162"/>
    <x v="625"/>
    <n v="5139"/>
    <n v="5248"/>
    <n v="10387"/>
    <n v="3072"/>
  </r>
  <r>
    <n v="31"/>
    <x v="19"/>
    <n v="3163"/>
    <x v="626"/>
    <n v="4815"/>
    <n v="4908"/>
    <n v="9723"/>
    <n v="2828"/>
  </r>
  <r>
    <n v="31"/>
    <x v="19"/>
    <n v="3164"/>
    <x v="627"/>
    <n v="6284"/>
    <n v="6268"/>
    <n v="12552"/>
    <n v="3912"/>
  </r>
  <r>
    <n v="31"/>
    <x v="19"/>
    <n v="3165"/>
    <x v="628"/>
    <n v="3879"/>
    <n v="3953"/>
    <n v="7832"/>
    <n v="2513"/>
  </r>
  <r>
    <n v="31"/>
    <x v="19"/>
    <n v="3166"/>
    <x v="629"/>
    <n v="8416"/>
    <n v="8339"/>
    <n v="16755"/>
    <n v="4408"/>
  </r>
  <r>
    <n v="31"/>
    <x v="19"/>
    <n v="3167"/>
    <x v="630"/>
    <n v="5062"/>
    <n v="5035"/>
    <n v="10097"/>
    <n v="3041"/>
  </r>
  <r>
    <n v="31"/>
    <x v="19"/>
    <n v="3168"/>
    <x v="631"/>
    <n v="4691"/>
    <n v="4696"/>
    <n v="9387"/>
    <n v="2848"/>
  </r>
  <r>
    <n v="31"/>
    <x v="19"/>
    <n v="3169"/>
    <x v="632"/>
    <n v="5857"/>
    <n v="6044"/>
    <n v="11901"/>
    <n v="3487"/>
  </r>
  <r>
    <n v="31"/>
    <x v="19"/>
    <n v="3170"/>
    <x v="633"/>
    <n v="3765"/>
    <n v="3825"/>
    <n v="7590"/>
    <n v="2274"/>
  </r>
  <r>
    <n v="31"/>
    <x v="19"/>
    <n v="3171"/>
    <x v="634"/>
    <n v="4318"/>
    <n v="4255"/>
    <n v="8573"/>
    <n v="2437"/>
  </r>
  <r>
    <n v="31"/>
    <x v="19"/>
    <n v="3174"/>
    <x v="635"/>
    <n v="1678"/>
    <n v="1704"/>
    <n v="3382"/>
    <n v="1377"/>
  </r>
  <r>
    <n v="31"/>
    <x v="19"/>
    <n v="3175"/>
    <x v="636"/>
    <n v="8337"/>
    <n v="8229"/>
    <n v="16566"/>
    <n v="4508"/>
  </r>
  <r>
    <n v="31"/>
    <x v="19"/>
    <n v="3176"/>
    <x v="637"/>
    <n v="5560"/>
    <n v="5978"/>
    <n v="11538"/>
    <n v="4047"/>
  </r>
  <r>
    <n v="31"/>
    <x v="19"/>
    <n v="3177"/>
    <x v="638"/>
    <n v="2668"/>
    <n v="2737"/>
    <n v="5405"/>
    <n v="2051"/>
  </r>
  <r>
    <n v="31"/>
    <x v="19"/>
    <n v="3178"/>
    <x v="639"/>
    <n v="4504"/>
    <n v="4668"/>
    <n v="9172"/>
    <n v="3727"/>
  </r>
  <r>
    <n v="31"/>
    <x v="19"/>
    <n v="3179"/>
    <x v="640"/>
    <n v="2054"/>
    <n v="2155"/>
    <n v="4209"/>
    <n v="1478"/>
  </r>
  <r>
    <n v="31"/>
    <x v="19"/>
    <n v="3180"/>
    <x v="641"/>
    <n v="1572"/>
    <n v="1643"/>
    <n v="3215"/>
    <n v="1111"/>
  </r>
  <r>
    <n v="31"/>
    <x v="19"/>
    <n v="3181"/>
    <x v="642"/>
    <n v="2445"/>
    <n v="2555"/>
    <n v="5000"/>
    <n v="1486"/>
  </r>
  <r>
    <n v="31"/>
    <x v="19"/>
    <n v="3182"/>
    <x v="643"/>
    <n v="3329"/>
    <n v="3293"/>
    <n v="6622"/>
    <n v="2082"/>
  </r>
  <r>
    <n v="31"/>
    <x v="19"/>
    <n v="3183"/>
    <x v="644"/>
    <n v="2316"/>
    <n v="2354"/>
    <n v="4670"/>
    <n v="1842"/>
  </r>
  <r>
    <n v="31"/>
    <x v="19"/>
    <n v="3184"/>
    <x v="645"/>
    <n v="1715"/>
    <n v="1899"/>
    <n v="3614"/>
    <n v="1739"/>
  </r>
  <r>
    <n v="31"/>
    <x v="19"/>
    <n v="3185"/>
    <x v="646"/>
    <n v="3477"/>
    <n v="3621"/>
    <n v="7098"/>
    <n v="2951"/>
  </r>
  <r>
    <n v="31"/>
    <x v="19"/>
    <n v="3186"/>
    <x v="647"/>
    <n v="5152"/>
    <n v="5570"/>
    <n v="10722"/>
    <n v="5827"/>
  </r>
  <r>
    <n v="31"/>
    <x v="19"/>
    <n v="3187"/>
    <x v="648"/>
    <n v="6159"/>
    <n v="6764"/>
    <n v="12923"/>
    <n v="6432"/>
  </r>
  <r>
    <n v="31"/>
    <x v="19"/>
    <n v="3188"/>
    <x v="649"/>
    <n v="2071"/>
    <n v="2144"/>
    <n v="4215"/>
    <n v="1294"/>
  </r>
  <r>
    <n v="31"/>
    <x v="19"/>
    <n v="3189"/>
    <x v="650"/>
    <n v="1915"/>
    <n v="2138"/>
    <n v="4053"/>
    <n v="2340"/>
  </r>
  <r>
    <n v="31"/>
    <x v="19"/>
    <n v="3190"/>
    <x v="651"/>
    <n v="1841"/>
    <n v="1952"/>
    <n v="3793"/>
    <n v="2036"/>
  </r>
  <r>
    <n v="31"/>
    <x v="19"/>
    <n v="3191"/>
    <x v="652"/>
    <n v="2372"/>
    <n v="2428"/>
    <n v="4800"/>
    <n v="1849"/>
  </r>
  <r>
    <n v="31"/>
    <x v="19"/>
    <n v="3192"/>
    <x v="653"/>
    <n v="4218"/>
    <n v="4734"/>
    <n v="8952"/>
    <n v="4195"/>
  </r>
  <r>
    <n v="31"/>
    <x v="19"/>
    <n v="3193"/>
    <x v="654"/>
    <n v="4094"/>
    <n v="4113"/>
    <n v="8207"/>
    <n v="3647"/>
  </r>
  <r>
    <n v="31"/>
    <x v="19"/>
    <n v="3194"/>
    <x v="655"/>
    <n v="4526"/>
    <n v="4938"/>
    <n v="9464"/>
    <n v="4272"/>
  </r>
  <r>
    <n v="31"/>
    <x v="19"/>
    <n v="3195"/>
    <x v="656"/>
    <n v="1516"/>
    <n v="1720"/>
    <n v="3236"/>
    <n v="1867"/>
  </r>
  <r>
    <n v="31"/>
    <x v="19"/>
    <n v="3196"/>
    <x v="657"/>
    <n v="2393"/>
    <n v="2516"/>
    <n v="4909"/>
    <n v="1890"/>
  </r>
  <r>
    <n v="31"/>
    <x v="19"/>
    <n v="3197"/>
    <x v="658"/>
    <n v="1784"/>
    <n v="1787"/>
    <n v="3571"/>
    <n v="2087"/>
  </r>
  <r>
    <n v="31"/>
    <x v="19"/>
    <n v="3198"/>
    <x v="659"/>
    <n v="9388"/>
    <n v="10676"/>
    <n v="20064"/>
    <n v="11785"/>
  </r>
  <r>
    <n v="31"/>
    <x v="19"/>
    <n v="3199"/>
    <x v="660"/>
    <n v="24570"/>
    <n v="25955"/>
    <n v="50525"/>
    <n v="31454"/>
  </r>
  <r>
    <n v="32"/>
    <x v="20"/>
    <n v="3201"/>
    <x v="661"/>
    <n v="106979"/>
    <n v="109808"/>
    <n v="216787"/>
    <n v="80692"/>
  </r>
  <r>
    <n v="32"/>
    <x v="20"/>
    <n v="3202"/>
    <x v="662"/>
    <n v="33812"/>
    <n v="33858"/>
    <n v="67670"/>
    <n v="19556"/>
  </r>
  <r>
    <n v="32"/>
    <x v="20"/>
    <n v="3203"/>
    <x v="663"/>
    <n v="45042"/>
    <n v="44937"/>
    <n v="89979"/>
    <n v="24470"/>
  </r>
  <r>
    <n v="32"/>
    <x v="20"/>
    <n v="3204"/>
    <x v="664"/>
    <n v="26848"/>
    <n v="26867"/>
    <n v="53715"/>
    <n v="14571"/>
  </r>
  <r>
    <n v="32"/>
    <x v="20"/>
    <n v="3205"/>
    <x v="665"/>
    <n v="70602"/>
    <n v="72527"/>
    <n v="143129"/>
    <n v="44228"/>
  </r>
  <r>
    <n v="32"/>
    <x v="20"/>
    <n v="3206"/>
    <x v="666"/>
    <n v="29880"/>
    <n v="29740"/>
    <n v="59620"/>
    <n v="20001"/>
  </r>
  <r>
    <n v="32"/>
    <x v="20"/>
    <n v="3207"/>
    <x v="667"/>
    <n v="42715"/>
    <n v="43096"/>
    <n v="85811"/>
    <n v="24077"/>
  </r>
  <r>
    <n v="32"/>
    <x v="20"/>
    <n v="3208"/>
    <x v="668"/>
    <n v="18980"/>
    <n v="18779"/>
    <n v="37759"/>
    <n v="11213"/>
  </r>
  <r>
    <n v="32"/>
    <x v="20"/>
    <n v="3209"/>
    <x v="669"/>
    <n v="63779"/>
    <n v="64598"/>
    <n v="128377"/>
    <n v="33821"/>
  </r>
  <r>
    <n v="32"/>
    <x v="20"/>
    <n v="3210"/>
    <x v="670"/>
    <n v="63268"/>
    <n v="62984"/>
    <n v="126252"/>
    <n v="36330"/>
  </r>
  <r>
    <n v="32"/>
    <x v="20"/>
    <n v="3211"/>
    <x v="671"/>
    <n v="13282"/>
    <n v="13264"/>
    <n v="26546"/>
    <n v="7353"/>
  </r>
  <r>
    <n v="32"/>
    <x v="20"/>
    <n v="3212"/>
    <x v="672"/>
    <n v="24836"/>
    <n v="24824"/>
    <n v="49660"/>
    <n v="12255"/>
  </r>
  <r>
    <n v="32"/>
    <x v="20"/>
    <n v="3213"/>
    <x v="673"/>
    <n v="17724"/>
    <n v="17164"/>
    <n v="34888"/>
    <n v="10269"/>
  </r>
  <r>
    <n v="32"/>
    <x v="20"/>
    <n v="3214"/>
    <x v="674"/>
    <n v="18927"/>
    <n v="18610"/>
    <n v="37537"/>
    <n v="12707"/>
  </r>
  <r>
    <n v="32"/>
    <x v="20"/>
    <n v="3215"/>
    <x v="675"/>
    <n v="23261"/>
    <n v="23039"/>
    <n v="46300"/>
    <n v="12103"/>
  </r>
  <r>
    <n v="32"/>
    <x v="20"/>
    <n v="3216"/>
    <x v="676"/>
    <n v="16615"/>
    <n v="17030"/>
    <n v="33645"/>
    <n v="10444"/>
  </r>
  <r>
    <n v="32"/>
    <x v="20"/>
    <n v="3217"/>
    <x v="677"/>
    <n v="17133"/>
    <n v="17286"/>
    <n v="34419"/>
    <n v="9065"/>
  </r>
  <r>
    <n v="32"/>
    <x v="20"/>
    <n v="3286"/>
    <x v="678"/>
    <n v="3159"/>
    <n v="3279"/>
    <n v="6438"/>
    <n v="2513"/>
  </r>
  <r>
    <n v="32"/>
    <x v="20"/>
    <n v="3287"/>
    <x v="679"/>
    <n v="1165"/>
    <n v="1151"/>
    <n v="2316"/>
    <n v="1316"/>
  </r>
  <r>
    <n v="32"/>
    <x v="20"/>
    <n v="3288"/>
    <x v="680"/>
    <n v="2012"/>
    <n v="2249"/>
    <n v="4261"/>
    <n v="1941"/>
  </r>
  <r>
    <n v="32"/>
    <x v="20"/>
    <n v="3289"/>
    <x v="681"/>
    <n v="1633"/>
    <n v="1933"/>
    <n v="3566"/>
    <n v="2424"/>
  </r>
  <r>
    <n v="32"/>
    <x v="20"/>
    <n v="3290"/>
    <x v="682"/>
    <n v="2186"/>
    <n v="2377"/>
    <n v="4563"/>
    <n v="2931"/>
  </r>
  <r>
    <n v="32"/>
    <x v="20"/>
    <n v="3291"/>
    <x v="683"/>
    <n v="2363"/>
    <n v="2523"/>
    <n v="4886"/>
    <n v="1699"/>
  </r>
  <r>
    <n v="32"/>
    <x v="20"/>
    <n v="3292"/>
    <x v="684"/>
    <n v="2475"/>
    <n v="2690"/>
    <n v="5165"/>
    <n v="2825"/>
  </r>
  <r>
    <n v="32"/>
    <x v="20"/>
    <n v="3293"/>
    <x v="685"/>
    <n v="1336"/>
    <n v="1324"/>
    <n v="2660"/>
    <n v="893"/>
  </r>
  <r>
    <n v="32"/>
    <x v="20"/>
    <n v="3294"/>
    <x v="686"/>
    <n v="2576"/>
    <n v="2943"/>
    <n v="5519"/>
    <n v="3515"/>
  </r>
  <r>
    <n v="32"/>
    <x v="20"/>
    <n v="3295"/>
    <x v="687"/>
    <n v="1888"/>
    <n v="2102"/>
    <n v="3990"/>
    <n v="2027"/>
  </r>
  <r>
    <n v="32"/>
    <x v="20"/>
    <n v="3296"/>
    <x v="688"/>
    <n v="1854"/>
    <n v="1987"/>
    <n v="3841"/>
    <n v="1852"/>
  </r>
  <r>
    <n v="32"/>
    <x v="20"/>
    <n v="3297"/>
    <x v="689"/>
    <n v="1070"/>
    <n v="1174"/>
    <n v="2244"/>
    <n v="1147"/>
  </r>
  <r>
    <n v="32"/>
    <x v="20"/>
    <n v="3298"/>
    <x v="690"/>
    <n v="954"/>
    <n v="919"/>
    <n v="1873"/>
    <n v="581"/>
  </r>
  <r>
    <n v="32"/>
    <x v="20"/>
    <n v="3299"/>
    <x v="691"/>
    <n v="16914"/>
    <n v="19915"/>
    <n v="36829"/>
    <n v="17507"/>
  </r>
  <r>
    <n v="33"/>
    <x v="21"/>
    <n v="3301"/>
    <x v="692"/>
    <n v="42715"/>
    <n v="44372"/>
    <n v="87087"/>
    <n v="28641"/>
  </r>
  <r>
    <n v="33"/>
    <x v="21"/>
    <n v="3302"/>
    <x v="693"/>
    <n v="14566"/>
    <n v="14531"/>
    <n v="29097"/>
    <n v="7868"/>
  </r>
  <r>
    <n v="33"/>
    <x v="21"/>
    <n v="3303"/>
    <x v="694"/>
    <n v="46036"/>
    <n v="46393"/>
    <n v="92429"/>
    <n v="25518"/>
  </r>
  <r>
    <n v="33"/>
    <x v="21"/>
    <n v="3304"/>
    <x v="695"/>
    <n v="91830"/>
    <n v="91592"/>
    <n v="183422"/>
    <n v="53433"/>
  </r>
  <r>
    <n v="33"/>
    <x v="21"/>
    <n v="3305"/>
    <x v="696"/>
    <n v="71639"/>
    <n v="72425"/>
    <n v="144064"/>
    <n v="36720"/>
  </r>
  <r>
    <n v="33"/>
    <x v="21"/>
    <n v="3306"/>
    <x v="697"/>
    <n v="17830"/>
    <n v="18125"/>
    <n v="35955"/>
    <n v="9420"/>
  </r>
  <r>
    <n v="33"/>
    <x v="21"/>
    <n v="3307"/>
    <x v="698"/>
    <n v="31041"/>
    <n v="31502"/>
    <n v="62543"/>
    <n v="15738"/>
  </r>
  <r>
    <n v="33"/>
    <x v="21"/>
    <n v="3308"/>
    <x v="699"/>
    <n v="34004"/>
    <n v="34507"/>
    <n v="68511"/>
    <n v="18826"/>
  </r>
  <r>
    <n v="33"/>
    <x v="21"/>
    <n v="3309"/>
    <x v="700"/>
    <n v="37070"/>
    <n v="37490"/>
    <n v="74560"/>
    <n v="21004"/>
  </r>
  <r>
    <n v="33"/>
    <x v="21"/>
    <n v="3310"/>
    <x v="701"/>
    <n v="49943"/>
    <n v="50661"/>
    <n v="100604"/>
    <n v="27568"/>
  </r>
  <r>
    <n v="33"/>
    <x v="21"/>
    <n v="3311"/>
    <x v="702"/>
    <n v="2167"/>
    <n v="2155"/>
    <n v="4322"/>
    <n v="1140"/>
  </r>
  <r>
    <n v="33"/>
    <x v="21"/>
    <n v="3312"/>
    <x v="703"/>
    <n v="19339"/>
    <n v="19256"/>
    <n v="38595"/>
    <n v="9348"/>
  </r>
  <r>
    <n v="33"/>
    <x v="21"/>
    <n v="3313"/>
    <x v="704"/>
    <n v="19720"/>
    <n v="19451"/>
    <n v="39171"/>
    <n v="12562"/>
  </r>
  <r>
    <n v="33"/>
    <x v="21"/>
    <n v="3314"/>
    <x v="705"/>
    <n v="23906"/>
    <n v="24166"/>
    <n v="48072"/>
    <n v="11885"/>
  </r>
  <r>
    <n v="33"/>
    <x v="21"/>
    <n v="3315"/>
    <x v="706"/>
    <n v="22413"/>
    <n v="21874"/>
    <n v="44287"/>
    <n v="11748"/>
  </r>
  <r>
    <n v="33"/>
    <x v="21"/>
    <n v="3316"/>
    <x v="707"/>
    <n v="20179"/>
    <n v="20019"/>
    <n v="40198"/>
    <n v="9938"/>
  </r>
  <r>
    <n v="33"/>
    <x v="21"/>
    <n v="3317"/>
    <x v="708"/>
    <n v="27506"/>
    <n v="27098"/>
    <n v="54604"/>
    <n v="16576"/>
  </r>
  <r>
    <n v="33"/>
    <x v="21"/>
    <n v="3318"/>
    <x v="709"/>
    <n v="8850"/>
    <n v="8702"/>
    <n v="17552"/>
    <n v="4620"/>
  </r>
  <r>
    <n v="33"/>
    <x v="21"/>
    <n v="3319"/>
    <x v="710"/>
    <n v="18001"/>
    <n v="17785"/>
    <n v="35786"/>
    <n v="9791"/>
  </r>
  <r>
    <n v="33"/>
    <x v="21"/>
    <n v="3320"/>
    <x v="711"/>
    <n v="15187"/>
    <n v="15508"/>
    <n v="30695"/>
    <n v="8569"/>
  </r>
  <r>
    <n v="33"/>
    <x v="21"/>
    <n v="3321"/>
    <x v="712"/>
    <n v="11700"/>
    <n v="11682"/>
    <n v="23382"/>
    <n v="5940"/>
  </r>
  <r>
    <n v="33"/>
    <x v="21"/>
    <n v="3322"/>
    <x v="713"/>
    <n v="9765"/>
    <n v="9663"/>
    <n v="19428"/>
    <n v="5606"/>
  </r>
  <r>
    <n v="33"/>
    <x v="21"/>
    <n v="3381"/>
    <x v="714"/>
    <n v="5137"/>
    <n v="5017"/>
    <n v="10154"/>
    <n v="2868"/>
  </r>
  <r>
    <n v="33"/>
    <x v="21"/>
    <n v="3382"/>
    <x v="715"/>
    <n v="4570"/>
    <n v="4392"/>
    <n v="8962"/>
    <n v="2375"/>
  </r>
  <r>
    <n v="33"/>
    <x v="21"/>
    <n v="3383"/>
    <x v="716"/>
    <n v="4306"/>
    <n v="4439"/>
    <n v="8745"/>
    <n v="2298"/>
  </r>
  <r>
    <n v="33"/>
    <x v="21"/>
    <n v="3384"/>
    <x v="717"/>
    <n v="5162"/>
    <n v="5348"/>
    <n v="10510"/>
    <n v="3175"/>
  </r>
  <r>
    <n v="33"/>
    <x v="21"/>
    <n v="3385"/>
    <x v="718"/>
    <n v="4538"/>
    <n v="4519"/>
    <n v="9057"/>
    <n v="2123"/>
  </r>
  <r>
    <n v="33"/>
    <x v="21"/>
    <n v="3386"/>
    <x v="719"/>
    <n v="1920"/>
    <n v="1952"/>
    <n v="3872"/>
    <n v="1540"/>
  </r>
  <r>
    <n v="33"/>
    <x v="21"/>
    <n v="3387"/>
    <x v="720"/>
    <n v="2242"/>
    <n v="2325"/>
    <n v="4567"/>
    <n v="1503"/>
  </r>
  <r>
    <n v="33"/>
    <x v="21"/>
    <n v="3388"/>
    <x v="721"/>
    <n v="1656"/>
    <n v="1611"/>
    <n v="3267"/>
    <n v="1110"/>
  </r>
  <r>
    <n v="33"/>
    <x v="21"/>
    <n v="3389"/>
    <x v="722"/>
    <n v="2904"/>
    <n v="3045"/>
    <n v="5949"/>
    <n v="1914"/>
  </r>
  <r>
    <n v="33"/>
    <x v="21"/>
    <n v="3390"/>
    <x v="723"/>
    <n v="1196"/>
    <n v="1314"/>
    <n v="2510"/>
    <n v="1354"/>
  </r>
  <r>
    <n v="33"/>
    <x v="21"/>
    <n v="3391"/>
    <x v="590"/>
    <n v="1831"/>
    <n v="1962"/>
    <n v="3793"/>
    <n v="2165"/>
  </r>
  <r>
    <n v="33"/>
    <x v="21"/>
    <n v="3392"/>
    <x v="724"/>
    <n v="5232"/>
    <n v="5348"/>
    <n v="10580"/>
    <n v="3936"/>
  </r>
  <r>
    <n v="33"/>
    <x v="21"/>
    <n v="3393"/>
    <x v="725"/>
    <n v="1365"/>
    <n v="1409"/>
    <n v="2774"/>
    <n v="1382"/>
  </r>
  <r>
    <n v="33"/>
    <x v="21"/>
    <n v="3394"/>
    <x v="726"/>
    <n v="5368"/>
    <n v="5399"/>
    <n v="10767"/>
    <n v="3078"/>
  </r>
  <r>
    <n v="33"/>
    <x v="21"/>
    <n v="3395"/>
    <x v="727"/>
    <n v="1994"/>
    <n v="2116"/>
    <n v="4110"/>
    <n v="2200"/>
  </r>
  <r>
    <n v="33"/>
    <x v="21"/>
    <n v="3396"/>
    <x v="728"/>
    <n v="8185"/>
    <n v="8975"/>
    <n v="17160"/>
    <n v="7867"/>
  </r>
  <r>
    <n v="33"/>
    <x v="21"/>
    <n v="3397"/>
    <x v="729"/>
    <n v="2831"/>
    <n v="3086"/>
    <n v="5917"/>
    <n v="3346"/>
  </r>
  <r>
    <n v="33"/>
    <x v="21"/>
    <n v="3398"/>
    <x v="730"/>
    <n v="3038"/>
    <n v="3171"/>
    <n v="6209"/>
    <n v="2522"/>
  </r>
  <r>
    <n v="33"/>
    <x v="21"/>
    <n v="3399"/>
    <x v="731"/>
    <n v="18197"/>
    <n v="20549"/>
    <n v="38746"/>
    <n v="21761"/>
  </r>
  <r>
    <n v="34"/>
    <x v="22"/>
    <n v="3401"/>
    <x v="732"/>
    <n v="48202"/>
    <n v="50196"/>
    <n v="98398"/>
    <n v="38838"/>
  </r>
  <r>
    <n v="34"/>
    <x v="22"/>
    <n v="3402"/>
    <x v="733"/>
    <n v="33605"/>
    <n v="33061"/>
    <n v="66666"/>
    <n v="20190"/>
  </r>
  <r>
    <n v="34"/>
    <x v="22"/>
    <n v="3403"/>
    <x v="734"/>
    <n v="18294"/>
    <n v="18033"/>
    <n v="36327"/>
    <n v="10854"/>
  </r>
  <r>
    <n v="34"/>
    <x v="22"/>
    <n v="3404"/>
    <x v="735"/>
    <n v="49824"/>
    <n v="50848"/>
    <n v="100672"/>
    <n v="29244"/>
  </r>
  <r>
    <n v="34"/>
    <x v="22"/>
    <n v="3405"/>
    <x v="736"/>
    <n v="15998"/>
    <n v="16012"/>
    <n v="32010"/>
    <n v="9534"/>
  </r>
  <r>
    <n v="34"/>
    <x v="22"/>
    <n v="3407"/>
    <x v="737"/>
    <n v="66362"/>
    <n v="65513"/>
    <n v="131875"/>
    <n v="56002"/>
  </r>
  <r>
    <n v="34"/>
    <x v="22"/>
    <n v="3408"/>
    <x v="738"/>
    <n v="26148"/>
    <n v="25499"/>
    <n v="51647"/>
    <n v="19398"/>
  </r>
  <r>
    <n v="34"/>
    <x v="22"/>
    <n v="3409"/>
    <x v="739"/>
    <n v="31041"/>
    <n v="30147"/>
    <n v="61188"/>
    <n v="21464"/>
  </r>
  <r>
    <n v="34"/>
    <x v="22"/>
    <n v="3410"/>
    <x v="740"/>
    <n v="39522"/>
    <n v="38460"/>
    <n v="77982"/>
    <n v="25208"/>
  </r>
  <r>
    <n v="34"/>
    <x v="22"/>
    <n v="3411"/>
    <x v="741"/>
    <n v="55878"/>
    <n v="55449"/>
    <n v="111327"/>
    <n v="31122"/>
  </r>
  <r>
    <n v="34"/>
    <x v="22"/>
    <n v="3412"/>
    <x v="742"/>
    <n v="18365"/>
    <n v="18154"/>
    <n v="36519"/>
    <n v="9947"/>
  </r>
  <r>
    <n v="34"/>
    <x v="22"/>
    <n v="3414"/>
    <x v="743"/>
    <n v="40336"/>
    <n v="40308"/>
    <n v="80644"/>
    <n v="24063"/>
  </r>
  <r>
    <n v="34"/>
    <x v="22"/>
    <n v="3415"/>
    <x v="744"/>
    <n v="46196"/>
    <n v="47125"/>
    <n v="93321"/>
    <n v="32952"/>
  </r>
  <r>
    <n v="34"/>
    <x v="22"/>
    <n v="3419"/>
    <x v="745"/>
    <n v="52369"/>
    <n v="51691"/>
    <n v="104060"/>
    <n v="35796"/>
  </r>
  <r>
    <n v="34"/>
    <x v="22"/>
    <n v="3420"/>
    <x v="746"/>
    <n v="15089"/>
    <n v="14662"/>
    <n v="29751"/>
    <n v="9007"/>
  </r>
  <r>
    <n v="34"/>
    <x v="22"/>
    <n v="3421"/>
    <x v="747"/>
    <n v="22824"/>
    <n v="22250"/>
    <n v="45074"/>
    <n v="12629"/>
  </r>
  <r>
    <n v="34"/>
    <x v="22"/>
    <n v="3422"/>
    <x v="748"/>
    <n v="26961"/>
    <n v="26871"/>
    <n v="53832"/>
    <n v="15617"/>
  </r>
  <r>
    <n v="34"/>
    <x v="22"/>
    <n v="3424"/>
    <x v="749"/>
    <n v="13596"/>
    <n v="13468"/>
    <n v="27064"/>
    <n v="8413"/>
  </r>
  <r>
    <n v="34"/>
    <x v="22"/>
    <n v="3425"/>
    <x v="750"/>
    <n v="22491"/>
    <n v="21756"/>
    <n v="44247"/>
    <n v="15417"/>
  </r>
  <r>
    <n v="34"/>
    <x v="22"/>
    <n v="3426"/>
    <x v="751"/>
    <n v="14736"/>
    <n v="14383"/>
    <n v="29119"/>
    <n v="9519"/>
  </r>
  <r>
    <n v="34"/>
    <x v="22"/>
    <n v="3429"/>
    <x v="752"/>
    <n v="10929"/>
    <n v="10288"/>
    <n v="21217"/>
    <n v="7580"/>
  </r>
  <r>
    <n v="34"/>
    <x v="22"/>
    <n v="3430"/>
    <x v="753"/>
    <n v="19484"/>
    <n v="19455"/>
    <n v="38939"/>
    <n v="11938"/>
  </r>
  <r>
    <n v="34"/>
    <x v="22"/>
    <n v="3431"/>
    <x v="754"/>
    <n v="14063"/>
    <n v="13966"/>
    <n v="28029"/>
    <n v="8372"/>
  </r>
  <r>
    <n v="34"/>
    <x v="22"/>
    <n v="3432"/>
    <x v="755"/>
    <n v="15631"/>
    <n v="15518"/>
    <n v="31149"/>
    <n v="9799"/>
  </r>
  <r>
    <n v="34"/>
    <x v="22"/>
    <n v="3433"/>
    <x v="756"/>
    <n v="16716"/>
    <n v="16477"/>
    <n v="33193"/>
    <n v="11459"/>
  </r>
  <r>
    <n v="34"/>
    <x v="22"/>
    <n v="3463"/>
    <x v="757"/>
    <n v="5893"/>
    <n v="5844"/>
    <n v="11737"/>
    <n v="4636"/>
  </r>
  <r>
    <n v="34"/>
    <x v="22"/>
    <n v="3464"/>
    <x v="758"/>
    <n v="4065"/>
    <n v="4216"/>
    <n v="8281"/>
    <n v="3472"/>
  </r>
  <r>
    <n v="34"/>
    <x v="22"/>
    <n v="3465"/>
    <x v="759"/>
    <n v="6541"/>
    <n v="6598"/>
    <n v="13139"/>
    <n v="3751"/>
  </r>
  <r>
    <n v="34"/>
    <x v="22"/>
    <n v="3466"/>
    <x v="760"/>
    <n v="4430"/>
    <n v="4591"/>
    <n v="9021"/>
    <n v="3396"/>
  </r>
  <r>
    <n v="34"/>
    <x v="22"/>
    <n v="3467"/>
    <x v="761"/>
    <n v="4521"/>
    <n v="7138"/>
    <n v="11659"/>
    <n v="3572"/>
  </r>
  <r>
    <n v="34"/>
    <x v="22"/>
    <n v="3468"/>
    <x v="762"/>
    <n v="4895"/>
    <n v="5029"/>
    <n v="9924"/>
    <n v="3535"/>
  </r>
  <r>
    <n v="34"/>
    <x v="22"/>
    <n v="3469"/>
    <x v="763"/>
    <n v="4754"/>
    <n v="4721"/>
    <n v="9475"/>
    <n v="3349"/>
  </r>
  <r>
    <n v="34"/>
    <x v="22"/>
    <n v="3470"/>
    <x v="764"/>
    <n v="6164"/>
    <n v="6246"/>
    <n v="12410"/>
    <n v="4386"/>
  </r>
  <r>
    <n v="34"/>
    <x v="22"/>
    <n v="3471"/>
    <x v="765"/>
    <n v="4904"/>
    <n v="5550"/>
    <n v="10454"/>
    <n v="4360"/>
  </r>
  <r>
    <n v="34"/>
    <x v="22"/>
    <n v="3472"/>
    <x v="766"/>
    <n v="6755"/>
    <n v="6567"/>
    <n v="13322"/>
    <n v="4193"/>
  </r>
  <r>
    <n v="34"/>
    <x v="22"/>
    <n v="3473"/>
    <x v="767"/>
    <n v="3919"/>
    <n v="3961"/>
    <n v="7880"/>
    <n v="3123"/>
  </r>
  <r>
    <n v="34"/>
    <x v="22"/>
    <n v="3474"/>
    <x v="768"/>
    <n v="6899"/>
    <n v="6736"/>
    <n v="13635"/>
    <n v="5374"/>
  </r>
  <r>
    <n v="34"/>
    <x v="22"/>
    <n v="3475"/>
    <x v="769"/>
    <n v="19714"/>
    <n v="22013"/>
    <n v="41727"/>
    <n v="22883"/>
  </r>
  <r>
    <n v="34"/>
    <x v="22"/>
    <n v="3476"/>
    <x v="770"/>
    <n v="13627"/>
    <n v="11324"/>
    <n v="24951"/>
    <n v="11955"/>
  </r>
  <r>
    <n v="34"/>
    <x v="22"/>
    <n v="3477"/>
    <x v="771"/>
    <n v="3111"/>
    <n v="3206"/>
    <n v="6317"/>
    <n v="1951"/>
  </r>
  <r>
    <n v="34"/>
    <x v="22"/>
    <n v="3478"/>
    <x v="772"/>
    <n v="1849"/>
    <n v="1947"/>
    <n v="3796"/>
    <n v="1974"/>
  </r>
  <r>
    <n v="34"/>
    <x v="22"/>
    <n v="3479"/>
    <x v="773"/>
    <n v="1446"/>
    <n v="1507"/>
    <n v="2953"/>
    <n v="1234"/>
  </r>
  <r>
    <n v="34"/>
    <x v="22"/>
    <n v="3480"/>
    <x v="774"/>
    <n v="1584"/>
    <n v="1616"/>
    <n v="3200"/>
    <n v="1164"/>
  </r>
  <r>
    <n v="34"/>
    <x v="22"/>
    <n v="3481"/>
    <x v="775"/>
    <n v="1435"/>
    <n v="1568"/>
    <n v="3003"/>
    <n v="1058"/>
  </r>
  <r>
    <n v="34"/>
    <x v="22"/>
    <n v="3482"/>
    <x v="776"/>
    <n v="1489"/>
    <n v="1566"/>
    <n v="3055"/>
    <n v="1012"/>
  </r>
  <r>
    <n v="34"/>
    <x v="22"/>
    <n v="3483"/>
    <x v="777"/>
    <n v="1407"/>
    <n v="1543"/>
    <n v="2950"/>
    <n v="1656"/>
  </r>
  <r>
    <n v="34"/>
    <x v="22"/>
    <n v="3484"/>
    <x v="778"/>
    <n v="2098"/>
    <n v="2060"/>
    <n v="4158"/>
    <n v="1552"/>
  </r>
  <r>
    <n v="34"/>
    <x v="22"/>
    <n v="3485"/>
    <x v="779"/>
    <n v="4265"/>
    <n v="4522"/>
    <n v="8787"/>
    <n v="4544"/>
  </r>
  <r>
    <n v="34"/>
    <x v="22"/>
    <n v="3486"/>
    <x v="780"/>
    <n v="2108"/>
    <n v="2235"/>
    <n v="4343"/>
    <n v="2192"/>
  </r>
  <r>
    <n v="34"/>
    <x v="22"/>
    <n v="3487"/>
    <x v="781"/>
    <n v="4260"/>
    <n v="4382"/>
    <n v="8642"/>
    <n v="3525"/>
  </r>
  <r>
    <n v="34"/>
    <x v="22"/>
    <n v="3488"/>
    <x v="782"/>
    <n v="3391"/>
    <n v="3423"/>
    <n v="6814"/>
    <n v="2736"/>
  </r>
  <r>
    <n v="34"/>
    <x v="22"/>
    <n v="3489"/>
    <x v="783"/>
    <n v="6103"/>
    <n v="6644"/>
    <n v="12747"/>
    <n v="7011"/>
  </r>
  <r>
    <n v="34"/>
    <x v="22"/>
    <n v="3490"/>
    <x v="784"/>
    <n v="3259"/>
    <n v="3278"/>
    <n v="6537"/>
    <n v="1938"/>
  </r>
  <r>
    <n v="34"/>
    <x v="22"/>
    <n v="3491"/>
    <x v="785"/>
    <n v="1500"/>
    <n v="1603"/>
    <n v="3103"/>
    <n v="1049"/>
  </r>
  <r>
    <n v="34"/>
    <x v="22"/>
    <n v="3492"/>
    <x v="786"/>
    <n v="2817"/>
    <n v="3121"/>
    <n v="5938"/>
    <n v="2640"/>
  </r>
  <r>
    <n v="34"/>
    <x v="22"/>
    <n v="3493"/>
    <x v="787"/>
    <n v="2116"/>
    <n v="2261"/>
    <n v="4377"/>
    <n v="2201"/>
  </r>
  <r>
    <n v="34"/>
    <x v="22"/>
    <n v="3494"/>
    <x v="788"/>
    <n v="1438"/>
    <n v="1459"/>
    <n v="2897"/>
    <n v="1382"/>
  </r>
  <r>
    <n v="34"/>
    <x v="22"/>
    <n v="3495"/>
    <x v="789"/>
    <n v="2016"/>
    <n v="2009"/>
    <n v="4025"/>
    <n v="2117"/>
  </r>
  <r>
    <n v="34"/>
    <x v="22"/>
    <n v="3496"/>
    <x v="790"/>
    <n v="2551"/>
    <n v="2998"/>
    <n v="5549"/>
    <n v="3214"/>
  </r>
  <r>
    <n v="34"/>
    <x v="22"/>
    <n v="3497"/>
    <x v="791"/>
    <n v="4779"/>
    <n v="5066"/>
    <n v="9845"/>
    <n v="4683"/>
  </r>
  <r>
    <n v="34"/>
    <x v="22"/>
    <n v="3498"/>
    <x v="792"/>
    <n v="11476"/>
    <n v="12990"/>
    <n v="24466"/>
    <n v="11080"/>
  </r>
  <r>
    <n v="34"/>
    <x v="22"/>
    <n v="3499"/>
    <x v="793"/>
    <n v="31533"/>
    <n v="37042"/>
    <n v="68575"/>
    <n v="32743"/>
  </r>
  <r>
    <n v="35"/>
    <x v="23"/>
    <n v="3501"/>
    <x v="794"/>
    <n v="52643"/>
    <n v="52992"/>
    <n v="105635"/>
    <n v="40833"/>
  </r>
  <r>
    <n v="35"/>
    <x v="23"/>
    <n v="3502"/>
    <x v="795"/>
    <n v="12087"/>
    <n v="12071"/>
    <n v="24158"/>
    <n v="8419"/>
  </r>
  <r>
    <n v="35"/>
    <x v="23"/>
    <n v="3503"/>
    <x v="796"/>
    <n v="30502"/>
    <n v="30192"/>
    <n v="60694"/>
    <n v="21029"/>
  </r>
  <r>
    <n v="35"/>
    <x v="23"/>
    <n v="3504"/>
    <x v="797"/>
    <n v="30273"/>
    <n v="30438"/>
    <n v="60711"/>
    <n v="20093"/>
  </r>
  <r>
    <n v="35"/>
    <x v="23"/>
    <n v="3505"/>
    <x v="798"/>
    <n v="15672"/>
    <n v="15856"/>
    <n v="31528"/>
    <n v="10634"/>
  </r>
  <r>
    <n v="35"/>
    <x v="23"/>
    <n v="3506"/>
    <x v="799"/>
    <n v="25192"/>
    <n v="25220"/>
    <n v="50412"/>
    <n v="15229"/>
  </r>
  <r>
    <n v="35"/>
    <x v="23"/>
    <n v="3507"/>
    <x v="800"/>
    <n v="10066"/>
    <n v="10280"/>
    <n v="20346"/>
    <n v="5752"/>
  </r>
  <r>
    <n v="35"/>
    <x v="23"/>
    <n v="3508"/>
    <x v="801"/>
    <n v="44216"/>
    <n v="44657"/>
    <n v="88873"/>
    <n v="31695"/>
  </r>
  <r>
    <n v="35"/>
    <x v="23"/>
    <n v="3509"/>
    <x v="802"/>
    <n v="14952"/>
    <n v="15167"/>
    <n v="30119"/>
    <n v="11510"/>
  </r>
  <r>
    <n v="35"/>
    <x v="23"/>
    <n v="3591"/>
    <x v="803"/>
    <n v="1837"/>
    <n v="1954"/>
    <n v="3791"/>
    <n v="2389"/>
  </r>
  <r>
    <n v="35"/>
    <x v="23"/>
    <n v="3592"/>
    <x v="804"/>
    <n v="1349"/>
    <n v="1444"/>
    <n v="2793"/>
    <n v="1131"/>
  </r>
  <r>
    <n v="35"/>
    <x v="23"/>
    <n v="3593"/>
    <x v="805"/>
    <n v="2137"/>
    <n v="2271"/>
    <n v="4408"/>
    <n v="1699"/>
  </r>
  <r>
    <n v="35"/>
    <x v="23"/>
    <n v="3594"/>
    <x v="806"/>
    <n v="2249"/>
    <n v="2298"/>
    <n v="4547"/>
    <n v="1935"/>
  </r>
  <r>
    <n v="35"/>
    <x v="23"/>
    <n v="3595"/>
    <x v="807"/>
    <n v="1451"/>
    <n v="1486"/>
    <n v="2937"/>
    <n v="1323"/>
  </r>
  <r>
    <n v="35"/>
    <x v="23"/>
    <n v="3596"/>
    <x v="808"/>
    <n v="1788"/>
    <n v="1857"/>
    <n v="3645"/>
    <n v="1590"/>
  </r>
  <r>
    <n v="35"/>
    <x v="23"/>
    <n v="3597"/>
    <x v="809"/>
    <n v="2319"/>
    <n v="2437"/>
    <n v="4756"/>
    <n v="2322"/>
  </r>
  <r>
    <n v="35"/>
    <x v="23"/>
    <n v="3598"/>
    <x v="810"/>
    <n v="2973"/>
    <n v="3223"/>
    <n v="6196"/>
    <n v="2266"/>
  </r>
  <r>
    <n v="35"/>
    <x v="23"/>
    <n v="3599"/>
    <x v="811"/>
    <n v="9498"/>
    <n v="10278"/>
    <n v="19776"/>
    <n v="9493"/>
  </r>
  <r>
    <n v="36"/>
    <x v="24"/>
    <n v="3601"/>
    <x v="812"/>
    <n v="65937"/>
    <n v="69521"/>
    <n v="135458"/>
    <n v="57980"/>
  </r>
  <r>
    <n v="36"/>
    <x v="24"/>
    <n v="3602"/>
    <x v="813"/>
    <n v="20529"/>
    <n v="21078"/>
    <n v="41607"/>
    <n v="15324"/>
  </r>
  <r>
    <n v="36"/>
    <x v="24"/>
    <n v="3603"/>
    <x v="814"/>
    <n v="23221"/>
    <n v="23833"/>
    <n v="47054"/>
    <n v="18679"/>
  </r>
  <r>
    <n v="36"/>
    <x v="24"/>
    <n v="3604"/>
    <x v="815"/>
    <n v="42087"/>
    <n v="42474"/>
    <n v="84561"/>
    <n v="26275"/>
  </r>
  <r>
    <n v="36"/>
    <x v="24"/>
    <n v="3605"/>
    <x v="816"/>
    <n v="46415"/>
    <n v="46278"/>
    <n v="92693"/>
    <n v="31368"/>
  </r>
  <r>
    <n v="36"/>
    <x v="24"/>
    <n v="3606"/>
    <x v="817"/>
    <n v="32128"/>
    <n v="34416"/>
    <n v="66544"/>
    <n v="25942"/>
  </r>
  <r>
    <n v="36"/>
    <x v="24"/>
    <n v="3607"/>
    <x v="818"/>
    <n v="19790"/>
    <n v="20382"/>
    <n v="40172"/>
    <n v="14274"/>
  </r>
  <r>
    <n v="36"/>
    <x v="24"/>
    <n v="3608"/>
    <x v="819"/>
    <n v="16277"/>
    <n v="16235"/>
    <n v="32512"/>
    <n v="12131"/>
  </r>
  <r>
    <n v="36"/>
    <x v="24"/>
    <n v="3609"/>
    <x v="820"/>
    <n v="32855"/>
    <n v="32261"/>
    <n v="65116"/>
    <n v="25075"/>
  </r>
  <r>
    <n v="36"/>
    <x v="24"/>
    <n v="3610"/>
    <x v="821"/>
    <n v="52601"/>
    <n v="54537"/>
    <n v="107138"/>
    <n v="36788"/>
  </r>
  <r>
    <n v="36"/>
    <x v="24"/>
    <n v="3611"/>
    <x v="822"/>
    <n v="19920"/>
    <n v="20321"/>
    <n v="40241"/>
    <n v="12139"/>
  </r>
  <r>
    <n v="36"/>
    <x v="24"/>
    <n v="3612"/>
    <x v="823"/>
    <n v="35963"/>
    <n v="36250"/>
    <n v="72213"/>
    <n v="26397"/>
  </r>
  <r>
    <n v="36"/>
    <x v="24"/>
    <n v="3613"/>
    <x v="824"/>
    <n v="19865"/>
    <n v="20301"/>
    <n v="40166"/>
    <n v="14662"/>
  </r>
  <r>
    <n v="36"/>
    <x v="24"/>
    <n v="3614"/>
    <x v="825"/>
    <n v="15250"/>
    <n v="15079"/>
    <n v="30329"/>
    <n v="12863"/>
  </r>
  <r>
    <n v="36"/>
    <x v="24"/>
    <n v="3615"/>
    <x v="826"/>
    <n v="12492"/>
    <n v="12900"/>
    <n v="25392"/>
    <n v="8876"/>
  </r>
  <r>
    <n v="36"/>
    <x v="24"/>
    <n v="3616"/>
    <x v="827"/>
    <n v="7833"/>
    <n v="7675"/>
    <n v="15508"/>
    <n v="6044"/>
  </r>
  <r>
    <n v="36"/>
    <x v="24"/>
    <n v="3676"/>
    <x v="828"/>
    <n v="7630"/>
    <n v="7649"/>
    <n v="15279"/>
    <n v="4788"/>
  </r>
  <r>
    <n v="36"/>
    <x v="24"/>
    <n v="3677"/>
    <x v="829"/>
    <n v="7659"/>
    <n v="7726"/>
    <n v="15385"/>
    <n v="4784"/>
  </r>
  <r>
    <n v="36"/>
    <x v="24"/>
    <n v="3680"/>
    <x v="830"/>
    <n v="1900"/>
    <n v="2139"/>
    <n v="4039"/>
    <n v="1515"/>
  </r>
  <r>
    <n v="36"/>
    <x v="24"/>
    <n v="3681"/>
    <x v="831"/>
    <n v="3789"/>
    <n v="4315"/>
    <n v="8104"/>
    <n v="4824"/>
  </r>
  <r>
    <n v="36"/>
    <x v="24"/>
    <n v="3682"/>
    <x v="832"/>
    <n v="5090"/>
    <n v="5459"/>
    <n v="10549"/>
    <n v="3399"/>
  </r>
  <r>
    <n v="36"/>
    <x v="24"/>
    <n v="3683"/>
    <x v="833"/>
    <n v="1908"/>
    <n v="2005"/>
    <n v="3913"/>
    <n v="1697"/>
  </r>
  <r>
    <n v="36"/>
    <x v="24"/>
    <n v="3684"/>
    <x v="834"/>
    <n v="2691"/>
    <n v="3137"/>
    <n v="5828"/>
    <n v="3122"/>
  </r>
  <r>
    <n v="36"/>
    <x v="24"/>
    <n v="3685"/>
    <x v="835"/>
    <n v="2686"/>
    <n v="2735"/>
    <n v="5421"/>
    <n v="1810"/>
  </r>
  <r>
    <n v="36"/>
    <x v="24"/>
    <n v="3686"/>
    <x v="836"/>
    <n v="1864"/>
    <n v="1886"/>
    <n v="3750"/>
    <n v="2384"/>
  </r>
  <r>
    <n v="36"/>
    <x v="24"/>
    <n v="3687"/>
    <x v="837"/>
    <n v="2838"/>
    <n v="2903"/>
    <n v="5741"/>
    <n v="2816"/>
  </r>
  <r>
    <n v="36"/>
    <x v="24"/>
    <n v="3688"/>
    <x v="838"/>
    <n v="3170"/>
    <n v="3462"/>
    <n v="6632"/>
    <n v="3139"/>
  </r>
  <r>
    <n v="36"/>
    <x v="24"/>
    <n v="3689"/>
    <x v="839"/>
    <n v="2258"/>
    <n v="2427"/>
    <n v="4685"/>
    <n v="2289"/>
  </r>
  <r>
    <n v="36"/>
    <x v="24"/>
    <n v="3690"/>
    <x v="840"/>
    <n v="916"/>
    <n v="951"/>
    <n v="1867"/>
    <n v="840"/>
  </r>
  <r>
    <n v="36"/>
    <x v="24"/>
    <n v="3691"/>
    <x v="841"/>
    <n v="1909"/>
    <n v="2095"/>
    <n v="4004"/>
    <n v="2285"/>
  </r>
  <r>
    <n v="36"/>
    <x v="24"/>
    <n v="3692"/>
    <x v="842"/>
    <n v="4148"/>
    <n v="4376"/>
    <n v="8524"/>
    <n v="4600"/>
  </r>
  <r>
    <n v="36"/>
    <x v="24"/>
    <n v="3693"/>
    <x v="843"/>
    <n v="3642"/>
    <n v="3849"/>
    <n v="7491"/>
    <n v="2442"/>
  </r>
  <r>
    <n v="36"/>
    <x v="24"/>
    <n v="3694"/>
    <x v="844"/>
    <n v="1344"/>
    <n v="1493"/>
    <n v="2837"/>
    <n v="1353"/>
  </r>
  <r>
    <n v="36"/>
    <x v="24"/>
    <n v="3695"/>
    <x v="845"/>
    <n v="1918"/>
    <n v="2125"/>
    <n v="4043"/>
    <n v="1938"/>
  </r>
  <r>
    <n v="36"/>
    <x v="24"/>
    <n v="3696"/>
    <x v="846"/>
    <n v="3674"/>
    <n v="4063"/>
    <n v="7737"/>
    <n v="3567"/>
  </r>
  <r>
    <n v="36"/>
    <x v="24"/>
    <n v="3697"/>
    <x v="847"/>
    <n v="2085"/>
    <n v="2361"/>
    <n v="4446"/>
    <n v="1813"/>
  </r>
  <r>
    <n v="36"/>
    <x v="24"/>
    <n v="3698"/>
    <x v="848"/>
    <n v="2303"/>
    <n v="2423"/>
    <n v="4726"/>
    <n v="2001"/>
  </r>
  <r>
    <n v="36"/>
    <x v="24"/>
    <n v="3699"/>
    <x v="849"/>
    <n v="16369"/>
    <n v="18330"/>
    <n v="34699"/>
    <n v="21996"/>
  </r>
  <r>
    <n v="37"/>
    <x v="25"/>
    <n v="3701"/>
    <x v="850"/>
    <n v="48313"/>
    <n v="48483"/>
    <n v="96796"/>
    <n v="33111"/>
  </r>
  <r>
    <n v="37"/>
    <x v="25"/>
    <n v="3702"/>
    <x v="851"/>
    <n v="19403"/>
    <n v="19305"/>
    <n v="38708"/>
    <n v="12404"/>
  </r>
  <r>
    <n v="37"/>
    <x v="25"/>
    <n v="3703"/>
    <x v="852"/>
    <n v="22916"/>
    <n v="22672"/>
    <n v="45588"/>
    <n v="14242"/>
  </r>
  <r>
    <n v="37"/>
    <x v="25"/>
    <n v="3704"/>
    <x v="853"/>
    <n v="9511"/>
    <n v="9400"/>
    <n v="18911"/>
    <n v="7079"/>
  </r>
  <r>
    <n v="37"/>
    <x v="25"/>
    <n v="3705"/>
    <x v="854"/>
    <n v="17247"/>
    <n v="17597"/>
    <n v="34844"/>
    <n v="11519"/>
  </r>
  <r>
    <n v="37"/>
    <x v="25"/>
    <n v="3706"/>
    <x v="855"/>
    <n v="20612"/>
    <n v="20711"/>
    <n v="41323"/>
    <n v="11474"/>
  </r>
  <r>
    <n v="37"/>
    <x v="25"/>
    <n v="3707"/>
    <x v="856"/>
    <n v="16722"/>
    <n v="16922"/>
    <n v="33644"/>
    <n v="10315"/>
  </r>
  <r>
    <n v="37"/>
    <x v="25"/>
    <n v="3790"/>
    <x v="857"/>
    <n v="2557"/>
    <n v="2630"/>
    <n v="5187"/>
    <n v="1597"/>
  </r>
  <r>
    <n v="37"/>
    <x v="25"/>
    <n v="3791"/>
    <x v="858"/>
    <n v="2956"/>
    <n v="2990"/>
    <n v="5946"/>
    <n v="2341"/>
  </r>
  <r>
    <n v="37"/>
    <x v="25"/>
    <n v="3792"/>
    <x v="859"/>
    <n v="985"/>
    <n v="1128"/>
    <n v="2113"/>
    <n v="1063"/>
  </r>
  <r>
    <n v="37"/>
    <x v="25"/>
    <n v="3793"/>
    <x v="860"/>
    <n v="3289"/>
    <n v="3441"/>
    <n v="6730"/>
    <n v="2329"/>
  </r>
  <r>
    <n v="37"/>
    <x v="25"/>
    <n v="3794"/>
    <x v="861"/>
    <n v="2637"/>
    <n v="2893"/>
    <n v="5530"/>
    <n v="2026"/>
  </r>
  <r>
    <n v="37"/>
    <x v="25"/>
    <n v="3795"/>
    <x v="862"/>
    <n v="1173"/>
    <n v="1346"/>
    <n v="2519"/>
    <n v="1176"/>
  </r>
  <r>
    <n v="37"/>
    <x v="25"/>
    <n v="3796"/>
    <x v="863"/>
    <n v="1628"/>
    <n v="1688"/>
    <n v="3316"/>
    <n v="1771"/>
  </r>
  <r>
    <n v="37"/>
    <x v="25"/>
    <n v="3797"/>
    <x v="864"/>
    <n v="1502"/>
    <n v="1647"/>
    <n v="3149"/>
    <n v="1521"/>
  </r>
  <r>
    <n v="37"/>
    <x v="25"/>
    <n v="3798"/>
    <x v="865"/>
    <n v="1727"/>
    <n v="1889"/>
    <n v="3616"/>
    <n v="1272"/>
  </r>
  <r>
    <n v="37"/>
    <x v="25"/>
    <n v="3799"/>
    <x v="866"/>
    <n v="11605"/>
    <n v="12658"/>
    <n v="24263"/>
    <n v="13319"/>
  </r>
  <r>
    <n v="38"/>
    <x v="26"/>
    <n v="3801"/>
    <x v="867"/>
    <n v="29214"/>
    <n v="29166"/>
    <n v="58380"/>
    <n v="19608"/>
  </r>
  <r>
    <n v="38"/>
    <x v="26"/>
    <n v="3802"/>
    <x v="868"/>
    <n v="14421"/>
    <n v="14277"/>
    <n v="28698"/>
    <n v="8648"/>
  </r>
  <r>
    <n v="38"/>
    <x v="26"/>
    <n v="3803"/>
    <x v="869"/>
    <n v="32438"/>
    <n v="32079"/>
    <n v="64517"/>
    <n v="20112"/>
  </r>
  <r>
    <n v="38"/>
    <x v="26"/>
    <n v="3804"/>
    <x v="870"/>
    <n v="36646"/>
    <n v="36361"/>
    <n v="73007"/>
    <n v="24745"/>
  </r>
  <r>
    <n v="38"/>
    <x v="26"/>
    <n v="3805"/>
    <x v="871"/>
    <n v="14046"/>
    <n v="13962"/>
    <n v="28008"/>
    <n v="10192"/>
  </r>
  <r>
    <n v="38"/>
    <x v="26"/>
    <n v="3806"/>
    <x v="872"/>
    <n v="14116"/>
    <n v="13887"/>
    <n v="28003"/>
    <n v="9521"/>
  </r>
  <r>
    <n v="38"/>
    <x v="26"/>
    <n v="3807"/>
    <x v="873"/>
    <n v="14246"/>
    <n v="14105"/>
    <n v="28351"/>
    <n v="9819"/>
  </r>
  <r>
    <n v="38"/>
    <x v="26"/>
    <n v="3808"/>
    <x v="874"/>
    <n v="6956"/>
    <n v="6987"/>
    <n v="13943"/>
    <n v="4455"/>
  </r>
  <r>
    <n v="38"/>
    <x v="26"/>
    <n v="3887"/>
    <x v="875"/>
    <n v="3612"/>
    <n v="3620"/>
    <n v="7232"/>
    <n v="2453"/>
  </r>
  <r>
    <n v="38"/>
    <x v="26"/>
    <n v="3888"/>
    <x v="876"/>
    <n v="3409"/>
    <n v="3432"/>
    <n v="6841"/>
    <n v="2485"/>
  </r>
  <r>
    <n v="38"/>
    <x v="26"/>
    <n v="3890"/>
    <x v="877"/>
    <n v="5397"/>
    <n v="5484"/>
    <n v="10881"/>
    <n v="4125"/>
  </r>
  <r>
    <n v="38"/>
    <x v="26"/>
    <n v="3891"/>
    <x v="878"/>
    <n v="4749"/>
    <n v="4900"/>
    <n v="9649"/>
    <n v="3717"/>
  </r>
  <r>
    <n v="38"/>
    <x v="26"/>
    <n v="3892"/>
    <x v="879"/>
    <n v="3190"/>
    <n v="3174"/>
    <n v="6364"/>
    <n v="2800"/>
  </r>
  <r>
    <n v="38"/>
    <x v="26"/>
    <n v="3893"/>
    <x v="880"/>
    <n v="3190"/>
    <n v="3249"/>
    <n v="6439"/>
    <n v="2815"/>
  </r>
  <r>
    <n v="38"/>
    <x v="26"/>
    <n v="3894"/>
    <x v="881"/>
    <n v="3309"/>
    <n v="3480"/>
    <n v="6789"/>
    <n v="2053"/>
  </r>
  <r>
    <n v="38"/>
    <x v="26"/>
    <n v="3895"/>
    <x v="882"/>
    <n v="3187"/>
    <n v="3204"/>
    <n v="6391"/>
    <n v="2734"/>
  </r>
  <r>
    <n v="38"/>
    <x v="26"/>
    <n v="3896"/>
    <x v="883"/>
    <n v="4931"/>
    <n v="5201"/>
    <n v="10132"/>
    <n v="3719"/>
  </r>
  <r>
    <n v="38"/>
    <x v="26"/>
    <n v="3897"/>
    <x v="884"/>
    <n v="2465"/>
    <n v="2504"/>
    <n v="4969"/>
    <n v="1584"/>
  </r>
  <r>
    <n v="38"/>
    <x v="26"/>
    <n v="3898"/>
    <x v="885"/>
    <n v="9937"/>
    <n v="10202"/>
    <n v="20139"/>
    <n v="11874"/>
  </r>
  <r>
    <n v="39"/>
    <x v="27"/>
    <n v="3901"/>
    <x v="886"/>
    <n v="50613"/>
    <n v="50890"/>
    <n v="101503"/>
    <n v="33364"/>
  </r>
  <r>
    <n v="39"/>
    <x v="27"/>
    <n v="3902"/>
    <x v="887"/>
    <n v="33352"/>
    <n v="33053"/>
    <n v="66405"/>
    <n v="19618"/>
  </r>
  <r>
    <n v="39"/>
    <x v="27"/>
    <n v="3903"/>
    <x v="888"/>
    <n v="26446"/>
    <n v="26878"/>
    <n v="53324"/>
    <n v="14379"/>
  </r>
  <r>
    <n v="39"/>
    <x v="27"/>
    <n v="3904"/>
    <x v="889"/>
    <n v="45168"/>
    <n v="44632"/>
    <n v="89800"/>
    <n v="26271"/>
  </r>
  <r>
    <n v="39"/>
    <x v="27"/>
    <n v="3905"/>
    <x v="890"/>
    <n v="26799"/>
    <n v="26737"/>
    <n v="53536"/>
    <n v="15816"/>
  </r>
  <r>
    <n v="39"/>
    <x v="27"/>
    <n v="3906"/>
    <x v="891"/>
    <n v="15008"/>
    <n v="14988"/>
    <n v="29996"/>
    <n v="9081"/>
  </r>
  <r>
    <n v="39"/>
    <x v="27"/>
    <n v="3986"/>
    <x v="892"/>
    <n v="4566"/>
    <n v="4688"/>
    <n v="9254"/>
    <n v="2700"/>
  </r>
  <r>
    <n v="39"/>
    <x v="27"/>
    <n v="3987"/>
    <x v="893"/>
    <n v="3319"/>
    <n v="3513"/>
    <n v="6832"/>
    <n v="2504"/>
  </r>
  <r>
    <n v="39"/>
    <x v="27"/>
    <n v="3988"/>
    <x v="894"/>
    <n v="3742"/>
    <n v="3929"/>
    <n v="7671"/>
    <n v="2999"/>
  </r>
  <r>
    <n v="39"/>
    <x v="27"/>
    <n v="3989"/>
    <x v="895"/>
    <n v="2928"/>
    <n v="3226"/>
    <n v="6154"/>
    <n v="1958"/>
  </r>
  <r>
    <n v="39"/>
    <x v="27"/>
    <n v="3990"/>
    <x v="896"/>
    <n v="2141"/>
    <n v="2382"/>
    <n v="4523"/>
    <n v="2721"/>
  </r>
  <r>
    <n v="39"/>
    <x v="27"/>
    <n v="3991"/>
    <x v="897"/>
    <n v="2500"/>
    <n v="2421"/>
    <n v="4921"/>
    <n v="1551"/>
  </r>
  <r>
    <n v="39"/>
    <x v="27"/>
    <n v="3992"/>
    <x v="898"/>
    <n v="4038"/>
    <n v="4193"/>
    <n v="8231"/>
    <n v="3030"/>
  </r>
  <r>
    <n v="39"/>
    <x v="27"/>
    <n v="3993"/>
    <x v="899"/>
    <n v="1358"/>
    <n v="1367"/>
    <n v="2725"/>
    <n v="783"/>
  </r>
  <r>
    <n v="39"/>
    <x v="27"/>
    <n v="3994"/>
    <x v="900"/>
    <n v="9540"/>
    <n v="10055"/>
    <n v="19595"/>
    <n v="6896"/>
  </r>
  <r>
    <n v="39"/>
    <x v="27"/>
    <n v="3995"/>
    <x v="901"/>
    <n v="2693"/>
    <n v="2837"/>
    <n v="5530"/>
    <n v="1895"/>
  </r>
  <r>
    <n v="39"/>
    <x v="27"/>
    <n v="3996"/>
    <x v="759"/>
    <n v="1779"/>
    <n v="1758"/>
    <n v="3537"/>
    <n v="1090"/>
  </r>
  <r>
    <n v="39"/>
    <x v="27"/>
    <n v="3997"/>
    <x v="902"/>
    <n v="2010"/>
    <n v="2145"/>
    <n v="4155"/>
    <n v="1135"/>
  </r>
  <r>
    <n v="39"/>
    <x v="27"/>
    <n v="3998"/>
    <x v="903"/>
    <n v="2408"/>
    <n v="2464"/>
    <n v="4872"/>
    <n v="1466"/>
  </r>
  <r>
    <n v="39"/>
    <x v="27"/>
    <n v="3999"/>
    <x v="904"/>
    <n v="10454"/>
    <n v="11361"/>
    <n v="21815"/>
    <n v="12732"/>
  </r>
  <r>
    <n v="40"/>
    <x v="28"/>
    <n v="4001"/>
    <x v="905"/>
    <n v="48020"/>
    <n v="51475"/>
    <n v="99495"/>
    <n v="43676"/>
  </r>
  <r>
    <n v="40"/>
    <x v="28"/>
    <n v="4002"/>
    <x v="906"/>
    <n v="24745"/>
    <n v="25046"/>
    <n v="49791"/>
    <n v="18297"/>
  </r>
  <r>
    <n v="40"/>
    <x v="28"/>
    <n v="4003"/>
    <x v="907"/>
    <n v="12046"/>
    <n v="12540"/>
    <n v="24586"/>
    <n v="8286"/>
  </r>
  <r>
    <n v="40"/>
    <x v="28"/>
    <n v="4004"/>
    <x v="908"/>
    <n v="40685"/>
    <n v="41824"/>
    <n v="82509"/>
    <n v="24212"/>
  </r>
  <r>
    <n v="40"/>
    <x v="28"/>
    <n v="4005"/>
    <x v="909"/>
    <n v="41023"/>
    <n v="41484"/>
    <n v="82507"/>
    <n v="27365"/>
  </r>
  <r>
    <n v="40"/>
    <x v="28"/>
    <n v="4006"/>
    <x v="910"/>
    <n v="36148"/>
    <n v="36720"/>
    <n v="72868"/>
    <n v="23437"/>
  </r>
  <r>
    <n v="40"/>
    <x v="28"/>
    <n v="4007"/>
    <x v="911"/>
    <n v="35444"/>
    <n v="36275"/>
    <n v="71719"/>
    <n v="23023"/>
  </r>
  <r>
    <n v="40"/>
    <x v="28"/>
    <n v="4008"/>
    <x v="912"/>
    <n v="15322"/>
    <n v="15719"/>
    <n v="31041"/>
    <n v="8723"/>
  </r>
  <r>
    <n v="40"/>
    <x v="28"/>
    <n v="4009"/>
    <x v="913"/>
    <n v="33727"/>
    <n v="34219"/>
    <n v="67946"/>
    <n v="21248"/>
  </r>
  <r>
    <n v="40"/>
    <x v="28"/>
    <n v="4010"/>
    <x v="914"/>
    <n v="35278"/>
    <n v="36289"/>
    <n v="71567"/>
    <n v="24663"/>
  </r>
  <r>
    <n v="40"/>
    <x v="28"/>
    <n v="4011"/>
    <x v="915"/>
    <n v="7139"/>
    <n v="7037"/>
    <n v="14176"/>
    <n v="4165"/>
  </r>
  <r>
    <n v="40"/>
    <x v="28"/>
    <n v="4012"/>
    <x v="916"/>
    <n v="36928"/>
    <n v="37946"/>
    <n v="74874"/>
    <n v="24469"/>
  </r>
  <r>
    <n v="40"/>
    <x v="28"/>
    <n v="4013"/>
    <x v="917"/>
    <n v="11718"/>
    <n v="12054"/>
    <n v="23772"/>
    <n v="6685"/>
  </r>
  <r>
    <n v="40"/>
    <x v="28"/>
    <n v="4014"/>
    <x v="918"/>
    <n v="18986"/>
    <n v="19101"/>
    <n v="38087"/>
    <n v="11903"/>
  </r>
  <r>
    <n v="40"/>
    <x v="28"/>
    <n v="4015"/>
    <x v="919"/>
    <n v="35017"/>
    <n v="35506"/>
    <n v="70523"/>
    <n v="21915"/>
  </r>
  <r>
    <n v="40"/>
    <x v="28"/>
    <n v="4016"/>
    <x v="920"/>
    <n v="33867"/>
    <n v="34334"/>
    <n v="68201"/>
    <n v="21470"/>
  </r>
  <r>
    <n v="40"/>
    <x v="28"/>
    <n v="4017"/>
    <x v="921"/>
    <n v="32441"/>
    <n v="33152"/>
    <n v="65593"/>
    <n v="22831"/>
  </r>
  <r>
    <n v="40"/>
    <x v="28"/>
    <n v="4018"/>
    <x v="922"/>
    <n v="19112"/>
    <n v="19905"/>
    <n v="39017"/>
    <n v="12191"/>
  </r>
  <r>
    <n v="40"/>
    <x v="28"/>
    <n v="4019"/>
    <x v="923"/>
    <n v="10572"/>
    <n v="10681"/>
    <n v="21253"/>
    <n v="6661"/>
  </r>
  <r>
    <n v="40"/>
    <x v="28"/>
    <n v="4020"/>
    <x v="924"/>
    <n v="9728"/>
    <n v="9710"/>
    <n v="19438"/>
    <n v="6098"/>
  </r>
  <r>
    <n v="40"/>
    <x v="28"/>
    <n v="4021"/>
    <x v="925"/>
    <n v="8819"/>
    <n v="9120"/>
    <n v="17939"/>
    <n v="5504"/>
  </r>
  <r>
    <n v="40"/>
    <x v="28"/>
    <n v="4022"/>
    <x v="926"/>
    <n v="10382"/>
    <n v="10437"/>
    <n v="20819"/>
    <n v="6935"/>
  </r>
  <r>
    <n v="40"/>
    <x v="28"/>
    <n v="4023"/>
    <x v="927"/>
    <n v="11613"/>
    <n v="11782"/>
    <n v="23395"/>
    <n v="7104"/>
  </r>
  <r>
    <n v="40"/>
    <x v="28"/>
    <n v="4024"/>
    <x v="928"/>
    <n v="12829"/>
    <n v="13151"/>
    <n v="25980"/>
    <n v="8738"/>
  </r>
  <r>
    <n v="40"/>
    <x v="28"/>
    <n v="4025"/>
    <x v="929"/>
    <n v="10387"/>
    <n v="10504"/>
    <n v="20891"/>
    <n v="6801"/>
  </r>
  <r>
    <n v="40"/>
    <x v="28"/>
    <n v="4029"/>
    <x v="930"/>
    <n v="9750"/>
    <n v="9954"/>
    <n v="19704"/>
    <n v="5977"/>
  </r>
  <r>
    <n v="40"/>
    <x v="28"/>
    <n v="4054"/>
    <x v="931"/>
    <n v="27265"/>
    <n v="28075"/>
    <n v="55340"/>
    <n v="32137"/>
  </r>
  <r>
    <n v="40"/>
    <x v="28"/>
    <n v="4055"/>
    <x v="932"/>
    <n v="4409"/>
    <n v="4330"/>
    <n v="8739"/>
    <n v="2606"/>
  </r>
  <r>
    <n v="40"/>
    <x v="28"/>
    <n v="4056"/>
    <x v="933"/>
    <n v="4892"/>
    <n v="4965"/>
    <n v="9857"/>
    <n v="2803"/>
  </r>
  <r>
    <n v="40"/>
    <x v="28"/>
    <n v="4057"/>
    <x v="934"/>
    <n v="9333"/>
    <n v="10049"/>
    <n v="19382"/>
    <n v="9638"/>
  </r>
  <r>
    <n v="40"/>
    <x v="28"/>
    <n v="4058"/>
    <x v="593"/>
    <n v="2914"/>
    <n v="2929"/>
    <n v="5843"/>
    <n v="1863"/>
  </r>
  <r>
    <n v="40"/>
    <x v="28"/>
    <n v="4060"/>
    <x v="935"/>
    <n v="4924"/>
    <n v="5158"/>
    <n v="10082"/>
    <n v="3684"/>
  </r>
  <r>
    <n v="40"/>
    <x v="28"/>
    <n v="4061"/>
    <x v="936"/>
    <n v="3624"/>
    <n v="3964"/>
    <n v="7588"/>
    <n v="2339"/>
  </r>
  <r>
    <n v="40"/>
    <x v="28"/>
    <n v="4062"/>
    <x v="479"/>
    <n v="15303"/>
    <n v="17691"/>
    <n v="32994"/>
    <n v="19056"/>
  </r>
  <r>
    <n v="40"/>
    <x v="28"/>
    <n v="4063"/>
    <x v="937"/>
    <n v="4762"/>
    <n v="4965"/>
    <n v="9727"/>
    <n v="3351"/>
  </r>
  <r>
    <n v="40"/>
    <x v="28"/>
    <n v="4064"/>
    <x v="938"/>
    <n v="8536"/>
    <n v="8944"/>
    <n v="17480"/>
    <n v="7548"/>
  </r>
  <r>
    <n v="40"/>
    <x v="28"/>
    <n v="4065"/>
    <x v="939"/>
    <n v="4149"/>
    <n v="4334"/>
    <n v="8483"/>
    <n v="2848"/>
  </r>
  <r>
    <n v="40"/>
    <x v="28"/>
    <n v="4067"/>
    <x v="940"/>
    <n v="8857"/>
    <n v="9046"/>
    <n v="17903"/>
    <n v="6137"/>
  </r>
  <r>
    <n v="40"/>
    <x v="28"/>
    <n v="4068"/>
    <x v="941"/>
    <n v="22409"/>
    <n v="26213"/>
    <n v="48622"/>
    <n v="30471"/>
  </r>
  <r>
    <n v="40"/>
    <x v="28"/>
    <n v="4069"/>
    <x v="942"/>
    <n v="2724"/>
    <n v="2768"/>
    <n v="5492"/>
    <n v="1965"/>
  </r>
  <r>
    <n v="40"/>
    <x v="28"/>
    <n v="4070"/>
    <x v="943"/>
    <n v="3249"/>
    <n v="3340"/>
    <n v="6589"/>
    <n v="2369"/>
  </r>
  <r>
    <n v="40"/>
    <x v="28"/>
    <n v="4071"/>
    <x v="895"/>
    <n v="1926"/>
    <n v="2099"/>
    <n v="4025"/>
    <n v="1568"/>
  </r>
  <r>
    <n v="40"/>
    <x v="28"/>
    <n v="4072"/>
    <x v="944"/>
    <n v="2531"/>
    <n v="2648"/>
    <n v="5179"/>
    <n v="2044"/>
  </r>
  <r>
    <n v="40"/>
    <x v="28"/>
    <n v="4073"/>
    <x v="945"/>
    <n v="1644"/>
    <n v="1750"/>
    <n v="3394"/>
    <n v="1352"/>
  </r>
  <r>
    <n v="40"/>
    <x v="28"/>
    <n v="4074"/>
    <x v="946"/>
    <n v="5200"/>
    <n v="5336"/>
    <n v="10536"/>
    <n v="3952"/>
  </r>
  <r>
    <n v="40"/>
    <x v="28"/>
    <n v="4075"/>
    <x v="947"/>
    <n v="3566"/>
    <n v="4017"/>
    <n v="7583"/>
    <n v="3461"/>
  </r>
  <r>
    <n v="40"/>
    <x v="28"/>
    <n v="4076"/>
    <x v="948"/>
    <n v="1600"/>
    <n v="1771"/>
    <n v="3371"/>
    <n v="2003"/>
  </r>
  <r>
    <n v="40"/>
    <x v="28"/>
    <n v="4077"/>
    <x v="949"/>
    <n v="1287"/>
    <n v="1459"/>
    <n v="2746"/>
    <n v="1780"/>
  </r>
  <r>
    <n v="40"/>
    <x v="28"/>
    <n v="4078"/>
    <x v="950"/>
    <n v="2648"/>
    <n v="2814"/>
    <n v="5462"/>
    <n v="2849"/>
  </r>
  <r>
    <n v="40"/>
    <x v="28"/>
    <n v="4079"/>
    <x v="951"/>
    <n v="1412"/>
    <n v="1570"/>
    <n v="2982"/>
    <n v="1393"/>
  </r>
  <r>
    <n v="40"/>
    <x v="28"/>
    <n v="4080"/>
    <x v="952"/>
    <n v="2441"/>
    <n v="2627"/>
    <n v="5068"/>
    <n v="1874"/>
  </r>
  <r>
    <n v="40"/>
    <x v="28"/>
    <n v="4081"/>
    <x v="953"/>
    <n v="2827"/>
    <n v="2951"/>
    <n v="5778"/>
    <n v="2089"/>
  </r>
  <r>
    <n v="40"/>
    <x v="28"/>
    <n v="4082"/>
    <x v="954"/>
    <n v="4555"/>
    <n v="5022"/>
    <n v="9577"/>
    <n v="4677"/>
  </r>
  <r>
    <n v="40"/>
    <x v="28"/>
    <n v="4083"/>
    <x v="955"/>
    <n v="1860"/>
    <n v="1966"/>
    <n v="3826"/>
    <n v="2138"/>
  </r>
  <r>
    <n v="40"/>
    <x v="28"/>
    <n v="4084"/>
    <x v="956"/>
    <n v="2994"/>
    <n v="3253"/>
    <n v="6247"/>
    <n v="3029"/>
  </r>
  <r>
    <n v="40"/>
    <x v="28"/>
    <n v="4085"/>
    <x v="957"/>
    <n v="2225"/>
    <n v="2456"/>
    <n v="4681"/>
    <n v="2489"/>
  </r>
  <r>
    <n v="40"/>
    <x v="28"/>
    <n v="4086"/>
    <x v="958"/>
    <n v="1609"/>
    <n v="1660"/>
    <n v="3269"/>
    <n v="1603"/>
  </r>
  <r>
    <n v="40"/>
    <x v="28"/>
    <n v="4087"/>
    <x v="959"/>
    <n v="2133"/>
    <n v="2362"/>
    <n v="4495"/>
    <n v="1571"/>
  </r>
  <r>
    <n v="40"/>
    <x v="28"/>
    <n v="4088"/>
    <x v="960"/>
    <n v="2059"/>
    <n v="2274"/>
    <n v="4333"/>
    <n v="1370"/>
  </r>
  <r>
    <n v="40"/>
    <x v="28"/>
    <n v="4089"/>
    <x v="961"/>
    <n v="2090"/>
    <n v="2057"/>
    <n v="4147"/>
    <n v="2287"/>
  </r>
  <r>
    <n v="40"/>
    <x v="28"/>
    <n v="4090"/>
    <x v="962"/>
    <n v="680"/>
    <n v="675"/>
    <n v="1355"/>
    <n v="723"/>
  </r>
  <r>
    <n v="40"/>
    <x v="28"/>
    <n v="4091"/>
    <x v="963"/>
    <n v="1622"/>
    <n v="1720"/>
    <n v="3342"/>
    <n v="1959"/>
  </r>
  <r>
    <n v="40"/>
    <x v="28"/>
    <n v="4092"/>
    <x v="964"/>
    <n v="1549"/>
    <n v="1739"/>
    <n v="3288"/>
    <n v="1574"/>
  </r>
  <r>
    <n v="40"/>
    <x v="28"/>
    <n v="4093"/>
    <x v="965"/>
    <n v="3075"/>
    <n v="3311"/>
    <n v="6386"/>
    <n v="2142"/>
  </r>
  <r>
    <n v="40"/>
    <x v="28"/>
    <n v="4094"/>
    <x v="966"/>
    <n v="2170"/>
    <n v="2333"/>
    <n v="4503"/>
    <n v="1970"/>
  </r>
  <r>
    <n v="40"/>
    <x v="28"/>
    <n v="4095"/>
    <x v="967"/>
    <n v="4062"/>
    <n v="4478"/>
    <n v="8540"/>
    <n v="4257"/>
  </r>
  <r>
    <n v="40"/>
    <x v="28"/>
    <n v="4096"/>
    <x v="968"/>
    <n v="14642"/>
    <n v="15810"/>
    <n v="30452"/>
    <n v="16479"/>
  </r>
  <r>
    <n v="40"/>
    <x v="28"/>
    <n v="4097"/>
    <x v="969"/>
    <n v="12454"/>
    <n v="13734"/>
    <n v="26188"/>
    <n v="13198"/>
  </r>
  <r>
    <n v="40"/>
    <x v="28"/>
    <n v="4098"/>
    <x v="970"/>
    <n v="4689"/>
    <n v="5210"/>
    <n v="9899"/>
    <n v="5505"/>
  </r>
  <r>
    <n v="40"/>
    <x v="28"/>
    <n v="4099"/>
    <x v="971"/>
    <n v="47673"/>
    <n v="52244"/>
    <n v="99917"/>
    <n v="69560"/>
  </r>
  <r>
    <n v="41"/>
    <x v="29"/>
    <n v="4101"/>
    <x v="972"/>
    <n v="90893"/>
    <n v="96008"/>
    <n v="186901"/>
    <n v="78300"/>
  </r>
  <r>
    <n v="41"/>
    <x v="29"/>
    <n v="4102"/>
    <x v="973"/>
    <n v="21646"/>
    <n v="21642"/>
    <n v="43288"/>
    <n v="13871"/>
  </r>
  <r>
    <n v="41"/>
    <x v="29"/>
    <n v="4103"/>
    <x v="974"/>
    <n v="22276"/>
    <n v="22333"/>
    <n v="44609"/>
    <n v="12386"/>
  </r>
  <r>
    <n v="41"/>
    <x v="29"/>
    <n v="4104"/>
    <x v="975"/>
    <n v="36089"/>
    <n v="36963"/>
    <n v="73052"/>
    <n v="22764"/>
  </r>
  <r>
    <n v="41"/>
    <x v="29"/>
    <n v="4105"/>
    <x v="976"/>
    <n v="22230"/>
    <n v="22477"/>
    <n v="44707"/>
    <n v="12530"/>
  </r>
  <r>
    <n v="41"/>
    <x v="29"/>
    <n v="4106"/>
    <x v="977"/>
    <n v="43918"/>
    <n v="44211"/>
    <n v="88129"/>
    <n v="29081"/>
  </r>
  <r>
    <n v="41"/>
    <x v="29"/>
    <n v="4107"/>
    <x v="978"/>
    <n v="12500"/>
    <n v="12383"/>
    <n v="24883"/>
    <n v="7636"/>
  </r>
  <r>
    <n v="41"/>
    <x v="29"/>
    <n v="4108"/>
    <x v="979"/>
    <n v="11937"/>
    <n v="11652"/>
    <n v="23589"/>
    <n v="6573"/>
  </r>
  <r>
    <n v="41"/>
    <x v="29"/>
    <n v="4109"/>
    <x v="980"/>
    <n v="11671"/>
    <n v="11769"/>
    <n v="23440"/>
    <n v="6905"/>
  </r>
  <r>
    <n v="41"/>
    <x v="29"/>
    <n v="4110"/>
    <x v="981"/>
    <n v="15513"/>
    <n v="15405"/>
    <n v="30918"/>
    <n v="9183"/>
  </r>
  <r>
    <n v="41"/>
    <x v="29"/>
    <n v="4111"/>
    <x v="982"/>
    <n v="55234"/>
    <n v="55660"/>
    <n v="110894"/>
    <n v="33997"/>
  </r>
  <r>
    <n v="41"/>
    <x v="29"/>
    <n v="4117"/>
    <x v="983"/>
    <n v="50636"/>
    <n v="50711"/>
    <n v="101347"/>
    <n v="32736"/>
  </r>
  <r>
    <n v="41"/>
    <x v="29"/>
    <n v="4118"/>
    <x v="984"/>
    <n v="20680"/>
    <n v="20347"/>
    <n v="41027"/>
    <n v="14033"/>
  </r>
  <r>
    <n v="41"/>
    <x v="29"/>
    <n v="4119"/>
    <x v="985"/>
    <n v="48140"/>
    <n v="48216"/>
    <n v="96356"/>
    <n v="31107"/>
  </r>
  <r>
    <n v="41"/>
    <x v="29"/>
    <n v="4120"/>
    <x v="986"/>
    <n v="10935"/>
    <n v="10916"/>
    <n v="21851"/>
    <n v="7010"/>
  </r>
  <r>
    <n v="41"/>
    <x v="29"/>
    <n v="4121"/>
    <x v="987"/>
    <n v="11471"/>
    <n v="11463"/>
    <n v="22934"/>
    <n v="7203"/>
  </r>
  <r>
    <n v="41"/>
    <x v="29"/>
    <n v="4122"/>
    <x v="988"/>
    <n v="14344"/>
    <n v="14049"/>
    <n v="28393"/>
    <n v="10205"/>
  </r>
  <r>
    <n v="41"/>
    <x v="29"/>
    <n v="4123"/>
    <x v="989"/>
    <n v="12155"/>
    <n v="12443"/>
    <n v="24598"/>
    <n v="8991"/>
  </r>
  <r>
    <n v="41"/>
    <x v="29"/>
    <n v="4124"/>
    <x v="990"/>
    <n v="10963"/>
    <n v="10929"/>
    <n v="21892"/>
    <n v="7293"/>
  </r>
  <r>
    <n v="41"/>
    <x v="29"/>
    <n v="4125"/>
    <x v="991"/>
    <n v="12596"/>
    <n v="12638"/>
    <n v="25234"/>
    <n v="7710"/>
  </r>
  <r>
    <n v="41"/>
    <x v="29"/>
    <n v="4158"/>
    <x v="992"/>
    <n v="4097"/>
    <n v="4116"/>
    <n v="8213"/>
    <n v="2112"/>
  </r>
  <r>
    <n v="41"/>
    <x v="29"/>
    <n v="4159"/>
    <x v="993"/>
    <n v="5663"/>
    <n v="5546"/>
    <n v="11209"/>
    <n v="3311"/>
  </r>
  <r>
    <n v="41"/>
    <x v="29"/>
    <n v="4160"/>
    <x v="994"/>
    <n v="7894"/>
    <n v="7724"/>
    <n v="15618"/>
    <n v="4926"/>
  </r>
  <r>
    <n v="41"/>
    <x v="29"/>
    <n v="4161"/>
    <x v="995"/>
    <n v="3757"/>
    <n v="3722"/>
    <n v="7479"/>
    <n v="2002"/>
  </r>
  <r>
    <n v="41"/>
    <x v="29"/>
    <n v="4162"/>
    <x v="996"/>
    <n v="4074"/>
    <n v="4018"/>
    <n v="8092"/>
    <n v="2235"/>
  </r>
  <r>
    <n v="41"/>
    <x v="29"/>
    <n v="4163"/>
    <x v="997"/>
    <n v="3514"/>
    <n v="3673"/>
    <n v="7187"/>
    <n v="2842"/>
  </r>
  <r>
    <n v="41"/>
    <x v="29"/>
    <n v="4164"/>
    <x v="998"/>
    <n v="8201"/>
    <n v="8566"/>
    <n v="16767"/>
    <n v="5405"/>
  </r>
  <r>
    <n v="41"/>
    <x v="29"/>
    <n v="4165"/>
    <x v="999"/>
    <n v="5157"/>
    <n v="5290"/>
    <n v="10447"/>
    <n v="3361"/>
  </r>
  <r>
    <n v="41"/>
    <x v="29"/>
    <n v="4166"/>
    <x v="1000"/>
    <n v="2798"/>
    <n v="2814"/>
    <n v="5612"/>
    <n v="2173"/>
  </r>
  <r>
    <n v="41"/>
    <x v="29"/>
    <n v="4167"/>
    <x v="1001"/>
    <n v="4602"/>
    <n v="4785"/>
    <n v="9387"/>
    <n v="2879"/>
  </r>
  <r>
    <n v="41"/>
    <x v="29"/>
    <n v="4168"/>
    <x v="1001"/>
    <n v="4034"/>
    <n v="4812"/>
    <n v="8846"/>
    <n v="2909"/>
  </r>
  <r>
    <n v="41"/>
    <x v="29"/>
    <n v="4169"/>
    <x v="1002"/>
    <n v="5431"/>
    <n v="5583"/>
    <n v="11014"/>
    <n v="3558"/>
  </r>
  <r>
    <n v="41"/>
    <x v="29"/>
    <n v="4170"/>
    <x v="1003"/>
    <n v="1973"/>
    <n v="1981"/>
    <n v="3954"/>
    <n v="1007"/>
  </r>
  <r>
    <n v="41"/>
    <x v="29"/>
    <n v="4171"/>
    <x v="1004"/>
    <n v="1292"/>
    <n v="1340"/>
    <n v="2632"/>
    <n v="1674"/>
  </r>
  <r>
    <n v="41"/>
    <x v="29"/>
    <n v="4172"/>
    <x v="1005"/>
    <n v="4198"/>
    <n v="4406"/>
    <n v="8604"/>
    <n v="2673"/>
  </r>
  <r>
    <n v="41"/>
    <x v="29"/>
    <n v="4173"/>
    <x v="1006"/>
    <n v="4338"/>
    <n v="4415"/>
    <n v="8753"/>
    <n v="3569"/>
  </r>
  <r>
    <n v="41"/>
    <x v="29"/>
    <n v="4174"/>
    <x v="1007"/>
    <n v="3615"/>
    <n v="3910"/>
    <n v="7525"/>
    <n v="4343"/>
  </r>
  <r>
    <n v="41"/>
    <x v="29"/>
    <n v="4175"/>
    <x v="1008"/>
    <n v="7114"/>
    <n v="7678"/>
    <n v="14792"/>
    <n v="6671"/>
  </r>
  <r>
    <n v="41"/>
    <x v="29"/>
    <n v="4176"/>
    <x v="1009"/>
    <n v="2814"/>
    <n v="2993"/>
    <n v="5807"/>
    <n v="2958"/>
  </r>
  <r>
    <n v="41"/>
    <x v="29"/>
    <n v="4177"/>
    <x v="1010"/>
    <n v="2624"/>
    <n v="2711"/>
    <n v="5335"/>
    <n v="1970"/>
  </r>
  <r>
    <n v="41"/>
    <x v="29"/>
    <n v="4178"/>
    <x v="1011"/>
    <n v="3913"/>
    <n v="4146"/>
    <n v="8059"/>
    <n v="2575"/>
  </r>
  <r>
    <n v="41"/>
    <x v="29"/>
    <n v="4179"/>
    <x v="1012"/>
    <n v="3332"/>
    <n v="3628"/>
    <n v="6960"/>
    <n v="2308"/>
  </r>
  <r>
    <n v="41"/>
    <x v="29"/>
    <n v="4180"/>
    <x v="1013"/>
    <n v="1888"/>
    <n v="2108"/>
    <n v="3996"/>
    <n v="1926"/>
  </r>
  <r>
    <n v="41"/>
    <x v="29"/>
    <n v="4181"/>
    <x v="1014"/>
    <n v="4010"/>
    <n v="4020"/>
    <n v="8030"/>
    <n v="2371"/>
  </r>
  <r>
    <n v="41"/>
    <x v="29"/>
    <n v="4182"/>
    <x v="1015"/>
    <n v="2779"/>
    <n v="2823"/>
    <n v="5602"/>
    <n v="2047"/>
  </r>
  <r>
    <n v="41"/>
    <x v="29"/>
    <n v="4183"/>
    <x v="1016"/>
    <n v="2065"/>
    <n v="2198"/>
    <n v="4263"/>
    <n v="1801"/>
  </r>
  <r>
    <n v="41"/>
    <x v="29"/>
    <n v="4184"/>
    <x v="1017"/>
    <n v="2468"/>
    <n v="2578"/>
    <n v="5046"/>
    <n v="1760"/>
  </r>
  <r>
    <n v="41"/>
    <x v="29"/>
    <n v="4185"/>
    <x v="1018"/>
    <n v="2517"/>
    <n v="2787"/>
    <n v="5304"/>
    <n v="2752"/>
  </r>
  <r>
    <n v="41"/>
    <x v="29"/>
    <n v="4186"/>
    <x v="1019"/>
    <n v="3703"/>
    <n v="4026"/>
    <n v="7729"/>
    <n v="4609"/>
  </r>
  <r>
    <n v="41"/>
    <x v="29"/>
    <n v="4187"/>
    <x v="1020"/>
    <n v="3713"/>
    <n v="3942"/>
    <n v="7655"/>
    <n v="2421"/>
  </r>
  <r>
    <n v="41"/>
    <x v="29"/>
    <n v="4188"/>
    <x v="1021"/>
    <n v="4569"/>
    <n v="4803"/>
    <n v="9372"/>
    <n v="3045"/>
  </r>
  <r>
    <n v="41"/>
    <x v="29"/>
    <n v="4189"/>
    <x v="1022"/>
    <n v="1918"/>
    <n v="1944"/>
    <n v="3862"/>
    <n v="1121"/>
  </r>
  <r>
    <n v="41"/>
    <x v="29"/>
    <n v="4190"/>
    <x v="1023"/>
    <n v="1819"/>
    <n v="1843"/>
    <n v="3662"/>
    <n v="917"/>
  </r>
  <r>
    <n v="41"/>
    <x v="29"/>
    <n v="4191"/>
    <x v="1024"/>
    <n v="1968"/>
    <n v="2013"/>
    <n v="3981"/>
    <n v="1235"/>
  </r>
  <r>
    <n v="41"/>
    <x v="29"/>
    <n v="4192"/>
    <x v="1025"/>
    <n v="4797"/>
    <n v="5135"/>
    <n v="9932"/>
    <n v="4132"/>
  </r>
  <r>
    <n v="41"/>
    <x v="29"/>
    <n v="4193"/>
    <x v="403"/>
    <n v="15766"/>
    <n v="17646"/>
    <n v="33412"/>
    <n v="17663"/>
  </r>
  <r>
    <n v="41"/>
    <x v="29"/>
    <n v="4194"/>
    <x v="1026"/>
    <n v="14551"/>
    <n v="15928"/>
    <n v="30479"/>
    <n v="16400"/>
  </r>
  <r>
    <n v="41"/>
    <x v="29"/>
    <n v="4195"/>
    <x v="1027"/>
    <n v="3245"/>
    <n v="3901"/>
    <n v="7146"/>
    <n v="3719"/>
  </r>
  <r>
    <n v="41"/>
    <x v="29"/>
    <n v="4196"/>
    <x v="1028"/>
    <n v="4521"/>
    <n v="3866"/>
    <n v="8387"/>
    <n v="3678"/>
  </r>
  <r>
    <n v="41"/>
    <x v="29"/>
    <n v="4197"/>
    <x v="1029"/>
    <n v="1762"/>
    <n v="1895"/>
    <n v="3657"/>
    <n v="1382"/>
  </r>
  <r>
    <n v="41"/>
    <x v="29"/>
    <n v="4198"/>
    <x v="1030"/>
    <n v="3055"/>
    <n v="3271"/>
    <n v="6326"/>
    <n v="2759"/>
  </r>
  <r>
    <n v="41"/>
    <x v="29"/>
    <n v="4199"/>
    <x v="1031"/>
    <n v="54099"/>
    <n v="59861"/>
    <n v="113960"/>
    <n v="63163"/>
  </r>
  <r>
    <n v="42"/>
    <x v="30"/>
    <n v="4201"/>
    <x v="1032"/>
    <n v="29973"/>
    <n v="29366"/>
    <n v="59339"/>
    <n v="25177"/>
  </r>
  <r>
    <n v="42"/>
    <x v="30"/>
    <n v="4202"/>
    <x v="1033"/>
    <n v="4940"/>
    <n v="4864"/>
    <n v="9804"/>
    <n v="3846"/>
  </r>
  <r>
    <n v="42"/>
    <x v="30"/>
    <n v="4203"/>
    <x v="1034"/>
    <n v="18803"/>
    <n v="19059"/>
    <n v="37862"/>
    <n v="14890"/>
  </r>
  <r>
    <n v="42"/>
    <x v="30"/>
    <n v="4204"/>
    <x v="1035"/>
    <n v="17023"/>
    <n v="16527"/>
    <n v="33550"/>
    <n v="11815"/>
  </r>
  <r>
    <n v="42"/>
    <x v="30"/>
    <n v="4205"/>
    <x v="1036"/>
    <n v="24326"/>
    <n v="23797"/>
    <n v="48123"/>
    <n v="16959"/>
  </r>
  <r>
    <n v="42"/>
    <x v="30"/>
    <n v="4206"/>
    <x v="1037"/>
    <n v="4847"/>
    <n v="4802"/>
    <n v="9649"/>
    <n v="3255"/>
  </r>
  <r>
    <n v="42"/>
    <x v="30"/>
    <n v="4207"/>
    <x v="1038"/>
    <n v="10028"/>
    <n v="9674"/>
    <n v="19702"/>
    <n v="7713"/>
  </r>
  <r>
    <n v="42"/>
    <x v="30"/>
    <n v="4208"/>
    <x v="1039"/>
    <n v="12829"/>
    <n v="12861"/>
    <n v="25690"/>
    <n v="10443"/>
  </r>
  <r>
    <n v="42"/>
    <x v="30"/>
    <n v="4209"/>
    <x v="1040"/>
    <n v="49244"/>
    <n v="49928"/>
    <n v="99172"/>
    <n v="35939"/>
  </r>
  <r>
    <n v="42"/>
    <x v="30"/>
    <n v="4210"/>
    <x v="1041"/>
    <n v="13638"/>
    <n v="13526"/>
    <n v="27164"/>
    <n v="9273"/>
  </r>
  <r>
    <n v="42"/>
    <x v="30"/>
    <n v="4211"/>
    <x v="1042"/>
    <n v="12513"/>
    <n v="12285"/>
    <n v="24798"/>
    <n v="8147"/>
  </r>
  <r>
    <n v="42"/>
    <x v="30"/>
    <n v="4212"/>
    <x v="1043"/>
    <n v="15313"/>
    <n v="15285"/>
    <n v="30598"/>
    <n v="8801"/>
  </r>
  <r>
    <n v="42"/>
    <x v="30"/>
    <n v="4213"/>
    <x v="1044"/>
    <n v="16771"/>
    <n v="16881"/>
    <n v="33652"/>
    <n v="11926"/>
  </r>
  <r>
    <n v="42"/>
    <x v="30"/>
    <n v="4214"/>
    <x v="1045"/>
    <n v="10352"/>
    <n v="10192"/>
    <n v="20544"/>
    <n v="6434"/>
  </r>
  <r>
    <n v="42"/>
    <x v="30"/>
    <n v="4279"/>
    <x v="1046"/>
    <n v="5495"/>
    <n v="5486"/>
    <n v="10981"/>
    <n v="3630"/>
  </r>
  <r>
    <n v="42"/>
    <x v="30"/>
    <n v="4280"/>
    <x v="1047"/>
    <n v="4976"/>
    <n v="4841"/>
    <n v="9817"/>
    <n v="3041"/>
  </r>
  <r>
    <n v="42"/>
    <x v="30"/>
    <n v="4281"/>
    <x v="1048"/>
    <n v="4723"/>
    <n v="4830"/>
    <n v="9553"/>
    <n v="3557"/>
  </r>
  <r>
    <n v="42"/>
    <x v="30"/>
    <n v="4282"/>
    <x v="1049"/>
    <n v="5346"/>
    <n v="5312"/>
    <n v="10658"/>
    <n v="3846"/>
  </r>
  <r>
    <n v="42"/>
    <x v="30"/>
    <n v="4283"/>
    <x v="1050"/>
    <n v="5107"/>
    <n v="5185"/>
    <n v="10292"/>
    <n v="3679"/>
  </r>
  <r>
    <n v="42"/>
    <x v="30"/>
    <n v="4284"/>
    <x v="1051"/>
    <n v="6494"/>
    <n v="6787"/>
    <n v="13281"/>
    <n v="6516"/>
  </r>
  <r>
    <n v="42"/>
    <x v="30"/>
    <n v="4285"/>
    <x v="1052"/>
    <n v="3859"/>
    <n v="3835"/>
    <n v="7694"/>
    <n v="2250"/>
  </r>
  <r>
    <n v="42"/>
    <x v="30"/>
    <n v="4286"/>
    <x v="1053"/>
    <n v="2099"/>
    <n v="2229"/>
    <n v="4328"/>
    <n v="2163"/>
  </r>
  <r>
    <n v="42"/>
    <x v="30"/>
    <n v="4287"/>
    <x v="1054"/>
    <n v="3416"/>
    <n v="3508"/>
    <n v="6924"/>
    <n v="2834"/>
  </r>
  <r>
    <n v="42"/>
    <x v="30"/>
    <n v="4288"/>
    <x v="1055"/>
    <n v="4937"/>
    <n v="5401"/>
    <n v="10338"/>
    <n v="4736"/>
  </r>
  <r>
    <n v="42"/>
    <x v="30"/>
    <n v="4289"/>
    <x v="1056"/>
    <n v="825"/>
    <n v="901"/>
    <n v="1726"/>
    <n v="836"/>
  </r>
  <r>
    <n v="42"/>
    <x v="30"/>
    <n v="4290"/>
    <x v="1057"/>
    <n v="1337"/>
    <n v="1377"/>
    <n v="2714"/>
    <n v="1627"/>
  </r>
  <r>
    <n v="42"/>
    <x v="30"/>
    <n v="4291"/>
    <x v="1058"/>
    <n v="1035"/>
    <n v="1002"/>
    <n v="2037"/>
    <n v="965"/>
  </r>
  <r>
    <n v="42"/>
    <x v="30"/>
    <n v="4292"/>
    <x v="1059"/>
    <n v="1569"/>
    <n v="1657"/>
    <n v="3226"/>
    <n v="2048"/>
  </r>
  <r>
    <n v="42"/>
    <x v="30"/>
    <n v="4293"/>
    <x v="1060"/>
    <n v="1637"/>
    <n v="1729"/>
    <n v="3366"/>
    <n v="1637"/>
  </r>
  <r>
    <n v="42"/>
    <x v="30"/>
    <n v="4294"/>
    <x v="1061"/>
    <n v="2525"/>
    <n v="2584"/>
    <n v="5109"/>
    <n v="1715"/>
  </r>
  <r>
    <n v="42"/>
    <x v="30"/>
    <n v="4295"/>
    <x v="1062"/>
    <n v="2360"/>
    <n v="2559"/>
    <n v="4919"/>
    <n v="2895"/>
  </r>
  <r>
    <n v="42"/>
    <x v="30"/>
    <n v="4296"/>
    <x v="1063"/>
    <n v="3188"/>
    <n v="3228"/>
    <n v="6416"/>
    <n v="2461"/>
  </r>
  <r>
    <n v="42"/>
    <x v="30"/>
    <n v="4297"/>
    <x v="1064"/>
    <n v="1746"/>
    <n v="1804"/>
    <n v="3550"/>
    <n v="1274"/>
  </r>
  <r>
    <n v="42"/>
    <x v="30"/>
    <n v="4298"/>
    <x v="1065"/>
    <n v="2938"/>
    <n v="3054"/>
    <n v="5992"/>
    <n v="2416"/>
  </r>
  <r>
    <n v="42"/>
    <x v="30"/>
    <n v="4299"/>
    <x v="1066"/>
    <n v="9659"/>
    <n v="9960"/>
    <n v="19619"/>
    <n v="11638"/>
  </r>
  <r>
    <n v="43"/>
    <x v="31"/>
    <n v="4301"/>
    <x v="1067"/>
    <n v="37043"/>
    <n v="37750"/>
    <n v="74793"/>
    <n v="26094"/>
  </r>
  <r>
    <n v="43"/>
    <x v="31"/>
    <n v="4302"/>
    <x v="1068"/>
    <n v="29989"/>
    <n v="30856"/>
    <n v="60845"/>
    <n v="19666"/>
  </r>
  <r>
    <n v="43"/>
    <x v="31"/>
    <n v="4305"/>
    <x v="1069"/>
    <n v="47087"/>
    <n v="47704"/>
    <n v="94791"/>
    <n v="33367"/>
  </r>
  <r>
    <n v="43"/>
    <x v="31"/>
    <n v="4307"/>
    <x v="1070"/>
    <n v="11402"/>
    <n v="11770"/>
    <n v="23172"/>
    <n v="7800"/>
  </r>
  <r>
    <n v="43"/>
    <x v="31"/>
    <n v="4308"/>
    <x v="1071"/>
    <n v="11212"/>
    <n v="10995"/>
    <n v="22207"/>
    <n v="7631"/>
  </r>
  <r>
    <n v="43"/>
    <x v="31"/>
    <n v="4314"/>
    <x v="1072"/>
    <n v="13296"/>
    <n v="13192"/>
    <n v="26488"/>
    <n v="8997"/>
  </r>
  <r>
    <n v="43"/>
    <x v="31"/>
    <n v="4315"/>
    <x v="1073"/>
    <n v="19768"/>
    <n v="19801"/>
    <n v="39569"/>
    <n v="11852"/>
  </r>
  <r>
    <n v="43"/>
    <x v="31"/>
    <n v="4316"/>
    <x v="1074"/>
    <n v="18767"/>
    <n v="18760"/>
    <n v="37527"/>
    <n v="13604"/>
  </r>
  <r>
    <n v="43"/>
    <x v="31"/>
    <n v="4317"/>
    <x v="1075"/>
    <n v="7503"/>
    <n v="7572"/>
    <n v="15075"/>
    <n v="5369"/>
  </r>
  <r>
    <n v="43"/>
    <x v="31"/>
    <n v="4378"/>
    <x v="1076"/>
    <n v="5437"/>
    <n v="5500"/>
    <n v="10937"/>
    <n v="4222"/>
  </r>
  <r>
    <n v="43"/>
    <x v="31"/>
    <n v="4381"/>
    <x v="1077"/>
    <n v="3959"/>
    <n v="4229"/>
    <n v="8188"/>
    <n v="4106"/>
  </r>
  <r>
    <n v="43"/>
    <x v="31"/>
    <n v="4382"/>
    <x v="1078"/>
    <n v="4691"/>
    <n v="4883"/>
    <n v="9574"/>
    <n v="3177"/>
  </r>
  <r>
    <n v="43"/>
    <x v="31"/>
    <n v="4388"/>
    <x v="1079"/>
    <n v="1581"/>
    <n v="1661"/>
    <n v="3242"/>
    <n v="1531"/>
  </r>
  <r>
    <n v="43"/>
    <x v="31"/>
    <n v="4389"/>
    <x v="1080"/>
    <n v="2961"/>
    <n v="3110"/>
    <n v="6071"/>
    <n v="2964"/>
  </r>
  <r>
    <n v="43"/>
    <x v="31"/>
    <n v="4391"/>
    <x v="1081"/>
    <n v="1260"/>
    <n v="1246"/>
    <n v="2506"/>
    <n v="1258"/>
  </r>
  <r>
    <n v="43"/>
    <x v="31"/>
    <n v="4395"/>
    <x v="1082"/>
    <n v="1702"/>
    <n v="1933"/>
    <n v="3635"/>
    <n v="1178"/>
  </r>
  <r>
    <n v="43"/>
    <x v="31"/>
    <n v="4396"/>
    <x v="1083"/>
    <n v="8168"/>
    <n v="8626"/>
    <n v="16794"/>
    <n v="7626"/>
  </r>
  <r>
    <n v="43"/>
    <x v="31"/>
    <n v="4397"/>
    <x v="950"/>
    <n v="2531"/>
    <n v="2573"/>
    <n v="5104"/>
    <n v="2168"/>
  </r>
  <r>
    <n v="43"/>
    <x v="31"/>
    <n v="4398"/>
    <x v="1084"/>
    <n v="2737"/>
    <n v="3011"/>
    <n v="5748"/>
    <n v="1960"/>
  </r>
  <r>
    <n v="43"/>
    <x v="31"/>
    <n v="4399"/>
    <x v="1085"/>
    <n v="22100"/>
    <n v="23340"/>
    <n v="45440"/>
    <n v="25455"/>
  </r>
  <r>
    <n v="44"/>
    <x v="32"/>
    <n v="4401"/>
    <x v="1086"/>
    <n v="49819"/>
    <n v="52236"/>
    <n v="102055"/>
    <n v="38380"/>
  </r>
  <r>
    <n v="44"/>
    <x v="32"/>
    <n v="4402"/>
    <x v="1087"/>
    <n v="12138"/>
    <n v="12101"/>
    <n v="24239"/>
    <n v="6792"/>
  </r>
  <r>
    <n v="44"/>
    <x v="32"/>
    <n v="4403"/>
    <x v="1088"/>
    <n v="53150"/>
    <n v="54933"/>
    <n v="108083"/>
    <n v="32897"/>
  </r>
  <r>
    <n v="44"/>
    <x v="32"/>
    <n v="4404"/>
    <x v="1089"/>
    <n v="26783"/>
    <n v="27982"/>
    <n v="54765"/>
    <n v="17194"/>
  </r>
  <r>
    <n v="44"/>
    <x v="32"/>
    <n v="4405"/>
    <x v="1090"/>
    <n v="26966"/>
    <n v="28004"/>
    <n v="54970"/>
    <n v="18898"/>
  </r>
  <r>
    <n v="44"/>
    <x v="32"/>
    <n v="4406"/>
    <x v="1091"/>
    <n v="49969"/>
    <n v="50334"/>
    <n v="100303"/>
    <n v="35471"/>
  </r>
  <r>
    <n v="44"/>
    <x v="32"/>
    <n v="4407"/>
    <x v="1092"/>
    <n v="28114"/>
    <n v="28508"/>
    <n v="56622"/>
    <n v="18164"/>
  </r>
  <r>
    <n v="44"/>
    <x v="32"/>
    <n v="4408"/>
    <x v="1093"/>
    <n v="39005"/>
    <n v="39632"/>
    <n v="78637"/>
    <n v="23095"/>
  </r>
  <r>
    <n v="44"/>
    <x v="32"/>
    <n v="4409"/>
    <x v="1094"/>
    <n v="52713"/>
    <n v="53615"/>
    <n v="106328"/>
    <n v="31602"/>
  </r>
  <r>
    <n v="44"/>
    <x v="32"/>
    <n v="4410"/>
    <x v="1095"/>
    <n v="16036"/>
    <n v="16271"/>
    <n v="32307"/>
    <n v="8999"/>
  </r>
  <r>
    <n v="44"/>
    <x v="32"/>
    <n v="4411"/>
    <x v="1096"/>
    <n v="17114"/>
    <n v="17301"/>
    <n v="34415"/>
    <n v="10234"/>
  </r>
  <r>
    <n v="44"/>
    <x v="32"/>
    <n v="4412"/>
    <x v="1097"/>
    <n v="18434"/>
    <n v="18291"/>
    <n v="36725"/>
    <n v="11062"/>
  </r>
  <r>
    <n v="44"/>
    <x v="32"/>
    <n v="4413"/>
    <x v="1098"/>
    <n v="11903"/>
    <n v="12394"/>
    <n v="24297"/>
    <n v="7263"/>
  </r>
  <r>
    <n v="44"/>
    <x v="32"/>
    <n v="4487"/>
    <x v="1099"/>
    <n v="5185"/>
    <n v="6473"/>
    <n v="11658"/>
    <n v="6032"/>
  </r>
  <r>
    <n v="44"/>
    <x v="32"/>
    <n v="4488"/>
    <x v="1100"/>
    <n v="4277"/>
    <n v="4595"/>
    <n v="8872"/>
    <n v="6995"/>
  </r>
  <r>
    <n v="44"/>
    <x v="32"/>
    <n v="4489"/>
    <x v="1101"/>
    <n v="2358"/>
    <n v="2319"/>
    <n v="4677"/>
    <n v="1932"/>
  </r>
  <r>
    <n v="44"/>
    <x v="32"/>
    <n v="4490"/>
    <x v="1102"/>
    <n v="2142"/>
    <n v="2375"/>
    <n v="4517"/>
    <n v="2474"/>
  </r>
  <r>
    <n v="44"/>
    <x v="32"/>
    <n v="4491"/>
    <x v="1103"/>
    <n v="3748"/>
    <n v="4187"/>
    <n v="7935"/>
    <n v="4471"/>
  </r>
  <r>
    <n v="44"/>
    <x v="32"/>
    <n v="4492"/>
    <x v="1104"/>
    <n v="1771"/>
    <n v="1893"/>
    <n v="3664"/>
    <n v="2210"/>
  </r>
  <r>
    <n v="44"/>
    <x v="32"/>
    <n v="4493"/>
    <x v="1105"/>
    <n v="2389"/>
    <n v="2890"/>
    <n v="5279"/>
    <n v="2431"/>
  </r>
  <r>
    <n v="44"/>
    <x v="32"/>
    <n v="4494"/>
    <x v="1106"/>
    <n v="2152"/>
    <n v="2329"/>
    <n v="4481"/>
    <n v="2483"/>
  </r>
  <r>
    <n v="44"/>
    <x v="32"/>
    <n v="4495"/>
    <x v="1107"/>
    <n v="1525"/>
    <n v="1753"/>
    <n v="3278"/>
    <n v="1551"/>
  </r>
  <r>
    <n v="44"/>
    <x v="32"/>
    <n v="4496"/>
    <x v="1108"/>
    <n v="4210"/>
    <n v="4624"/>
    <n v="8834"/>
    <n v="4491"/>
  </r>
  <r>
    <n v="44"/>
    <x v="32"/>
    <n v="4497"/>
    <x v="1109"/>
    <n v="2621"/>
    <n v="2621"/>
    <n v="5242"/>
    <n v="1751"/>
  </r>
  <r>
    <n v="44"/>
    <x v="32"/>
    <n v="4498"/>
    <x v="1110"/>
    <n v="2738"/>
    <n v="2917"/>
    <n v="5655"/>
    <n v="2350"/>
  </r>
  <r>
    <n v="44"/>
    <x v="32"/>
    <n v="4499"/>
    <x v="1111"/>
    <n v="18986"/>
    <n v="23128"/>
    <n v="42114"/>
    <n v="22144"/>
  </r>
  <r>
    <n v="45"/>
    <x v="33"/>
    <n v="4501"/>
    <x v="1112"/>
    <n v="53908"/>
    <n v="56696"/>
    <n v="110604"/>
    <n v="44294"/>
  </r>
  <r>
    <n v="45"/>
    <x v="33"/>
    <n v="4502"/>
    <x v="1113"/>
    <n v="36269"/>
    <n v="36362"/>
    <n v="72631"/>
    <n v="21979"/>
  </r>
  <r>
    <n v="45"/>
    <x v="33"/>
    <n v="4503"/>
    <x v="1114"/>
    <n v="23097"/>
    <n v="23642"/>
    <n v="46739"/>
    <n v="13458"/>
  </r>
  <r>
    <n v="45"/>
    <x v="33"/>
    <n v="4504"/>
    <x v="1115"/>
    <n v="24867"/>
    <n v="25302"/>
    <n v="50169"/>
    <n v="14400"/>
  </r>
  <r>
    <n v="45"/>
    <x v="33"/>
    <n v="4505"/>
    <x v="1116"/>
    <n v="18446"/>
    <n v="18495"/>
    <n v="36941"/>
    <n v="11878"/>
  </r>
  <r>
    <n v="45"/>
    <x v="33"/>
    <n v="4506"/>
    <x v="1117"/>
    <n v="29234"/>
    <n v="29554"/>
    <n v="58788"/>
    <n v="18626"/>
  </r>
  <r>
    <n v="45"/>
    <x v="33"/>
    <n v="4507"/>
    <x v="1118"/>
    <n v="47594"/>
    <n v="48209"/>
    <n v="95803"/>
    <n v="30249"/>
  </r>
  <r>
    <n v="45"/>
    <x v="33"/>
    <n v="4508"/>
    <x v="1119"/>
    <n v="13319"/>
    <n v="13555"/>
    <n v="26874"/>
    <n v="8007"/>
  </r>
  <r>
    <n v="45"/>
    <x v="33"/>
    <n v="4509"/>
    <x v="1120"/>
    <n v="29781"/>
    <n v="29705"/>
    <n v="59486"/>
    <n v="17321"/>
  </r>
  <r>
    <n v="45"/>
    <x v="33"/>
    <n v="4510"/>
    <x v="1121"/>
    <n v="43910"/>
    <n v="44789"/>
    <n v="88699"/>
    <n v="26076"/>
  </r>
  <r>
    <n v="45"/>
    <x v="33"/>
    <n v="4511"/>
    <x v="1122"/>
    <n v="51319"/>
    <n v="52259"/>
    <n v="103578"/>
    <n v="31239"/>
  </r>
  <r>
    <n v="45"/>
    <x v="33"/>
    <n v="4512"/>
    <x v="1123"/>
    <n v="6686"/>
    <n v="6755"/>
    <n v="13441"/>
    <n v="3927"/>
  </r>
  <r>
    <n v="45"/>
    <x v="33"/>
    <n v="4513"/>
    <x v="1124"/>
    <n v="10938"/>
    <n v="11037"/>
    <n v="21975"/>
    <n v="5374"/>
  </r>
  <r>
    <n v="45"/>
    <x v="33"/>
    <n v="4514"/>
    <x v="1125"/>
    <n v="34157"/>
    <n v="34400"/>
    <n v="68557"/>
    <n v="19783"/>
  </r>
  <r>
    <n v="45"/>
    <x v="33"/>
    <n v="4515"/>
    <x v="1126"/>
    <n v="11254"/>
    <n v="11550"/>
    <n v="22804"/>
    <n v="7235"/>
  </r>
  <r>
    <n v="45"/>
    <x v="33"/>
    <n v="4516"/>
    <x v="1127"/>
    <n v="18110"/>
    <n v="17255"/>
    <n v="35365"/>
    <n v="11609"/>
  </r>
  <r>
    <n v="45"/>
    <x v="33"/>
    <n v="4517"/>
    <x v="1128"/>
    <n v="18647"/>
    <n v="19432"/>
    <n v="38079"/>
    <n v="12698"/>
  </r>
  <r>
    <n v="45"/>
    <x v="33"/>
    <n v="4518"/>
    <x v="1129"/>
    <n v="13133"/>
    <n v="13678"/>
    <n v="26811"/>
    <n v="8624"/>
  </r>
  <r>
    <n v="45"/>
    <x v="33"/>
    <n v="4519"/>
    <x v="1130"/>
    <n v="11825"/>
    <n v="11983"/>
    <n v="23808"/>
    <n v="6788"/>
  </r>
  <r>
    <n v="45"/>
    <x v="33"/>
    <n v="4520"/>
    <x v="1131"/>
    <n v="11253"/>
    <n v="11537"/>
    <n v="22790"/>
    <n v="6745"/>
  </r>
  <r>
    <n v="45"/>
    <x v="33"/>
    <n v="4565"/>
    <x v="1132"/>
    <n v="3384"/>
    <n v="3443"/>
    <n v="6827"/>
    <n v="3349"/>
  </r>
  <r>
    <n v="45"/>
    <x v="33"/>
    <n v="4566"/>
    <x v="1133"/>
    <n v="2578"/>
    <n v="2740"/>
    <n v="5318"/>
    <n v="2223"/>
  </r>
  <r>
    <n v="45"/>
    <x v="33"/>
    <n v="4569"/>
    <x v="1077"/>
    <n v="3225"/>
    <n v="3270"/>
    <n v="6495"/>
    <n v="1815"/>
  </r>
  <r>
    <n v="45"/>
    <x v="33"/>
    <n v="4570"/>
    <x v="1134"/>
    <n v="3266"/>
    <n v="3414"/>
    <n v="6680"/>
    <n v="2073"/>
  </r>
  <r>
    <n v="45"/>
    <x v="33"/>
    <n v="4571"/>
    <x v="1135"/>
    <n v="3134"/>
    <n v="3031"/>
    <n v="6165"/>
    <n v="1659"/>
  </r>
  <r>
    <n v="45"/>
    <x v="33"/>
    <n v="4572"/>
    <x v="1136"/>
    <n v="4222"/>
    <n v="4463"/>
    <n v="8685"/>
    <n v="2269"/>
  </r>
  <r>
    <n v="45"/>
    <x v="33"/>
    <n v="4573"/>
    <x v="1137"/>
    <n v="4208"/>
    <n v="4419"/>
    <n v="8627"/>
    <n v="2515"/>
  </r>
  <r>
    <n v="45"/>
    <x v="33"/>
    <n v="4574"/>
    <x v="1138"/>
    <n v="3566"/>
    <n v="3682"/>
    <n v="7248"/>
    <n v="2178"/>
  </r>
  <r>
    <n v="45"/>
    <x v="33"/>
    <n v="4575"/>
    <x v="1139"/>
    <n v="3935"/>
    <n v="4182"/>
    <n v="8117"/>
    <n v="2842"/>
  </r>
  <r>
    <n v="45"/>
    <x v="33"/>
    <n v="4576"/>
    <x v="1140"/>
    <n v="3528"/>
    <n v="3664"/>
    <n v="7192"/>
    <n v="2124"/>
  </r>
  <r>
    <n v="45"/>
    <x v="33"/>
    <n v="4577"/>
    <x v="1141"/>
    <n v="3426"/>
    <n v="3758"/>
    <n v="7184"/>
    <n v="2547"/>
  </r>
  <r>
    <n v="45"/>
    <x v="33"/>
    <n v="4578"/>
    <x v="1142"/>
    <n v="4048"/>
    <n v="4225"/>
    <n v="8273"/>
    <n v="2917"/>
  </r>
  <r>
    <n v="45"/>
    <x v="33"/>
    <n v="4579"/>
    <x v="1143"/>
    <n v="4625"/>
    <n v="4521"/>
    <n v="9146"/>
    <n v="2770"/>
  </r>
  <r>
    <n v="45"/>
    <x v="33"/>
    <n v="4580"/>
    <x v="1144"/>
    <n v="4067"/>
    <n v="4076"/>
    <n v="8143"/>
    <n v="2209"/>
  </r>
  <r>
    <n v="45"/>
    <x v="33"/>
    <n v="4581"/>
    <x v="1145"/>
    <n v="2633"/>
    <n v="2660"/>
    <n v="5293"/>
    <n v="1553"/>
  </r>
  <r>
    <n v="45"/>
    <x v="33"/>
    <n v="4583"/>
    <x v="1146"/>
    <n v="1893"/>
    <n v="2020"/>
    <n v="3913"/>
    <n v="1868"/>
  </r>
  <r>
    <n v="45"/>
    <x v="33"/>
    <n v="4584"/>
    <x v="1147"/>
    <n v="2727"/>
    <n v="2819"/>
    <n v="5546"/>
    <n v="2159"/>
  </r>
  <r>
    <n v="45"/>
    <x v="33"/>
    <n v="4585"/>
    <x v="1148"/>
    <n v="4633"/>
    <n v="4787"/>
    <n v="9420"/>
    <n v="3049"/>
  </r>
  <r>
    <n v="45"/>
    <x v="33"/>
    <n v="4586"/>
    <x v="1149"/>
    <n v="4091"/>
    <n v="4605"/>
    <n v="8696"/>
    <n v="4399"/>
  </r>
  <r>
    <n v="45"/>
    <x v="33"/>
    <n v="4587"/>
    <x v="1150"/>
    <n v="6113"/>
    <n v="6569"/>
    <n v="12682"/>
    <n v="5289"/>
  </r>
  <r>
    <n v="45"/>
    <x v="33"/>
    <n v="4588"/>
    <x v="1151"/>
    <n v="3064"/>
    <n v="3221"/>
    <n v="6285"/>
    <n v="2841"/>
  </r>
  <r>
    <n v="45"/>
    <x v="33"/>
    <n v="4589"/>
    <x v="1152"/>
    <n v="3980"/>
    <n v="4141"/>
    <n v="8121"/>
    <n v="2587"/>
  </r>
  <r>
    <n v="45"/>
    <x v="33"/>
    <n v="4590"/>
    <x v="1153"/>
    <n v="2541"/>
    <n v="2640"/>
    <n v="5181"/>
    <n v="1634"/>
  </r>
  <r>
    <n v="45"/>
    <x v="33"/>
    <n v="4591"/>
    <x v="1154"/>
    <n v="5427"/>
    <n v="5688"/>
    <n v="11115"/>
    <n v="5430"/>
  </r>
  <r>
    <n v="45"/>
    <x v="33"/>
    <n v="4592"/>
    <x v="1155"/>
    <n v="1905"/>
    <n v="2055"/>
    <n v="3960"/>
    <n v="1851"/>
  </r>
  <r>
    <n v="45"/>
    <x v="33"/>
    <n v="4593"/>
    <x v="1156"/>
    <n v="1164"/>
    <n v="1310"/>
    <n v="2474"/>
    <n v="1215"/>
  </r>
  <r>
    <n v="45"/>
    <x v="33"/>
    <n v="4594"/>
    <x v="1157"/>
    <n v="3652"/>
    <n v="3916"/>
    <n v="7568"/>
    <n v="2652"/>
  </r>
  <r>
    <n v="45"/>
    <x v="33"/>
    <n v="4595"/>
    <x v="1158"/>
    <n v="1752"/>
    <n v="1973"/>
    <n v="3725"/>
    <n v="1654"/>
  </r>
  <r>
    <n v="45"/>
    <x v="33"/>
    <n v="4596"/>
    <x v="1159"/>
    <n v="3040"/>
    <n v="3221"/>
    <n v="6261"/>
    <n v="2230"/>
  </r>
  <r>
    <n v="45"/>
    <x v="33"/>
    <n v="4597"/>
    <x v="1160"/>
    <n v="5039"/>
    <n v="5481"/>
    <n v="10520"/>
    <n v="5011"/>
  </r>
  <r>
    <n v="45"/>
    <x v="33"/>
    <n v="4598"/>
    <x v="1161"/>
    <n v="2174"/>
    <n v="2289"/>
    <n v="4463"/>
    <n v="1666"/>
  </r>
  <r>
    <n v="45"/>
    <x v="33"/>
    <n v="4599"/>
    <x v="1162"/>
    <n v="15038"/>
    <n v="17216"/>
    <n v="32254"/>
    <n v="16977"/>
  </r>
  <r>
    <n v="46"/>
    <x v="34"/>
    <n v="4601"/>
    <x v="1163"/>
    <n v="39537"/>
    <n v="41042"/>
    <n v="80579"/>
    <n v="27572"/>
  </r>
  <r>
    <n v="46"/>
    <x v="34"/>
    <n v="4602"/>
    <x v="1164"/>
    <n v="14490"/>
    <n v="14768"/>
    <n v="29258"/>
    <n v="9963"/>
  </r>
  <r>
    <n v="46"/>
    <x v="34"/>
    <n v="4603"/>
    <x v="1165"/>
    <n v="21825"/>
    <n v="22899"/>
    <n v="44724"/>
    <n v="12994"/>
  </r>
  <r>
    <n v="46"/>
    <x v="34"/>
    <n v="4604"/>
    <x v="1166"/>
    <n v="5089"/>
    <n v="5258"/>
    <n v="10347"/>
    <n v="3432"/>
  </r>
  <r>
    <n v="46"/>
    <x v="34"/>
    <n v="4605"/>
    <x v="1167"/>
    <n v="30590"/>
    <n v="30623"/>
    <n v="61213"/>
    <n v="22454"/>
  </r>
  <r>
    <n v="46"/>
    <x v="34"/>
    <n v="4606"/>
    <x v="1168"/>
    <n v="10265"/>
    <n v="10490"/>
    <n v="20755"/>
    <n v="9138"/>
  </r>
  <r>
    <n v="46"/>
    <x v="34"/>
    <n v="4607"/>
    <x v="1169"/>
    <n v="39400"/>
    <n v="41087"/>
    <n v="80487"/>
    <n v="25343"/>
  </r>
  <r>
    <n v="46"/>
    <x v="34"/>
    <n v="4608"/>
    <x v="1170"/>
    <n v="19955"/>
    <n v="19845"/>
    <n v="39800"/>
    <n v="12831"/>
  </r>
  <r>
    <n v="46"/>
    <x v="34"/>
    <n v="4609"/>
    <x v="1171"/>
    <n v="18506"/>
    <n v="18584"/>
    <n v="37090"/>
    <n v="11850"/>
  </r>
  <r>
    <n v="46"/>
    <x v="34"/>
    <n v="4610"/>
    <x v="1172"/>
    <n v="13287"/>
    <n v="13314"/>
    <n v="26601"/>
    <n v="7737"/>
  </r>
  <r>
    <n v="46"/>
    <x v="34"/>
    <n v="4611"/>
    <x v="1173"/>
    <n v="14181"/>
    <n v="14311"/>
    <n v="28492"/>
    <n v="8493"/>
  </r>
  <r>
    <n v="46"/>
    <x v="34"/>
    <n v="4612"/>
    <x v="1174"/>
    <n v="25391"/>
    <n v="25520"/>
    <n v="50911"/>
    <n v="16104"/>
  </r>
  <r>
    <n v="46"/>
    <x v="34"/>
    <n v="4613"/>
    <x v="1175"/>
    <n v="26992"/>
    <n v="27629"/>
    <n v="54621"/>
    <n v="19156"/>
  </r>
  <r>
    <n v="46"/>
    <x v="34"/>
    <n v="4614"/>
    <x v="1176"/>
    <n v="6853"/>
    <n v="7048"/>
    <n v="13901"/>
    <n v="4189"/>
  </r>
  <r>
    <n v="46"/>
    <x v="34"/>
    <n v="4615"/>
    <x v="1177"/>
    <n v="12711"/>
    <n v="12387"/>
    <n v="25098"/>
    <n v="8084"/>
  </r>
  <r>
    <n v="46"/>
    <x v="34"/>
    <n v="4616"/>
    <x v="1178"/>
    <n v="12647"/>
    <n v="12621"/>
    <n v="25268"/>
    <n v="8694"/>
  </r>
  <r>
    <n v="46"/>
    <x v="34"/>
    <n v="4617"/>
    <x v="1179"/>
    <n v="12832"/>
    <n v="13054"/>
    <n v="25886"/>
    <n v="8587"/>
  </r>
  <r>
    <n v="46"/>
    <x v="34"/>
    <n v="4618"/>
    <x v="1180"/>
    <n v="12962"/>
    <n v="13270"/>
    <n v="26232"/>
    <n v="7936"/>
  </r>
  <r>
    <n v="46"/>
    <x v="34"/>
    <n v="4665"/>
    <x v="1181"/>
    <n v="4715"/>
    <n v="4747"/>
    <n v="9462"/>
    <n v="2628"/>
  </r>
  <r>
    <n v="46"/>
    <x v="34"/>
    <n v="4666"/>
    <x v="1182"/>
    <n v="7138"/>
    <n v="6992"/>
    <n v="14130"/>
    <n v="3851"/>
  </r>
  <r>
    <n v="46"/>
    <x v="34"/>
    <n v="4667"/>
    <x v="1183"/>
    <n v="4162"/>
    <n v="4374"/>
    <n v="8536"/>
    <n v="2606"/>
  </r>
  <r>
    <n v="46"/>
    <x v="34"/>
    <n v="4669"/>
    <x v="993"/>
    <n v="5966"/>
    <n v="6272"/>
    <n v="12238"/>
    <n v="3899"/>
  </r>
  <r>
    <n v="46"/>
    <x v="34"/>
    <n v="4670"/>
    <x v="1184"/>
    <n v="6182"/>
    <n v="6546"/>
    <n v="12728"/>
    <n v="4621"/>
  </r>
  <r>
    <n v="46"/>
    <x v="34"/>
    <n v="4671"/>
    <x v="1185"/>
    <n v="6413"/>
    <n v="6523"/>
    <n v="12936"/>
    <n v="3554"/>
  </r>
  <r>
    <n v="46"/>
    <x v="34"/>
    <n v="4672"/>
    <x v="1186"/>
    <n v="2040"/>
    <n v="2190"/>
    <n v="4230"/>
    <n v="1388"/>
  </r>
  <r>
    <n v="46"/>
    <x v="34"/>
    <n v="4673"/>
    <x v="1187"/>
    <n v="5151"/>
    <n v="5132"/>
    <n v="10283"/>
    <n v="3131"/>
  </r>
  <r>
    <n v="46"/>
    <x v="34"/>
    <n v="4674"/>
    <x v="1188"/>
    <n v="1350"/>
    <n v="1359"/>
    <n v="2709"/>
    <n v="1043"/>
  </r>
  <r>
    <n v="46"/>
    <x v="34"/>
    <n v="4675"/>
    <x v="1189"/>
    <n v="5730"/>
    <n v="5895"/>
    <n v="11625"/>
    <n v="3554"/>
  </r>
  <r>
    <n v="46"/>
    <x v="34"/>
    <n v="4676"/>
    <x v="1190"/>
    <n v="2430"/>
    <n v="2675"/>
    <n v="5105"/>
    <n v="1995"/>
  </r>
  <r>
    <n v="46"/>
    <x v="34"/>
    <n v="4677"/>
    <x v="1191"/>
    <n v="2716"/>
    <n v="2862"/>
    <n v="5578"/>
    <n v="2352"/>
  </r>
  <r>
    <n v="46"/>
    <x v="34"/>
    <n v="4678"/>
    <x v="1192"/>
    <n v="3138"/>
    <n v="3393"/>
    <n v="6531"/>
    <n v="3490"/>
  </r>
  <r>
    <n v="46"/>
    <x v="34"/>
    <n v="4679"/>
    <x v="1053"/>
    <n v="2607"/>
    <n v="2666"/>
    <n v="5273"/>
    <n v="1697"/>
  </r>
  <r>
    <n v="46"/>
    <x v="34"/>
    <n v="4680"/>
    <x v="1193"/>
    <n v="4288"/>
    <n v="4449"/>
    <n v="8737"/>
    <n v="3586"/>
  </r>
  <r>
    <n v="46"/>
    <x v="34"/>
    <n v="4681"/>
    <x v="1194"/>
    <n v="4414"/>
    <n v="4586"/>
    <n v="9000"/>
    <n v="3096"/>
  </r>
  <r>
    <n v="46"/>
    <x v="34"/>
    <n v="4682"/>
    <x v="1195"/>
    <n v="1847"/>
    <n v="1875"/>
    <n v="3722"/>
    <n v="1145"/>
  </r>
  <r>
    <n v="46"/>
    <x v="34"/>
    <n v="4683"/>
    <x v="1196"/>
    <n v="1915"/>
    <n v="1962"/>
    <n v="3877"/>
    <n v="1798"/>
  </r>
  <r>
    <n v="46"/>
    <x v="34"/>
    <n v="4684"/>
    <x v="1197"/>
    <n v="2401"/>
    <n v="2652"/>
    <n v="5053"/>
    <n v="2130"/>
  </r>
  <r>
    <n v="46"/>
    <x v="34"/>
    <n v="4685"/>
    <x v="1198"/>
    <n v="2711"/>
    <n v="2852"/>
    <n v="5563"/>
    <n v="2352"/>
  </r>
  <r>
    <n v="46"/>
    <x v="34"/>
    <n v="4686"/>
    <x v="1199"/>
    <n v="2426"/>
    <n v="2491"/>
    <n v="4917"/>
    <n v="1695"/>
  </r>
  <r>
    <n v="46"/>
    <x v="34"/>
    <n v="4687"/>
    <x v="1200"/>
    <n v="3800"/>
    <n v="4311"/>
    <n v="8111"/>
    <n v="3962"/>
  </r>
  <r>
    <n v="46"/>
    <x v="34"/>
    <n v="4688"/>
    <x v="1201"/>
    <n v="1509"/>
    <n v="1624"/>
    <n v="3133"/>
    <n v="1341"/>
  </r>
  <r>
    <n v="46"/>
    <x v="34"/>
    <n v="4689"/>
    <x v="1202"/>
    <n v="4768"/>
    <n v="4998"/>
    <n v="9766"/>
    <n v="4661"/>
  </r>
  <r>
    <n v="46"/>
    <x v="34"/>
    <n v="4690"/>
    <x v="1203"/>
    <n v="5407"/>
    <n v="5662"/>
    <n v="11069"/>
    <n v="5147"/>
  </r>
  <r>
    <n v="46"/>
    <x v="34"/>
    <n v="4691"/>
    <x v="1204"/>
    <n v="2457"/>
    <n v="2686"/>
    <n v="5143"/>
    <n v="2132"/>
  </r>
  <r>
    <n v="46"/>
    <x v="34"/>
    <n v="4692"/>
    <x v="1205"/>
    <n v="2893"/>
    <n v="3059"/>
    <n v="5952"/>
    <n v="2340"/>
  </r>
  <r>
    <n v="46"/>
    <x v="34"/>
    <n v="4693"/>
    <x v="1206"/>
    <n v="3212"/>
    <n v="3518"/>
    <n v="6730"/>
    <n v="2294"/>
  </r>
  <r>
    <n v="46"/>
    <x v="34"/>
    <n v="4694"/>
    <x v="1207"/>
    <n v="3059"/>
    <n v="3155"/>
    <n v="6214"/>
    <n v="1767"/>
  </r>
  <r>
    <n v="46"/>
    <x v="34"/>
    <n v="4695"/>
    <x v="1208"/>
    <n v="4496"/>
    <n v="5049"/>
    <n v="9545"/>
    <n v="3826"/>
  </r>
  <r>
    <n v="46"/>
    <x v="34"/>
    <n v="4696"/>
    <x v="1209"/>
    <n v="3366"/>
    <n v="3414"/>
    <n v="6780"/>
    <n v="2473"/>
  </r>
  <r>
    <n v="46"/>
    <x v="34"/>
    <n v="4697"/>
    <x v="1210"/>
    <n v="3459"/>
    <n v="3756"/>
    <n v="7215"/>
    <n v="2412"/>
  </r>
  <r>
    <n v="46"/>
    <x v="34"/>
    <n v="4698"/>
    <x v="1211"/>
    <n v="4160"/>
    <n v="4170"/>
    <n v="8330"/>
    <n v="2626"/>
  </r>
  <r>
    <n v="46"/>
    <x v="34"/>
    <n v="4699"/>
    <x v="1212"/>
    <n v="14694"/>
    <n v="16266"/>
    <n v="30960"/>
    <n v="16742"/>
  </r>
  <r>
    <n v="47"/>
    <x v="35"/>
    <n v="4701"/>
    <x v="1213"/>
    <n v="56605"/>
    <n v="58341"/>
    <n v="114946"/>
    <n v="45179"/>
  </r>
  <r>
    <n v="47"/>
    <x v="35"/>
    <n v="4702"/>
    <x v="1214"/>
    <n v="21714"/>
    <n v="21904"/>
    <n v="43618"/>
    <n v="14689"/>
  </r>
  <r>
    <n v="47"/>
    <x v="35"/>
    <n v="4703"/>
    <x v="1215"/>
    <n v="13816"/>
    <n v="13576"/>
    <n v="27392"/>
    <n v="9629"/>
  </r>
  <r>
    <n v="47"/>
    <x v="35"/>
    <n v="4704"/>
    <x v="1216"/>
    <n v="38210"/>
    <n v="38876"/>
    <n v="77086"/>
    <n v="28270"/>
  </r>
  <r>
    <n v="47"/>
    <x v="35"/>
    <n v="4705"/>
    <x v="1217"/>
    <n v="22483"/>
    <n v="23170"/>
    <n v="45653"/>
    <n v="18386"/>
  </r>
  <r>
    <n v="47"/>
    <x v="35"/>
    <n v="4706"/>
    <x v="1218"/>
    <n v="17538"/>
    <n v="18103"/>
    <n v="35641"/>
    <n v="12935"/>
  </r>
  <r>
    <n v="47"/>
    <x v="35"/>
    <n v="4707"/>
    <x v="1219"/>
    <n v="7361"/>
    <n v="7365"/>
    <n v="14726"/>
    <n v="4786"/>
  </r>
  <r>
    <n v="47"/>
    <x v="35"/>
    <n v="4708"/>
    <x v="1220"/>
    <n v="59827"/>
    <n v="60504"/>
    <n v="120331"/>
    <n v="36508"/>
  </r>
  <r>
    <n v="47"/>
    <x v="35"/>
    <n v="4709"/>
    <x v="1221"/>
    <n v="16255"/>
    <n v="16485"/>
    <n v="32740"/>
    <n v="12145"/>
  </r>
  <r>
    <n v="47"/>
    <x v="35"/>
    <n v="4710"/>
    <x v="1222"/>
    <n v="33664"/>
    <n v="33223"/>
    <n v="66887"/>
    <n v="21145"/>
  </r>
  <r>
    <n v="47"/>
    <x v="35"/>
    <n v="4711"/>
    <x v="1223"/>
    <n v="27010"/>
    <n v="26846"/>
    <n v="53856"/>
    <n v="20277"/>
  </r>
  <r>
    <n v="47"/>
    <x v="35"/>
    <n v="4712"/>
    <x v="1224"/>
    <n v="62920"/>
    <n v="63953"/>
    <n v="126873"/>
    <n v="39010"/>
  </r>
  <r>
    <n v="47"/>
    <x v="35"/>
    <n v="4713"/>
    <x v="1225"/>
    <n v="14980"/>
    <n v="14580"/>
    <n v="29560"/>
    <n v="7993"/>
  </r>
  <r>
    <n v="47"/>
    <x v="35"/>
    <n v="4714"/>
    <x v="1226"/>
    <n v="12045"/>
    <n v="11997"/>
    <n v="24042"/>
    <n v="9216"/>
  </r>
  <r>
    <n v="47"/>
    <x v="35"/>
    <n v="4715"/>
    <x v="1227"/>
    <n v="10730"/>
    <n v="10882"/>
    <n v="21612"/>
    <n v="7997"/>
  </r>
  <r>
    <n v="47"/>
    <x v="35"/>
    <n v="4716"/>
    <x v="1228"/>
    <n v="19173"/>
    <n v="19036"/>
    <n v="38209"/>
    <n v="11178"/>
  </r>
  <r>
    <n v="47"/>
    <x v="35"/>
    <n v="4717"/>
    <x v="1229"/>
    <n v="18407"/>
    <n v="18398"/>
    <n v="36805"/>
    <n v="12397"/>
  </r>
  <r>
    <n v="47"/>
    <x v="35"/>
    <n v="4718"/>
    <x v="1230"/>
    <n v="18012"/>
    <n v="17707"/>
    <n v="35719"/>
    <n v="11003"/>
  </r>
  <r>
    <n v="47"/>
    <x v="35"/>
    <n v="4779"/>
    <x v="1231"/>
    <n v="6720"/>
    <n v="6914"/>
    <n v="13634"/>
    <n v="4320"/>
  </r>
  <r>
    <n v="47"/>
    <x v="35"/>
    <n v="4780"/>
    <x v="1232"/>
    <n v="6224"/>
    <n v="6419"/>
    <n v="12643"/>
    <n v="6006"/>
  </r>
  <r>
    <n v="47"/>
    <x v="35"/>
    <n v="4781"/>
    <x v="1233"/>
    <n v="5090"/>
    <n v="5031"/>
    <n v="10121"/>
    <n v="3151"/>
  </r>
  <r>
    <n v="47"/>
    <x v="35"/>
    <n v="4782"/>
    <x v="1234"/>
    <n v="4457"/>
    <n v="4512"/>
    <n v="8969"/>
    <n v="2531"/>
  </r>
  <r>
    <n v="47"/>
    <x v="35"/>
    <n v="4783"/>
    <x v="1235"/>
    <n v="7893"/>
    <n v="8157"/>
    <n v="16050"/>
    <n v="6418"/>
  </r>
  <r>
    <n v="47"/>
    <x v="35"/>
    <n v="4784"/>
    <x v="1236"/>
    <n v="3275"/>
    <n v="3433"/>
    <n v="6708"/>
    <n v="2427"/>
  </r>
  <r>
    <n v="47"/>
    <x v="35"/>
    <n v="4785"/>
    <x v="1237"/>
    <n v="2431"/>
    <n v="2443"/>
    <n v="4874"/>
    <n v="1702"/>
  </r>
  <r>
    <n v="47"/>
    <x v="35"/>
    <n v="4786"/>
    <x v="1238"/>
    <n v="3819"/>
    <n v="4177"/>
    <n v="7996"/>
    <n v="5077"/>
  </r>
  <r>
    <n v="47"/>
    <x v="35"/>
    <n v="4787"/>
    <x v="1239"/>
    <n v="2006"/>
    <n v="2074"/>
    <n v="4080"/>
    <n v="1339"/>
  </r>
  <r>
    <n v="47"/>
    <x v="35"/>
    <n v="4788"/>
    <x v="1240"/>
    <n v="4260"/>
    <n v="4488"/>
    <n v="8748"/>
    <n v="3147"/>
  </r>
  <r>
    <n v="47"/>
    <x v="35"/>
    <n v="4789"/>
    <x v="1241"/>
    <n v="1671"/>
    <n v="1815"/>
    <n v="3486"/>
    <n v="1573"/>
  </r>
  <r>
    <n v="47"/>
    <x v="35"/>
    <n v="4790"/>
    <x v="1242"/>
    <n v="3459"/>
    <n v="3572"/>
    <n v="7031"/>
    <n v="2406"/>
  </r>
  <r>
    <n v="47"/>
    <x v="35"/>
    <n v="4791"/>
    <x v="1243"/>
    <n v="2611"/>
    <n v="2887"/>
    <n v="5498"/>
    <n v="2421"/>
  </r>
  <r>
    <n v="47"/>
    <x v="35"/>
    <n v="4792"/>
    <x v="1244"/>
    <n v="1286"/>
    <n v="1339"/>
    <n v="2625"/>
    <n v="1416"/>
  </r>
  <r>
    <n v="47"/>
    <x v="35"/>
    <n v="4793"/>
    <x v="1245"/>
    <n v="3087"/>
    <n v="3240"/>
    <n v="6327"/>
    <n v="4187"/>
  </r>
  <r>
    <n v="47"/>
    <x v="35"/>
    <n v="4794"/>
    <x v="1246"/>
    <n v="1117"/>
    <n v="1256"/>
    <n v="2373"/>
    <n v="1499"/>
  </r>
  <r>
    <n v="47"/>
    <x v="35"/>
    <n v="4795"/>
    <x v="1247"/>
    <n v="2465"/>
    <n v="2589"/>
    <n v="5054"/>
    <n v="1995"/>
  </r>
  <r>
    <n v="47"/>
    <x v="35"/>
    <n v="4796"/>
    <x v="1248"/>
    <n v="1921"/>
    <n v="2062"/>
    <n v="3983"/>
    <n v="1791"/>
  </r>
  <r>
    <n v="47"/>
    <x v="35"/>
    <n v="4797"/>
    <x v="1249"/>
    <n v="3039"/>
    <n v="3321"/>
    <n v="6360"/>
    <n v="2368"/>
  </r>
  <r>
    <n v="47"/>
    <x v="35"/>
    <n v="4798"/>
    <x v="1250"/>
    <n v="2714"/>
    <n v="3050"/>
    <n v="5764"/>
    <n v="2344"/>
  </r>
  <r>
    <n v="47"/>
    <x v="35"/>
    <n v="4799"/>
    <x v="1251"/>
    <n v="23910"/>
    <n v="25842"/>
    <n v="49752"/>
    <n v="30255"/>
  </r>
  <r>
    <n v="48"/>
    <x v="36"/>
    <n v="4801"/>
    <x v="1252"/>
    <n v="58238"/>
    <n v="58085"/>
    <n v="116323"/>
    <n v="38292"/>
  </r>
  <r>
    <n v="48"/>
    <x v="36"/>
    <n v="4802"/>
    <x v="1253"/>
    <n v="25314"/>
    <n v="24974"/>
    <n v="50288"/>
    <n v="16998"/>
  </r>
  <r>
    <n v="48"/>
    <x v="36"/>
    <n v="4803"/>
    <x v="1254"/>
    <n v="27372"/>
    <n v="27076"/>
    <n v="54448"/>
    <n v="16593"/>
  </r>
  <r>
    <n v="48"/>
    <x v="36"/>
    <n v="4804"/>
    <x v="1255"/>
    <n v="13259"/>
    <n v="13154"/>
    <n v="26413"/>
    <n v="8719"/>
  </r>
  <r>
    <n v="48"/>
    <x v="36"/>
    <n v="4805"/>
    <x v="1256"/>
    <n v="35289"/>
    <n v="35882"/>
    <n v="71171"/>
    <n v="23042"/>
  </r>
  <r>
    <n v="48"/>
    <x v="36"/>
    <n v="4806"/>
    <x v="1257"/>
    <n v="20526"/>
    <n v="20541"/>
    <n v="41067"/>
    <n v="13624"/>
  </r>
  <r>
    <n v="48"/>
    <x v="36"/>
    <n v="4807"/>
    <x v="1258"/>
    <n v="35610"/>
    <n v="36127"/>
    <n v="71737"/>
    <n v="22679"/>
  </r>
  <r>
    <n v="48"/>
    <x v="36"/>
    <n v="4808"/>
    <x v="1259"/>
    <n v="31907"/>
    <n v="32302"/>
    <n v="64209"/>
    <n v="20234"/>
  </r>
  <r>
    <n v="48"/>
    <x v="36"/>
    <n v="4809"/>
    <x v="1260"/>
    <n v="19847"/>
    <n v="19810"/>
    <n v="39657"/>
    <n v="14034"/>
  </r>
  <r>
    <n v="48"/>
    <x v="36"/>
    <n v="4810"/>
    <x v="1261"/>
    <n v="26255"/>
    <n v="26346"/>
    <n v="52601"/>
    <n v="17720"/>
  </r>
  <r>
    <n v="48"/>
    <x v="36"/>
    <n v="4811"/>
    <x v="1262"/>
    <n v="11815"/>
    <n v="11793"/>
    <n v="23608"/>
    <n v="7983"/>
  </r>
  <r>
    <n v="48"/>
    <x v="36"/>
    <n v="4812"/>
    <x v="1263"/>
    <n v="7932"/>
    <n v="7732"/>
    <n v="15664"/>
    <n v="5021"/>
  </r>
  <r>
    <n v="48"/>
    <x v="36"/>
    <n v="4890"/>
    <x v="1264"/>
    <n v="1871"/>
    <n v="2000"/>
    <n v="3871"/>
    <n v="1674"/>
  </r>
  <r>
    <n v="48"/>
    <x v="36"/>
    <n v="4891"/>
    <x v="1265"/>
    <n v="2631"/>
    <n v="2674"/>
    <n v="5305"/>
    <n v="1945"/>
  </r>
  <r>
    <n v="48"/>
    <x v="36"/>
    <n v="4892"/>
    <x v="1266"/>
    <n v="5915"/>
    <n v="6101"/>
    <n v="12016"/>
    <n v="4452"/>
  </r>
  <r>
    <n v="48"/>
    <x v="36"/>
    <n v="4893"/>
    <x v="1267"/>
    <n v="2403"/>
    <n v="2513"/>
    <n v="4916"/>
    <n v="2713"/>
  </r>
  <r>
    <n v="48"/>
    <x v="36"/>
    <n v="4894"/>
    <x v="1268"/>
    <n v="1959"/>
    <n v="2195"/>
    <n v="4154"/>
    <n v="2396"/>
  </r>
  <r>
    <n v="48"/>
    <x v="36"/>
    <n v="4895"/>
    <x v="1269"/>
    <n v="2031"/>
    <n v="2280"/>
    <n v="4311"/>
    <n v="1753"/>
  </r>
  <r>
    <n v="48"/>
    <x v="36"/>
    <n v="4896"/>
    <x v="1270"/>
    <n v="4675"/>
    <n v="4961"/>
    <n v="9636"/>
    <n v="4236"/>
  </r>
  <r>
    <n v="48"/>
    <x v="36"/>
    <n v="4897"/>
    <x v="1271"/>
    <n v="4232"/>
    <n v="4379"/>
    <n v="8611"/>
    <n v="3866"/>
  </r>
  <r>
    <n v="48"/>
    <x v="36"/>
    <n v="4898"/>
    <x v="1272"/>
    <n v="2278"/>
    <n v="2409"/>
    <n v="4687"/>
    <n v="2057"/>
  </r>
  <r>
    <n v="48"/>
    <x v="36"/>
    <n v="4899"/>
    <x v="1273"/>
    <n v="12172"/>
    <n v="13875"/>
    <n v="26047"/>
    <n v="16152"/>
  </r>
  <r>
    <n v="49"/>
    <x v="37"/>
    <n v="4901"/>
    <x v="1274"/>
    <n v="40311"/>
    <n v="39830"/>
    <n v="80141"/>
    <n v="28489"/>
  </r>
  <r>
    <n v="49"/>
    <x v="37"/>
    <n v="4902"/>
    <x v="1275"/>
    <n v="16930"/>
    <n v="17041"/>
    <n v="33971"/>
    <n v="10666"/>
  </r>
  <r>
    <n v="49"/>
    <x v="37"/>
    <n v="4903"/>
    <x v="1276"/>
    <n v="19484"/>
    <n v="19276"/>
    <n v="38760"/>
    <n v="12387"/>
  </r>
  <r>
    <n v="49"/>
    <x v="37"/>
    <n v="4904"/>
    <x v="1277"/>
    <n v="19725"/>
    <n v="19361"/>
    <n v="39086"/>
    <n v="12797"/>
  </r>
  <r>
    <n v="49"/>
    <x v="37"/>
    <n v="4905"/>
    <x v="1278"/>
    <n v="21920"/>
    <n v="21985"/>
    <n v="43905"/>
    <n v="15234"/>
  </r>
  <r>
    <n v="49"/>
    <x v="37"/>
    <n v="4906"/>
    <x v="1279"/>
    <n v="10068"/>
    <n v="10146"/>
    <n v="20214"/>
    <n v="6806"/>
  </r>
  <r>
    <n v="49"/>
    <x v="37"/>
    <n v="4907"/>
    <x v="1280"/>
    <n v="10214"/>
    <n v="10290"/>
    <n v="20504"/>
    <n v="7795"/>
  </r>
  <r>
    <n v="49"/>
    <x v="37"/>
    <n v="4989"/>
    <x v="1281"/>
    <n v="1699"/>
    <n v="1622"/>
    <n v="3321"/>
    <n v="1114"/>
  </r>
  <r>
    <n v="49"/>
    <x v="37"/>
    <n v="4993"/>
    <x v="1282"/>
    <n v="1530"/>
    <n v="1553"/>
    <n v="3083"/>
    <n v="1041"/>
  </r>
  <r>
    <n v="49"/>
    <x v="37"/>
    <n v="4994"/>
    <x v="1283"/>
    <n v="6547"/>
    <n v="6449"/>
    <n v="12996"/>
    <n v="5108"/>
  </r>
  <r>
    <n v="49"/>
    <x v="37"/>
    <n v="4995"/>
    <x v="1284"/>
    <n v="5488"/>
    <n v="5273"/>
    <n v="10761"/>
    <n v="3202"/>
  </r>
  <r>
    <n v="49"/>
    <x v="37"/>
    <n v="4996"/>
    <x v="1285"/>
    <n v="1131"/>
    <n v="1146"/>
    <n v="2277"/>
    <n v="1156"/>
  </r>
  <r>
    <n v="49"/>
    <x v="37"/>
    <n v="4997"/>
    <x v="1286"/>
    <n v="1128"/>
    <n v="1295"/>
    <n v="2423"/>
    <n v="1003"/>
  </r>
  <r>
    <n v="49"/>
    <x v="37"/>
    <n v="4998"/>
    <x v="1287"/>
    <n v="2948"/>
    <n v="3125"/>
    <n v="6073"/>
    <n v="2465"/>
  </r>
  <r>
    <n v="49"/>
    <x v="37"/>
    <n v="4999"/>
    <x v="1288"/>
    <n v="15854"/>
    <n v="17141"/>
    <n v="32995"/>
    <n v="17063"/>
  </r>
  <r>
    <n v="50"/>
    <x v="38"/>
    <n v="5001"/>
    <x v="1289"/>
    <n v="7069"/>
    <n v="8007"/>
    <n v="15076"/>
    <n v="12110"/>
  </r>
  <r>
    <n v="50"/>
    <x v="38"/>
    <n v="5002"/>
    <x v="1290"/>
    <n v="27631"/>
    <n v="28893"/>
    <n v="56524"/>
    <n v="21254"/>
  </r>
  <r>
    <n v="50"/>
    <x v="38"/>
    <n v="5003"/>
    <x v="1291"/>
    <n v="29447"/>
    <n v="28544"/>
    <n v="57991"/>
    <n v="19448"/>
  </r>
  <r>
    <n v="50"/>
    <x v="38"/>
    <n v="5004"/>
    <x v="1292"/>
    <n v="13835"/>
    <n v="14392"/>
    <n v="28227"/>
    <n v="12238"/>
  </r>
  <r>
    <n v="50"/>
    <x v="38"/>
    <n v="5005"/>
    <x v="1293"/>
    <n v="22787"/>
    <n v="25424"/>
    <n v="48211"/>
    <n v="25360"/>
  </r>
  <r>
    <n v="50"/>
    <x v="38"/>
    <n v="5006"/>
    <x v="1294"/>
    <n v="29530"/>
    <n v="30077"/>
    <n v="59607"/>
    <n v="25979"/>
  </r>
  <r>
    <n v="50"/>
    <x v="38"/>
    <n v="5007"/>
    <x v="1295"/>
    <n v="41106"/>
    <n v="43422"/>
    <n v="84528"/>
    <n v="40928"/>
  </r>
  <r>
    <n v="50"/>
    <x v="38"/>
    <n v="5008"/>
    <x v="1296"/>
    <n v="9263"/>
    <n v="8966"/>
    <n v="18229"/>
    <n v="6406"/>
  </r>
  <r>
    <n v="50"/>
    <x v="38"/>
    <n v="5009"/>
    <x v="1297"/>
    <n v="55758"/>
    <n v="56854"/>
    <n v="112612"/>
    <n v="43035"/>
  </r>
  <r>
    <n v="50"/>
    <x v="38"/>
    <n v="5010"/>
    <x v="1298"/>
    <n v="34192"/>
    <n v="34339"/>
    <n v="68531"/>
    <n v="27309"/>
  </r>
  <r>
    <n v="50"/>
    <x v="38"/>
    <n v="5011"/>
    <x v="1299"/>
    <n v="17755"/>
    <n v="18316"/>
    <n v="36071"/>
    <n v="16185"/>
  </r>
  <r>
    <n v="50"/>
    <x v="38"/>
    <n v="5012"/>
    <x v="1300"/>
    <n v="27246"/>
    <n v="31155"/>
    <n v="58401"/>
    <n v="26903"/>
  </r>
  <r>
    <n v="50"/>
    <x v="38"/>
    <n v="5013"/>
    <x v="1301"/>
    <n v="20708"/>
    <n v="23586"/>
    <n v="44294"/>
    <n v="24814"/>
  </r>
  <r>
    <n v="50"/>
    <x v="38"/>
    <n v="5014"/>
    <x v="1302"/>
    <n v="10571"/>
    <n v="11916"/>
    <n v="22487"/>
    <n v="11713"/>
  </r>
  <r>
    <n v="50"/>
    <x v="38"/>
    <n v="5015"/>
    <x v="1303"/>
    <n v="37284"/>
    <n v="42668"/>
    <n v="79952"/>
    <n v="48482"/>
  </r>
  <r>
    <n v="50"/>
    <x v="38"/>
    <n v="5016"/>
    <x v="1304"/>
    <n v="12330"/>
    <n v="12633"/>
    <n v="24963"/>
    <n v="9985"/>
  </r>
  <r>
    <n v="50"/>
    <x v="38"/>
    <n v="5017"/>
    <x v="1305"/>
    <n v="11095"/>
    <n v="11293"/>
    <n v="22388"/>
    <n v="8998"/>
  </r>
  <r>
    <n v="50"/>
    <x v="38"/>
    <n v="5018"/>
    <x v="1306"/>
    <n v="31381"/>
    <n v="30976"/>
    <n v="62357"/>
    <n v="24185"/>
  </r>
  <r>
    <n v="50"/>
    <x v="38"/>
    <n v="5019"/>
    <x v="1307"/>
    <n v="23372"/>
    <n v="27021"/>
    <n v="50393"/>
    <n v="26501"/>
  </r>
  <r>
    <n v="50"/>
    <x v="38"/>
    <n v="5020"/>
    <x v="1308"/>
    <n v="27433"/>
    <n v="26776"/>
    <n v="54209"/>
    <n v="10301"/>
  </r>
  <r>
    <n v="50"/>
    <x v="38"/>
    <n v="5021"/>
    <x v="1309"/>
    <n v="17706"/>
    <n v="17770"/>
    <n v="35476"/>
    <n v="12323"/>
  </r>
  <r>
    <n v="50"/>
    <x v="38"/>
    <n v="5022"/>
    <x v="1310"/>
    <n v="13613"/>
    <n v="13833"/>
    <n v="27446"/>
    <n v="10423"/>
  </r>
  <r>
    <n v="50"/>
    <x v="38"/>
    <n v="5023"/>
    <x v="1311"/>
    <n v="10211"/>
    <n v="10519"/>
    <n v="20730"/>
    <n v="10094"/>
  </r>
  <r>
    <n v="50"/>
    <x v="38"/>
    <n v="5024"/>
    <x v="1312"/>
    <n v="11752"/>
    <n v="12633"/>
    <n v="24385"/>
    <n v="12068"/>
  </r>
  <r>
    <n v="50"/>
    <x v="38"/>
    <n v="5025"/>
    <x v="1313"/>
    <n v="6709"/>
    <n v="6384"/>
    <n v="13093"/>
    <n v="4736"/>
  </r>
  <r>
    <n v="50"/>
    <x v="38"/>
    <n v="5040"/>
    <x v="1314"/>
    <n v="4144"/>
    <n v="4631"/>
    <n v="8775"/>
    <n v="4322"/>
  </r>
  <r>
    <n v="50"/>
    <x v="38"/>
    <n v="5041"/>
    <x v="1315"/>
    <n v="5939"/>
    <n v="5977"/>
    <n v="11916"/>
    <n v="3997"/>
  </r>
  <r>
    <n v="50"/>
    <x v="38"/>
    <n v="5042"/>
    <x v="1316"/>
    <n v="7491"/>
    <n v="8447"/>
    <n v="15938"/>
    <n v="7348"/>
  </r>
  <r>
    <n v="50"/>
    <x v="38"/>
    <n v="5043"/>
    <x v="1317"/>
    <n v="6367"/>
    <n v="7601"/>
    <n v="13968"/>
    <n v="8993"/>
  </r>
  <r>
    <n v="50"/>
    <x v="38"/>
    <n v="5044"/>
    <x v="1318"/>
    <n v="2895"/>
    <n v="3462"/>
    <n v="6357"/>
    <n v="3683"/>
  </r>
  <r>
    <n v="50"/>
    <x v="38"/>
    <n v="5046"/>
    <x v="1319"/>
    <n v="8623"/>
    <n v="10088"/>
    <n v="18711"/>
    <n v="10814"/>
  </r>
  <r>
    <n v="50"/>
    <x v="38"/>
    <n v="5049"/>
    <x v="1320"/>
    <n v="3856"/>
    <n v="4201"/>
    <n v="8057"/>
    <n v="4053"/>
  </r>
  <r>
    <n v="50"/>
    <x v="38"/>
    <n v="5050"/>
    <x v="1321"/>
    <n v="18888"/>
    <n v="19505"/>
    <n v="38393"/>
    <n v="10171"/>
  </r>
  <r>
    <n v="50"/>
    <x v="38"/>
    <n v="5054"/>
    <x v="1322"/>
    <n v="5607"/>
    <n v="5498"/>
    <n v="11105"/>
    <n v="3195"/>
  </r>
  <r>
    <n v="50"/>
    <x v="38"/>
    <n v="5055"/>
    <x v="1323"/>
    <n v="7631"/>
    <n v="6708"/>
    <n v="14339"/>
    <n v="4775"/>
  </r>
  <r>
    <n v="50"/>
    <x v="38"/>
    <n v="5056"/>
    <x v="1324"/>
    <n v="1148"/>
    <n v="1213"/>
    <n v="2361"/>
    <n v="1213"/>
  </r>
  <r>
    <n v="50"/>
    <x v="38"/>
    <n v="5057"/>
    <x v="1325"/>
    <n v="8924"/>
    <n v="11043"/>
    <n v="19967"/>
    <n v="14290"/>
  </r>
  <r>
    <n v="50"/>
    <x v="38"/>
    <n v="5058"/>
    <x v="1326"/>
    <n v="3036"/>
    <n v="3518"/>
    <n v="6554"/>
    <n v="2911"/>
  </r>
  <r>
    <n v="50"/>
    <x v="38"/>
    <n v="5059"/>
    <x v="1327"/>
    <n v="3269"/>
    <n v="3909"/>
    <n v="7178"/>
    <n v="9881"/>
  </r>
  <r>
    <n v="50"/>
    <x v="38"/>
    <n v="5060"/>
    <x v="1328"/>
    <n v="7980"/>
    <n v="9626"/>
    <n v="17606"/>
    <n v="9887"/>
  </r>
  <r>
    <n v="50"/>
    <x v="38"/>
    <n v="5061"/>
    <x v="1329"/>
    <n v="3578"/>
    <n v="4385"/>
    <n v="7963"/>
    <n v="5764"/>
  </r>
  <r>
    <n v="50"/>
    <x v="38"/>
    <n v="5062"/>
    <x v="1330"/>
    <n v="4164"/>
    <n v="4819"/>
    <n v="8983"/>
    <n v="4104"/>
  </r>
  <r>
    <n v="50"/>
    <x v="38"/>
    <n v="5063"/>
    <x v="202"/>
    <n v="3361"/>
    <n v="3936"/>
    <n v="7297"/>
    <n v="5723"/>
  </r>
  <r>
    <n v="50"/>
    <x v="38"/>
    <n v="5064"/>
    <x v="1331"/>
    <n v="7576"/>
    <n v="8926"/>
    <n v="16502"/>
    <n v="9418"/>
  </r>
  <r>
    <n v="50"/>
    <x v="38"/>
    <n v="5065"/>
    <x v="1332"/>
    <n v="4059"/>
    <n v="4506"/>
    <n v="8565"/>
    <n v="4390"/>
  </r>
  <r>
    <n v="50"/>
    <x v="38"/>
    <n v="5066"/>
    <x v="1333"/>
    <n v="2907"/>
    <n v="3032"/>
    <n v="5939"/>
    <n v="2749"/>
  </r>
  <r>
    <n v="50"/>
    <x v="38"/>
    <n v="5067"/>
    <x v="1334"/>
    <n v="3791"/>
    <n v="4173"/>
    <n v="7964"/>
    <n v="3517"/>
  </r>
  <r>
    <n v="50"/>
    <x v="38"/>
    <n v="5068"/>
    <x v="1335"/>
    <n v="8260"/>
    <n v="9858"/>
    <n v="18118"/>
    <n v="11719"/>
  </r>
  <r>
    <n v="50"/>
    <x v="38"/>
    <n v="5069"/>
    <x v="1336"/>
    <n v="8281"/>
    <n v="8592"/>
    <n v="16873"/>
    <n v="11842"/>
  </r>
  <r>
    <n v="50"/>
    <x v="38"/>
    <n v="5070"/>
    <x v="1337"/>
    <n v="3459"/>
    <n v="3911"/>
    <n v="7370"/>
    <n v="6486"/>
  </r>
  <r>
    <n v="50"/>
    <x v="38"/>
    <n v="5071"/>
    <x v="1338"/>
    <n v="2125"/>
    <n v="2374"/>
    <n v="4499"/>
    <n v="2331"/>
  </r>
  <r>
    <n v="50"/>
    <x v="38"/>
    <n v="5072"/>
    <x v="1339"/>
    <n v="7257"/>
    <n v="8055"/>
    <n v="15312"/>
    <n v="6763"/>
  </r>
  <r>
    <n v="50"/>
    <x v="38"/>
    <n v="5073"/>
    <x v="1340"/>
    <n v="5079"/>
    <n v="6100"/>
    <n v="11179"/>
    <n v="6319"/>
  </r>
  <r>
    <n v="50"/>
    <x v="38"/>
    <n v="5074"/>
    <x v="1341"/>
    <n v="546"/>
    <n v="507"/>
    <n v="1053"/>
    <n v="858"/>
  </r>
  <r>
    <n v="50"/>
    <x v="38"/>
    <n v="5075"/>
    <x v="1342"/>
    <n v="2003"/>
    <n v="2139"/>
    <n v="4142"/>
    <n v="1916"/>
  </r>
  <r>
    <n v="50"/>
    <x v="38"/>
    <n v="5076"/>
    <x v="456"/>
    <n v="2665"/>
    <n v="2894"/>
    <n v="5559"/>
    <n v="3679"/>
  </r>
  <r>
    <n v="50"/>
    <x v="38"/>
    <n v="5077"/>
    <x v="1343"/>
    <n v="2902"/>
    <n v="3539"/>
    <n v="6441"/>
    <n v="4099"/>
  </r>
  <r>
    <n v="50"/>
    <x v="38"/>
    <n v="5078"/>
    <x v="1344"/>
    <n v="3746"/>
    <n v="4396"/>
    <n v="8142"/>
    <n v="3698"/>
  </r>
  <r>
    <n v="50"/>
    <x v="38"/>
    <n v="5079"/>
    <x v="1345"/>
    <n v="13385"/>
    <n v="16149"/>
    <n v="29534"/>
    <n v="17318"/>
  </r>
  <r>
    <n v="50"/>
    <x v="38"/>
    <n v="5080"/>
    <x v="1346"/>
    <n v="10540"/>
    <n v="12648"/>
    <n v="23188"/>
    <n v="15532"/>
  </r>
  <r>
    <n v="50"/>
    <x v="38"/>
    <n v="5081"/>
    <x v="1347"/>
    <n v="8044"/>
    <n v="9406"/>
    <n v="17450"/>
    <n v="9638"/>
  </r>
  <r>
    <n v="50"/>
    <x v="38"/>
    <n v="5082"/>
    <x v="1348"/>
    <n v="9345"/>
    <n v="11337"/>
    <n v="20682"/>
    <n v="14372"/>
  </r>
  <r>
    <n v="50"/>
    <x v="38"/>
    <n v="5083"/>
    <x v="1349"/>
    <n v="1926"/>
    <n v="2305"/>
    <n v="4231"/>
    <n v="2849"/>
  </r>
  <r>
    <n v="50"/>
    <x v="38"/>
    <n v="5084"/>
    <x v="102"/>
    <n v="4788"/>
    <n v="5461"/>
    <n v="10249"/>
    <n v="5652"/>
  </r>
  <r>
    <n v="50"/>
    <x v="38"/>
    <n v="5085"/>
    <x v="1350"/>
    <n v="2035"/>
    <n v="2415"/>
    <n v="4450"/>
    <n v="2908"/>
  </r>
  <r>
    <n v="50"/>
    <x v="38"/>
    <n v="5086"/>
    <x v="1351"/>
    <n v="4953"/>
    <n v="5420"/>
    <n v="10373"/>
    <n v="4579"/>
  </r>
  <r>
    <n v="50"/>
    <x v="38"/>
    <n v="5087"/>
    <x v="1352"/>
    <n v="3945"/>
    <n v="4271"/>
    <n v="8216"/>
    <n v="4065"/>
  </r>
  <r>
    <n v="50"/>
    <x v="38"/>
    <n v="5088"/>
    <x v="1353"/>
    <n v="891"/>
    <n v="938"/>
    <n v="1829"/>
    <n v="874"/>
  </r>
  <r>
    <n v="50"/>
    <x v="38"/>
    <n v="5089"/>
    <x v="1354"/>
    <n v="2612"/>
    <n v="2654"/>
    <n v="5266"/>
    <n v="2807"/>
  </r>
  <r>
    <n v="50"/>
    <x v="38"/>
    <n v="5090"/>
    <x v="1355"/>
    <n v="4238"/>
    <n v="4887"/>
    <n v="9125"/>
    <n v="6000"/>
  </r>
  <r>
    <n v="50"/>
    <x v="38"/>
    <n v="5091"/>
    <x v="1356"/>
    <n v="3814"/>
    <n v="4348"/>
    <n v="8162"/>
    <n v="5282"/>
  </r>
  <r>
    <n v="50"/>
    <x v="38"/>
    <n v="5092"/>
    <x v="1357"/>
    <n v="5648"/>
    <n v="6256"/>
    <n v="11904"/>
    <n v="5904"/>
  </r>
  <r>
    <n v="50"/>
    <x v="38"/>
    <n v="5093"/>
    <x v="1358"/>
    <n v="1836"/>
    <n v="2131"/>
    <n v="3967"/>
    <n v="2212"/>
  </r>
  <r>
    <n v="50"/>
    <x v="38"/>
    <n v="5094"/>
    <x v="1359"/>
    <n v="1725"/>
    <n v="1983"/>
    <n v="3708"/>
    <n v="2068"/>
  </r>
  <r>
    <n v="50"/>
    <x v="38"/>
    <n v="5095"/>
    <x v="1360"/>
    <n v="1717"/>
    <n v="1970"/>
    <n v="3687"/>
    <n v="2421"/>
  </r>
  <r>
    <n v="50"/>
    <x v="38"/>
    <n v="5096"/>
    <x v="1361"/>
    <n v="1233"/>
    <n v="1293"/>
    <n v="2526"/>
    <n v="1697"/>
  </r>
  <r>
    <n v="50"/>
    <x v="38"/>
    <n v="5097"/>
    <x v="897"/>
    <n v="4083"/>
    <n v="4818"/>
    <n v="8901"/>
    <n v="4662"/>
  </r>
  <r>
    <n v="50"/>
    <x v="38"/>
    <n v="5098"/>
    <x v="1362"/>
    <n v="4097"/>
    <n v="4638"/>
    <n v="8735"/>
    <n v="9515"/>
  </r>
  <r>
    <n v="50"/>
    <x v="38"/>
    <n v="5099"/>
    <x v="1363"/>
    <n v="53290"/>
    <n v="60239"/>
    <n v="113529"/>
    <n v="93443"/>
  </r>
  <r>
    <n v="51"/>
    <x v="39"/>
    <n v="5101"/>
    <x v="1364"/>
    <n v="28343"/>
    <n v="31894"/>
    <n v="60237"/>
    <n v="30277"/>
  </r>
  <r>
    <n v="51"/>
    <x v="39"/>
    <n v="5102"/>
    <x v="1365"/>
    <n v="11892"/>
    <n v="12374"/>
    <n v="24266"/>
    <n v="11016"/>
  </r>
  <r>
    <n v="51"/>
    <x v="39"/>
    <n v="5103"/>
    <x v="1366"/>
    <n v="12199"/>
    <n v="12882"/>
    <n v="25081"/>
    <n v="10660"/>
  </r>
  <r>
    <n v="51"/>
    <x v="39"/>
    <n v="5104"/>
    <x v="1367"/>
    <n v="30251"/>
    <n v="30099"/>
    <n v="60350"/>
    <n v="22195"/>
  </r>
  <r>
    <n v="51"/>
    <x v="39"/>
    <n v="5105"/>
    <x v="1368"/>
    <n v="8706"/>
    <n v="8728"/>
    <n v="17434"/>
    <n v="6684"/>
  </r>
  <r>
    <n v="51"/>
    <x v="39"/>
    <n v="5106"/>
    <x v="1369"/>
    <n v="13391"/>
    <n v="14354"/>
    <n v="27745"/>
    <n v="13244"/>
  </r>
  <r>
    <n v="51"/>
    <x v="39"/>
    <n v="5107"/>
    <x v="1370"/>
    <n v="3768"/>
    <n v="4173"/>
    <n v="7941"/>
    <n v="3525"/>
  </r>
  <r>
    <n v="51"/>
    <x v="39"/>
    <n v="5176"/>
    <x v="1371"/>
    <n v="2512"/>
    <n v="2741"/>
    <n v="5253"/>
    <n v="2311"/>
  </r>
  <r>
    <n v="51"/>
    <x v="39"/>
    <n v="5177"/>
    <x v="1372"/>
    <n v="2380"/>
    <n v="2502"/>
    <n v="4882"/>
    <n v="2374"/>
  </r>
  <r>
    <n v="51"/>
    <x v="39"/>
    <n v="5178"/>
    <x v="1373"/>
    <n v="2576"/>
    <n v="2792"/>
    <n v="5368"/>
    <n v="2622"/>
  </r>
  <r>
    <n v="51"/>
    <x v="39"/>
    <n v="5179"/>
    <x v="1374"/>
    <n v="1671"/>
    <n v="1831"/>
    <n v="3502"/>
    <n v="1832"/>
  </r>
  <r>
    <n v="51"/>
    <x v="39"/>
    <n v="5180"/>
    <x v="1375"/>
    <n v="2348"/>
    <n v="2682"/>
    <n v="5030"/>
    <n v="2449"/>
  </r>
  <r>
    <n v="51"/>
    <x v="39"/>
    <n v="5181"/>
    <x v="1376"/>
    <n v="7849"/>
    <n v="8654"/>
    <n v="16503"/>
    <n v="9548"/>
  </r>
  <r>
    <n v="51"/>
    <x v="39"/>
    <n v="5182"/>
    <x v="1377"/>
    <n v="3413"/>
    <n v="4008"/>
    <n v="7421"/>
    <n v="4146"/>
  </r>
  <r>
    <n v="51"/>
    <x v="39"/>
    <n v="5183"/>
    <x v="102"/>
    <n v="5506"/>
    <n v="6478"/>
    <n v="11984"/>
    <n v="11743"/>
  </r>
  <r>
    <n v="51"/>
    <x v="39"/>
    <n v="5184"/>
    <x v="1378"/>
    <n v="7364"/>
    <n v="8932"/>
    <n v="16296"/>
    <n v="8903"/>
  </r>
  <r>
    <n v="51"/>
    <x v="39"/>
    <n v="5185"/>
    <x v="1379"/>
    <n v="3242"/>
    <n v="3583"/>
    <n v="6825"/>
    <n v="2794"/>
  </r>
  <r>
    <n v="51"/>
    <x v="39"/>
    <n v="5186"/>
    <x v="1380"/>
    <n v="4438"/>
    <n v="4908"/>
    <n v="9346"/>
    <n v="4615"/>
  </r>
  <r>
    <n v="51"/>
    <x v="39"/>
    <n v="5187"/>
    <x v="1381"/>
    <n v="3470"/>
    <n v="3877"/>
    <n v="7347"/>
    <n v="3334"/>
  </r>
  <r>
    <n v="51"/>
    <x v="39"/>
    <n v="5188"/>
    <x v="1382"/>
    <n v="1868"/>
    <n v="2192"/>
    <n v="4060"/>
    <n v="2029"/>
  </r>
  <r>
    <n v="51"/>
    <x v="39"/>
    <n v="5189"/>
    <x v="1383"/>
    <n v="3674"/>
    <n v="4398"/>
    <n v="8072"/>
    <n v="4306"/>
  </r>
  <r>
    <n v="51"/>
    <x v="39"/>
    <n v="5190"/>
    <x v="1384"/>
    <n v="1262"/>
    <n v="1271"/>
    <n v="2533"/>
    <n v="1315"/>
  </r>
  <r>
    <n v="51"/>
    <x v="39"/>
    <n v="5191"/>
    <x v="1385"/>
    <n v="2015"/>
    <n v="2168"/>
    <n v="4183"/>
    <n v="2843"/>
  </r>
  <r>
    <n v="51"/>
    <x v="39"/>
    <n v="5192"/>
    <x v="1386"/>
    <n v="1575"/>
    <n v="1751"/>
    <n v="3326"/>
    <n v="1378"/>
  </r>
  <r>
    <n v="51"/>
    <x v="39"/>
    <n v="5193"/>
    <x v="1387"/>
    <n v="3301"/>
    <n v="3971"/>
    <n v="7272"/>
    <n v="3728"/>
  </r>
  <r>
    <n v="51"/>
    <x v="39"/>
    <n v="5194"/>
    <x v="1388"/>
    <n v="2505"/>
    <n v="2659"/>
    <n v="5164"/>
    <n v="2607"/>
  </r>
  <r>
    <n v="51"/>
    <x v="39"/>
    <n v="5195"/>
    <x v="1389"/>
    <n v="1353"/>
    <n v="1508"/>
    <n v="2861"/>
    <n v="1424"/>
  </r>
  <r>
    <n v="51"/>
    <x v="39"/>
    <n v="5196"/>
    <x v="1390"/>
    <n v="5875"/>
    <n v="6767"/>
    <n v="12642"/>
    <n v="6261"/>
  </r>
  <r>
    <n v="51"/>
    <x v="39"/>
    <n v="5197"/>
    <x v="1391"/>
    <n v="3075"/>
    <n v="3573"/>
    <n v="6648"/>
    <n v="3029"/>
  </r>
  <r>
    <n v="51"/>
    <x v="39"/>
    <n v="5198"/>
    <x v="1392"/>
    <n v="2881"/>
    <n v="3340"/>
    <n v="6221"/>
    <n v="3018"/>
  </r>
  <r>
    <n v="51"/>
    <x v="39"/>
    <n v="5199"/>
    <x v="1393"/>
    <n v="4944"/>
    <n v="6016"/>
    <n v="10960"/>
    <n v="7282"/>
  </r>
  <r>
    <n v="52"/>
    <x v="40"/>
    <n v="5201"/>
    <x v="1394"/>
    <n v="43427"/>
    <n v="45584"/>
    <n v="89011"/>
    <n v="40170"/>
  </r>
  <r>
    <n v="52"/>
    <x v="40"/>
    <n v="5202"/>
    <x v="1395"/>
    <n v="11858"/>
    <n v="11751"/>
    <n v="23609"/>
    <n v="9557"/>
  </r>
  <r>
    <n v="52"/>
    <x v="40"/>
    <n v="5203"/>
    <x v="1396"/>
    <n v="16776"/>
    <n v="18105"/>
    <n v="34881"/>
    <n v="13670"/>
  </r>
  <r>
    <n v="52"/>
    <x v="40"/>
    <n v="5204"/>
    <x v="1397"/>
    <n v="10803"/>
    <n v="10820"/>
    <n v="21623"/>
    <n v="7887"/>
  </r>
  <r>
    <n v="52"/>
    <x v="40"/>
    <n v="5205"/>
    <x v="1398"/>
    <n v="23538"/>
    <n v="23659"/>
    <n v="47197"/>
    <n v="18643"/>
  </r>
  <r>
    <n v="52"/>
    <x v="40"/>
    <n v="5206"/>
    <x v="1399"/>
    <n v="16508"/>
    <n v="17069"/>
    <n v="33577"/>
    <n v="13441"/>
  </r>
  <r>
    <n v="52"/>
    <x v="40"/>
    <n v="5207"/>
    <x v="1400"/>
    <n v="17981"/>
    <n v="17869"/>
    <n v="35850"/>
    <n v="13756"/>
  </r>
  <r>
    <n v="52"/>
    <x v="40"/>
    <n v="5208"/>
    <x v="1401"/>
    <n v="15845"/>
    <n v="16423"/>
    <n v="32268"/>
    <n v="11762"/>
  </r>
  <r>
    <n v="52"/>
    <x v="40"/>
    <n v="5209"/>
    <x v="1402"/>
    <n v="4405"/>
    <n v="4561"/>
    <n v="8966"/>
    <n v="3302"/>
  </r>
  <r>
    <n v="52"/>
    <x v="40"/>
    <n v="5210"/>
    <x v="1403"/>
    <n v="13239"/>
    <n v="13656"/>
    <n v="26895"/>
    <n v="11044"/>
  </r>
  <r>
    <n v="52"/>
    <x v="40"/>
    <n v="5211"/>
    <x v="1404"/>
    <n v="10098"/>
    <n v="10464"/>
    <n v="20562"/>
    <n v="6794"/>
  </r>
  <r>
    <n v="52"/>
    <x v="40"/>
    <n v="5212"/>
    <x v="1405"/>
    <n v="22314"/>
    <n v="23265"/>
    <n v="45579"/>
    <n v="20049"/>
  </r>
  <r>
    <n v="52"/>
    <x v="40"/>
    <n v="5213"/>
    <x v="1406"/>
    <n v="15810"/>
    <n v="15926"/>
    <n v="31736"/>
    <n v="12619"/>
  </r>
  <r>
    <n v="52"/>
    <x v="40"/>
    <n v="5275"/>
    <x v="1407"/>
    <n v="4518"/>
    <n v="4750"/>
    <n v="9268"/>
    <n v="3589"/>
  </r>
  <r>
    <n v="52"/>
    <x v="40"/>
    <n v="5276"/>
    <x v="1408"/>
    <n v="3063"/>
    <n v="3211"/>
    <n v="6274"/>
    <n v="3058"/>
  </r>
  <r>
    <n v="52"/>
    <x v="40"/>
    <n v="5279"/>
    <x v="1409"/>
    <n v="4197"/>
    <n v="4444"/>
    <n v="8641"/>
    <n v="3248"/>
  </r>
  <r>
    <n v="52"/>
    <x v="40"/>
    <n v="5280"/>
    <x v="1410"/>
    <n v="4215"/>
    <n v="4676"/>
    <n v="8891"/>
    <n v="3432"/>
  </r>
  <r>
    <n v="52"/>
    <x v="40"/>
    <n v="5281"/>
    <x v="1411"/>
    <n v="2287"/>
    <n v="2191"/>
    <n v="4478"/>
    <n v="1639"/>
  </r>
  <r>
    <n v="52"/>
    <x v="40"/>
    <n v="5282"/>
    <x v="1412"/>
    <n v="7206"/>
    <n v="7605"/>
    <n v="14811"/>
    <n v="8891"/>
  </r>
  <r>
    <n v="52"/>
    <x v="40"/>
    <n v="5283"/>
    <x v="1413"/>
    <n v="4980"/>
    <n v="5032"/>
    <n v="10012"/>
    <n v="3645"/>
  </r>
  <r>
    <n v="52"/>
    <x v="40"/>
    <n v="5284"/>
    <x v="1414"/>
    <n v="1196"/>
    <n v="1478"/>
    <n v="2674"/>
    <n v="1339"/>
  </r>
  <r>
    <n v="52"/>
    <x v="40"/>
    <n v="5285"/>
    <x v="1415"/>
    <n v="2516"/>
    <n v="2798"/>
    <n v="5314"/>
    <n v="2141"/>
  </r>
  <r>
    <n v="52"/>
    <x v="40"/>
    <n v="5286"/>
    <x v="1416"/>
    <n v="3637"/>
    <n v="3887"/>
    <n v="7524"/>
    <n v="3053"/>
  </r>
  <r>
    <n v="52"/>
    <x v="40"/>
    <n v="5287"/>
    <x v="1417"/>
    <n v="1148"/>
    <n v="1283"/>
    <n v="2431"/>
    <n v="1164"/>
  </r>
  <r>
    <n v="52"/>
    <x v="40"/>
    <n v="5288"/>
    <x v="1418"/>
    <n v="1721"/>
    <n v="1928"/>
    <n v="3649"/>
    <n v="1372"/>
  </r>
  <r>
    <n v="52"/>
    <x v="40"/>
    <n v="5289"/>
    <x v="1419"/>
    <n v="6226"/>
    <n v="7266"/>
    <n v="13492"/>
    <n v="7321"/>
  </r>
  <r>
    <n v="52"/>
    <x v="40"/>
    <n v="5290"/>
    <x v="1420"/>
    <n v="1924"/>
    <n v="1943"/>
    <n v="3867"/>
    <n v="2027"/>
  </r>
  <r>
    <n v="52"/>
    <x v="40"/>
    <n v="5291"/>
    <x v="1421"/>
    <n v="1203"/>
    <n v="1239"/>
    <n v="2442"/>
    <n v="903"/>
  </r>
  <r>
    <n v="52"/>
    <x v="40"/>
    <n v="5292"/>
    <x v="1422"/>
    <n v="1539"/>
    <n v="1723"/>
    <n v="3262"/>
    <n v="1710"/>
  </r>
  <r>
    <n v="52"/>
    <x v="40"/>
    <n v="5293"/>
    <x v="1423"/>
    <n v="3934"/>
    <n v="4043"/>
    <n v="7977"/>
    <n v="3138"/>
  </r>
  <r>
    <n v="52"/>
    <x v="40"/>
    <n v="5294"/>
    <x v="1424"/>
    <n v="1846"/>
    <n v="2098"/>
    <n v="3944"/>
    <n v="2411"/>
  </r>
  <r>
    <n v="52"/>
    <x v="40"/>
    <n v="5295"/>
    <x v="1425"/>
    <n v="2014"/>
    <n v="2344"/>
    <n v="4358"/>
    <n v="2438"/>
  </r>
  <r>
    <n v="52"/>
    <x v="40"/>
    <n v="5296"/>
    <x v="1426"/>
    <n v="6130"/>
    <n v="7063"/>
    <n v="13193"/>
    <n v="6707"/>
  </r>
  <r>
    <n v="52"/>
    <x v="40"/>
    <n v="5297"/>
    <x v="1427"/>
    <n v="4499"/>
    <n v="5033"/>
    <n v="9532"/>
    <n v="4619"/>
  </r>
  <r>
    <n v="52"/>
    <x v="40"/>
    <n v="5298"/>
    <x v="1428"/>
    <n v="27691"/>
    <n v="30883"/>
    <n v="58574"/>
    <n v="27329"/>
  </r>
  <r>
    <n v="52"/>
    <x v="40"/>
    <n v="5299"/>
    <x v="1429"/>
    <n v="21371"/>
    <n v="26393"/>
    <n v="47764"/>
    <n v="30101"/>
  </r>
  <r>
    <n v="53"/>
    <x v="41"/>
    <n v="5301"/>
    <x v="1430"/>
    <n v="21966"/>
    <n v="23217"/>
    <n v="45183"/>
    <n v="18462"/>
  </r>
  <r>
    <n v="53"/>
    <x v="41"/>
    <n v="5302"/>
    <x v="1431"/>
    <n v="14046"/>
    <n v="14939"/>
    <n v="28985"/>
    <n v="10370"/>
  </r>
  <r>
    <n v="53"/>
    <x v="41"/>
    <n v="5303"/>
    <x v="1432"/>
    <n v="14059"/>
    <n v="14283"/>
    <n v="28342"/>
    <n v="10207"/>
  </r>
  <r>
    <n v="53"/>
    <x v="41"/>
    <n v="5304"/>
    <x v="1433"/>
    <n v="16210"/>
    <n v="16299"/>
    <n v="32509"/>
    <n v="12376"/>
  </r>
  <r>
    <n v="53"/>
    <x v="41"/>
    <n v="5305"/>
    <x v="1434"/>
    <n v="6226"/>
    <n v="6629"/>
    <n v="12855"/>
    <n v="5273"/>
  </r>
  <r>
    <n v="53"/>
    <x v="41"/>
    <n v="5306"/>
    <x v="1435"/>
    <n v="5199"/>
    <n v="5082"/>
    <n v="10281"/>
    <n v="4683"/>
  </r>
  <r>
    <n v="53"/>
    <x v="41"/>
    <n v="5307"/>
    <x v="1436"/>
    <n v="33965"/>
    <n v="36035"/>
    <n v="70000"/>
    <n v="26684"/>
  </r>
  <r>
    <n v="53"/>
    <x v="41"/>
    <n v="5308"/>
    <x v="1437"/>
    <n v="17729"/>
    <n v="18187"/>
    <n v="35916"/>
    <n v="15646"/>
  </r>
  <r>
    <n v="53"/>
    <x v="41"/>
    <n v="5309"/>
    <x v="1438"/>
    <n v="12740"/>
    <n v="13076"/>
    <n v="25816"/>
    <n v="9842"/>
  </r>
  <r>
    <n v="53"/>
    <x v="41"/>
    <n v="5377"/>
    <x v="1439"/>
    <n v="7531"/>
    <n v="7357"/>
    <n v="14888"/>
    <n v="7999"/>
  </r>
  <r>
    <n v="53"/>
    <x v="41"/>
    <n v="5378"/>
    <x v="1440"/>
    <n v="3326"/>
    <n v="3507"/>
    <n v="6833"/>
    <n v="2681"/>
  </r>
  <r>
    <n v="53"/>
    <x v="41"/>
    <n v="5379"/>
    <x v="1441"/>
    <n v="3582"/>
    <n v="3896"/>
    <n v="7478"/>
    <n v="2736"/>
  </r>
  <r>
    <n v="53"/>
    <x v="41"/>
    <n v="5380"/>
    <x v="1442"/>
    <n v="4227"/>
    <n v="4082"/>
    <n v="8309"/>
    <n v="2371"/>
  </r>
  <r>
    <n v="53"/>
    <x v="41"/>
    <n v="5381"/>
    <x v="1443"/>
    <n v="4214"/>
    <n v="4521"/>
    <n v="8735"/>
    <n v="3612"/>
  </r>
  <r>
    <n v="53"/>
    <x v="41"/>
    <n v="5382"/>
    <x v="1444"/>
    <n v="3796"/>
    <n v="4116"/>
    <n v="7912"/>
    <n v="3163"/>
  </r>
  <r>
    <n v="53"/>
    <x v="41"/>
    <n v="5383"/>
    <x v="1445"/>
    <n v="4369"/>
    <n v="5087"/>
    <n v="9456"/>
    <n v="4033"/>
  </r>
  <r>
    <n v="53"/>
    <x v="41"/>
    <n v="5384"/>
    <x v="1446"/>
    <n v="2127"/>
    <n v="2313"/>
    <n v="4440"/>
    <n v="1870"/>
  </r>
  <r>
    <n v="53"/>
    <x v="41"/>
    <n v="5385"/>
    <x v="1447"/>
    <n v="2613"/>
    <n v="2784"/>
    <n v="5397"/>
    <n v="2230"/>
  </r>
  <r>
    <n v="53"/>
    <x v="41"/>
    <n v="5386"/>
    <x v="1448"/>
    <n v="4488"/>
    <n v="5194"/>
    <n v="9682"/>
    <n v="4296"/>
  </r>
  <r>
    <n v="53"/>
    <x v="41"/>
    <n v="5387"/>
    <x v="1449"/>
    <n v="790"/>
    <n v="951"/>
    <n v="1741"/>
    <n v="1018"/>
  </r>
  <r>
    <n v="53"/>
    <x v="41"/>
    <n v="5388"/>
    <x v="1450"/>
    <n v="545"/>
    <n v="623"/>
    <n v="1168"/>
    <n v="592"/>
  </r>
  <r>
    <n v="53"/>
    <x v="41"/>
    <n v="5389"/>
    <x v="895"/>
    <n v="1920"/>
    <n v="1910"/>
    <n v="3830"/>
    <n v="1976"/>
  </r>
  <r>
    <n v="53"/>
    <x v="41"/>
    <n v="5390"/>
    <x v="1451"/>
    <n v="429"/>
    <n v="397"/>
    <n v="826"/>
    <n v="433"/>
  </r>
  <r>
    <n v="53"/>
    <x v="41"/>
    <n v="5391"/>
    <x v="1452"/>
    <n v="1325"/>
    <n v="1450"/>
    <n v="2775"/>
    <n v="1618"/>
  </r>
  <r>
    <n v="53"/>
    <x v="41"/>
    <n v="5392"/>
    <x v="1453"/>
    <n v="1560"/>
    <n v="1750"/>
    <n v="3310"/>
    <n v="1242"/>
  </r>
  <r>
    <n v="53"/>
    <x v="41"/>
    <n v="5393"/>
    <x v="1454"/>
    <n v="1039"/>
    <n v="1141"/>
    <n v="2180"/>
    <n v="993"/>
  </r>
  <r>
    <n v="53"/>
    <x v="41"/>
    <n v="5394"/>
    <x v="1455"/>
    <n v="996"/>
    <n v="1066"/>
    <n v="2062"/>
    <n v="904"/>
  </r>
  <r>
    <n v="53"/>
    <x v="41"/>
    <n v="5395"/>
    <x v="1456"/>
    <n v="796"/>
    <n v="872"/>
    <n v="1668"/>
    <n v="706"/>
  </r>
  <r>
    <n v="53"/>
    <x v="41"/>
    <n v="5396"/>
    <x v="1457"/>
    <n v="4403"/>
    <n v="4996"/>
    <n v="9399"/>
    <n v="3511"/>
  </r>
  <r>
    <n v="53"/>
    <x v="41"/>
    <n v="5397"/>
    <x v="1458"/>
    <n v="1809"/>
    <n v="1929"/>
    <n v="3738"/>
    <n v="1414"/>
  </r>
  <r>
    <n v="53"/>
    <x v="41"/>
    <n v="5398"/>
    <x v="1459"/>
    <n v="1262"/>
    <n v="1492"/>
    <n v="2754"/>
    <n v="1217"/>
  </r>
  <r>
    <n v="53"/>
    <x v="41"/>
    <n v="5399"/>
    <x v="1460"/>
    <n v="12718"/>
    <n v="15097"/>
    <n v="27815"/>
    <n v="15150"/>
  </r>
  <r>
    <n v="54"/>
    <x v="42"/>
    <n v="5401"/>
    <x v="1461"/>
    <n v="28699"/>
    <n v="32615"/>
    <n v="61314"/>
    <n v="28617"/>
  </r>
  <r>
    <n v="54"/>
    <x v="42"/>
    <n v="5402"/>
    <x v="1462"/>
    <n v="16518"/>
    <n v="17855"/>
    <n v="34373"/>
    <n v="13142"/>
  </r>
  <r>
    <n v="54"/>
    <x v="42"/>
    <n v="5403"/>
    <x v="1463"/>
    <n v="14713"/>
    <n v="14999"/>
    <n v="29712"/>
    <n v="11762"/>
  </r>
  <r>
    <n v="54"/>
    <x v="42"/>
    <n v="5404"/>
    <x v="1464"/>
    <n v="31494"/>
    <n v="34969"/>
    <n v="66463"/>
    <n v="28710"/>
  </r>
  <r>
    <n v="54"/>
    <x v="42"/>
    <n v="5405"/>
    <x v="1465"/>
    <n v="9912"/>
    <n v="9446"/>
    <n v="19358"/>
    <n v="8691"/>
  </r>
  <r>
    <n v="54"/>
    <x v="42"/>
    <n v="5406"/>
    <x v="1466"/>
    <n v="19928"/>
    <n v="20891"/>
    <n v="40819"/>
    <n v="16762"/>
  </r>
  <r>
    <n v="54"/>
    <x v="42"/>
    <n v="5407"/>
    <x v="1467"/>
    <n v="20605"/>
    <n v="20790"/>
    <n v="41395"/>
    <n v="15835"/>
  </r>
  <r>
    <n v="54"/>
    <x v="42"/>
    <n v="5408"/>
    <x v="1468"/>
    <n v="5656"/>
    <n v="6514"/>
    <n v="12170"/>
    <n v="5136"/>
  </r>
  <r>
    <n v="54"/>
    <x v="42"/>
    <n v="5482"/>
    <x v="1469"/>
    <n v="3117"/>
    <n v="3277"/>
    <n v="6394"/>
    <n v="2771"/>
  </r>
  <r>
    <n v="54"/>
    <x v="42"/>
    <n v="5483"/>
    <x v="1470"/>
    <n v="1403"/>
    <n v="1400"/>
    <n v="2803"/>
    <n v="1173"/>
  </r>
  <r>
    <n v="54"/>
    <x v="42"/>
    <n v="5484"/>
    <x v="1471"/>
    <n v="3066"/>
    <n v="3034"/>
    <n v="6100"/>
    <n v="2509"/>
  </r>
  <r>
    <n v="54"/>
    <x v="42"/>
    <n v="5485"/>
    <x v="1472"/>
    <n v="5522"/>
    <n v="6348"/>
    <n v="11870"/>
    <n v="5180"/>
  </r>
  <r>
    <n v="54"/>
    <x v="42"/>
    <n v="5486"/>
    <x v="1473"/>
    <n v="3376"/>
    <n v="3568"/>
    <n v="6944"/>
    <n v="2781"/>
  </r>
  <r>
    <n v="54"/>
    <x v="42"/>
    <n v="5487"/>
    <x v="1474"/>
    <n v="1954"/>
    <n v="2280"/>
    <n v="4234"/>
    <n v="1934"/>
  </r>
  <r>
    <n v="54"/>
    <x v="42"/>
    <n v="5488"/>
    <x v="1475"/>
    <n v="1339"/>
    <n v="1418"/>
    <n v="2757"/>
    <n v="1475"/>
  </r>
  <r>
    <n v="54"/>
    <x v="42"/>
    <n v="5489"/>
    <x v="1476"/>
    <n v="2840"/>
    <n v="3394"/>
    <n v="6234"/>
    <n v="3181"/>
  </r>
  <r>
    <n v="54"/>
    <x v="42"/>
    <n v="5490"/>
    <x v="1477"/>
    <n v="1725"/>
    <n v="1890"/>
    <n v="3615"/>
    <n v="1605"/>
  </r>
  <r>
    <n v="54"/>
    <x v="42"/>
    <n v="5491"/>
    <x v="1478"/>
    <n v="4950"/>
    <n v="5509"/>
    <n v="10459"/>
    <n v="5316"/>
  </r>
  <r>
    <n v="54"/>
    <x v="42"/>
    <n v="5492"/>
    <x v="1479"/>
    <n v="1650"/>
    <n v="1896"/>
    <n v="3546"/>
    <n v="1967"/>
  </r>
  <r>
    <n v="54"/>
    <x v="42"/>
    <n v="5493"/>
    <x v="1480"/>
    <n v="2156"/>
    <n v="2440"/>
    <n v="4596"/>
    <n v="2259"/>
  </r>
  <r>
    <n v="54"/>
    <x v="42"/>
    <n v="5494"/>
    <x v="1481"/>
    <n v="978"/>
    <n v="1159"/>
    <n v="2137"/>
    <n v="834"/>
  </r>
  <r>
    <n v="54"/>
    <x v="42"/>
    <n v="5495"/>
    <x v="1482"/>
    <n v="5619"/>
    <n v="6310"/>
    <n v="11929"/>
    <n v="6164"/>
  </r>
  <r>
    <n v="54"/>
    <x v="42"/>
    <n v="5496"/>
    <x v="1483"/>
    <n v="1940"/>
    <n v="2299"/>
    <n v="4239"/>
    <n v="2062"/>
  </r>
  <r>
    <n v="54"/>
    <x v="42"/>
    <n v="5497"/>
    <x v="1484"/>
    <n v="2812"/>
    <n v="3255"/>
    <n v="6067"/>
    <n v="3322"/>
  </r>
  <r>
    <n v="54"/>
    <x v="42"/>
    <n v="5498"/>
    <x v="1485"/>
    <n v="4105"/>
    <n v="4396"/>
    <n v="8501"/>
    <n v="3812"/>
  </r>
  <r>
    <n v="54"/>
    <x v="42"/>
    <n v="5499"/>
    <x v="1486"/>
    <n v="6301"/>
    <n v="7415"/>
    <n v="13716"/>
    <n v="8874"/>
  </r>
  <r>
    <n v="55"/>
    <x v="43"/>
    <n v="5501"/>
    <x v="1487"/>
    <n v="31351"/>
    <n v="31760"/>
    <n v="63111"/>
    <n v="26511"/>
  </r>
  <r>
    <n v="55"/>
    <x v="43"/>
    <n v="5502"/>
    <x v="1488"/>
    <n v="8397"/>
    <n v="8025"/>
    <n v="16422"/>
    <n v="5048"/>
  </r>
  <r>
    <n v="55"/>
    <x v="43"/>
    <n v="5503"/>
    <x v="1489"/>
    <n v="5628"/>
    <n v="5552"/>
    <n v="11180"/>
    <n v="4054"/>
  </r>
  <r>
    <n v="55"/>
    <x v="43"/>
    <n v="5504"/>
    <x v="1490"/>
    <n v="14745"/>
    <n v="14650"/>
    <n v="29395"/>
    <n v="10803"/>
  </r>
  <r>
    <n v="55"/>
    <x v="43"/>
    <n v="5505"/>
    <x v="1491"/>
    <n v="26457"/>
    <n v="26887"/>
    <n v="53344"/>
    <n v="16887"/>
  </r>
  <r>
    <n v="55"/>
    <x v="43"/>
    <n v="5506"/>
    <x v="1492"/>
    <n v="22256"/>
    <n v="22457"/>
    <n v="44713"/>
    <n v="15254"/>
  </r>
  <r>
    <n v="55"/>
    <x v="43"/>
    <n v="5507"/>
    <x v="1493"/>
    <n v="32759"/>
    <n v="32720"/>
    <n v="65479"/>
    <n v="25695"/>
  </r>
  <r>
    <n v="55"/>
    <x v="43"/>
    <n v="5508"/>
    <x v="1494"/>
    <n v="7884"/>
    <n v="7774"/>
    <n v="15658"/>
    <n v="5349"/>
  </r>
  <r>
    <n v="55"/>
    <x v="43"/>
    <n v="5509"/>
    <x v="1495"/>
    <n v="8446"/>
    <n v="8656"/>
    <n v="17102"/>
    <n v="6043"/>
  </r>
  <r>
    <n v="55"/>
    <x v="43"/>
    <n v="5510"/>
    <x v="1496"/>
    <n v="6950"/>
    <n v="6904"/>
    <n v="13854"/>
    <n v="4652"/>
  </r>
  <r>
    <n v="55"/>
    <x v="43"/>
    <n v="5511"/>
    <x v="1497"/>
    <n v="7927"/>
    <n v="7544"/>
    <n v="15471"/>
    <n v="5373"/>
  </r>
  <r>
    <n v="55"/>
    <x v="43"/>
    <n v="5512"/>
    <x v="1498"/>
    <n v="7877"/>
    <n v="7518"/>
    <n v="15395"/>
    <n v="5357"/>
  </r>
  <r>
    <n v="55"/>
    <x v="43"/>
    <n v="5513"/>
    <x v="1499"/>
    <n v="6390"/>
    <n v="6002"/>
    <n v="12392"/>
    <n v="4034"/>
  </r>
  <r>
    <n v="55"/>
    <x v="43"/>
    <n v="5514"/>
    <x v="1500"/>
    <n v="17567"/>
    <n v="18134"/>
    <n v="35701"/>
    <n v="14578"/>
  </r>
  <r>
    <n v="55"/>
    <x v="43"/>
    <n v="5515"/>
    <x v="267"/>
    <n v="5018"/>
    <n v="4752"/>
    <n v="9770"/>
    <n v="3497"/>
  </r>
  <r>
    <n v="55"/>
    <x v="43"/>
    <n v="5592"/>
    <x v="1501"/>
    <n v="4627"/>
    <n v="4785"/>
    <n v="9412"/>
    <n v="4104"/>
  </r>
  <r>
    <n v="55"/>
    <x v="43"/>
    <n v="5593"/>
    <x v="1502"/>
    <n v="1625"/>
    <n v="1610"/>
    <n v="3235"/>
    <n v="1469"/>
  </r>
  <r>
    <n v="55"/>
    <x v="43"/>
    <n v="5594"/>
    <x v="1503"/>
    <n v="1229"/>
    <n v="1434"/>
    <n v="2663"/>
    <n v="1344"/>
  </r>
  <r>
    <n v="55"/>
    <x v="43"/>
    <n v="5595"/>
    <x v="1504"/>
    <n v="2438"/>
    <n v="2696"/>
    <n v="5134"/>
    <n v="2852"/>
  </r>
  <r>
    <n v="55"/>
    <x v="43"/>
    <n v="5596"/>
    <x v="1505"/>
    <n v="5003"/>
    <n v="5370"/>
    <n v="10373"/>
    <n v="5223"/>
  </r>
  <r>
    <n v="55"/>
    <x v="43"/>
    <n v="5597"/>
    <x v="1506"/>
    <n v="1067"/>
    <n v="1219"/>
    <n v="2286"/>
    <n v="1285"/>
  </r>
  <r>
    <n v="55"/>
    <x v="43"/>
    <n v="5599"/>
    <x v="1507"/>
    <n v="9006"/>
    <n v="9411"/>
    <n v="18417"/>
    <n v="11049"/>
  </r>
  <r>
    <n v="56"/>
    <x v="44"/>
    <n v="5601"/>
    <x v="1508"/>
    <n v="20441"/>
    <n v="21923"/>
    <n v="42364"/>
    <n v="18085"/>
  </r>
  <r>
    <n v="56"/>
    <x v="44"/>
    <n v="5602"/>
    <x v="1509"/>
    <n v="8316"/>
    <n v="9244"/>
    <n v="17560"/>
    <n v="7567"/>
  </r>
  <r>
    <n v="56"/>
    <x v="44"/>
    <n v="5603"/>
    <x v="1510"/>
    <n v="27310"/>
    <n v="27690"/>
    <n v="55000"/>
    <n v="22331"/>
  </r>
  <r>
    <n v="56"/>
    <x v="44"/>
    <n v="5604"/>
    <x v="1511"/>
    <n v="4644"/>
    <n v="4753"/>
    <n v="9397"/>
    <n v="4060"/>
  </r>
  <r>
    <n v="56"/>
    <x v="44"/>
    <n v="5605"/>
    <x v="1512"/>
    <n v="18026"/>
    <n v="19064"/>
    <n v="37090"/>
    <n v="15365"/>
  </r>
  <r>
    <n v="56"/>
    <x v="44"/>
    <n v="5606"/>
    <x v="1513"/>
    <n v="19516"/>
    <n v="19440"/>
    <n v="38956"/>
    <n v="12990"/>
  </r>
  <r>
    <n v="56"/>
    <x v="44"/>
    <n v="5607"/>
    <x v="1514"/>
    <n v="9510"/>
    <n v="10179"/>
    <n v="19689"/>
    <n v="9722"/>
  </r>
  <r>
    <n v="56"/>
    <x v="44"/>
    <n v="5608"/>
    <x v="1515"/>
    <n v="11866"/>
    <n v="12197"/>
    <n v="24063"/>
    <n v="9964"/>
  </r>
  <r>
    <n v="56"/>
    <x v="44"/>
    <n v="5609"/>
    <x v="1516"/>
    <n v="5899"/>
    <n v="6454"/>
    <n v="12353"/>
    <n v="5229"/>
  </r>
  <r>
    <n v="56"/>
    <x v="44"/>
    <n v="5677"/>
    <x v="1517"/>
    <n v="5725"/>
    <n v="6798"/>
    <n v="12523"/>
    <n v="7678"/>
  </r>
  <r>
    <n v="56"/>
    <x v="44"/>
    <n v="5678"/>
    <x v="1518"/>
    <n v="4062"/>
    <n v="4446"/>
    <n v="8508"/>
    <n v="3426"/>
  </r>
  <r>
    <n v="56"/>
    <x v="44"/>
    <n v="5679"/>
    <x v="1519"/>
    <n v="4206"/>
    <n v="4464"/>
    <n v="8670"/>
    <n v="3844"/>
  </r>
  <r>
    <n v="56"/>
    <x v="44"/>
    <n v="5680"/>
    <x v="1520"/>
    <n v="2842"/>
    <n v="3077"/>
    <n v="5919"/>
    <n v="2742"/>
  </r>
  <r>
    <n v="56"/>
    <x v="44"/>
    <n v="5681"/>
    <x v="1521"/>
    <n v="3112"/>
    <n v="3372"/>
    <n v="6484"/>
    <n v="2883"/>
  </r>
  <r>
    <n v="56"/>
    <x v="44"/>
    <n v="5682"/>
    <x v="1522"/>
    <n v="4258"/>
    <n v="4547"/>
    <n v="8805"/>
    <n v="4109"/>
  </r>
  <r>
    <n v="56"/>
    <x v="44"/>
    <n v="5683"/>
    <x v="1523"/>
    <n v="3653"/>
    <n v="3875"/>
    <n v="7528"/>
    <n v="3059"/>
  </r>
  <r>
    <n v="56"/>
    <x v="44"/>
    <n v="5684"/>
    <x v="1524"/>
    <n v="6053"/>
    <n v="6589"/>
    <n v="12642"/>
    <n v="7344"/>
  </r>
  <r>
    <n v="56"/>
    <x v="44"/>
    <n v="5685"/>
    <x v="1525"/>
    <n v="4281"/>
    <n v="4500"/>
    <n v="8781"/>
    <n v="3552"/>
  </r>
  <r>
    <n v="56"/>
    <x v="44"/>
    <n v="5686"/>
    <x v="1526"/>
    <n v="3352"/>
    <n v="3590"/>
    <n v="6942"/>
    <n v="3373"/>
  </r>
  <r>
    <n v="56"/>
    <x v="44"/>
    <n v="5687"/>
    <x v="1527"/>
    <n v="7926"/>
    <n v="7772"/>
    <n v="15698"/>
    <n v="10113"/>
  </r>
  <r>
    <n v="56"/>
    <x v="44"/>
    <n v="5688"/>
    <x v="1528"/>
    <n v="3703"/>
    <n v="4262"/>
    <n v="7965"/>
    <n v="3711"/>
  </r>
  <r>
    <n v="56"/>
    <x v="44"/>
    <n v="5689"/>
    <x v="1529"/>
    <n v="3970"/>
    <n v="4310"/>
    <n v="8280"/>
    <n v="3669"/>
  </r>
  <r>
    <n v="56"/>
    <x v="44"/>
    <n v="5690"/>
    <x v="1530"/>
    <n v="2286"/>
    <n v="2488"/>
    <n v="4774"/>
    <n v="2242"/>
  </r>
  <r>
    <n v="56"/>
    <x v="44"/>
    <n v="5691"/>
    <x v="1531"/>
    <n v="2514"/>
    <n v="2794"/>
    <n v="5308"/>
    <n v="2883"/>
  </r>
  <r>
    <n v="56"/>
    <x v="44"/>
    <n v="5692"/>
    <x v="1532"/>
    <n v="3198"/>
    <n v="3244"/>
    <n v="6442"/>
    <n v="2543"/>
  </r>
  <r>
    <n v="56"/>
    <x v="44"/>
    <n v="5693"/>
    <x v="1533"/>
    <n v="5513"/>
    <n v="6479"/>
    <n v="11992"/>
    <n v="5484"/>
  </r>
  <r>
    <n v="56"/>
    <x v="44"/>
    <n v="5694"/>
    <x v="1534"/>
    <n v="3978"/>
    <n v="3985"/>
    <n v="7963"/>
    <n v="3442"/>
  </r>
  <r>
    <n v="56"/>
    <x v="44"/>
    <n v="5695"/>
    <x v="1535"/>
    <n v="4105"/>
    <n v="4287"/>
    <n v="8392"/>
    <n v="3970"/>
  </r>
  <r>
    <n v="56"/>
    <x v="44"/>
    <n v="5696"/>
    <x v="1536"/>
    <n v="2572"/>
    <n v="2727"/>
    <n v="5299"/>
    <n v="2344"/>
  </r>
  <r>
    <n v="56"/>
    <x v="44"/>
    <n v="5697"/>
    <x v="1537"/>
    <n v="2670"/>
    <n v="3295"/>
    <n v="5965"/>
    <n v="3778"/>
  </r>
  <r>
    <n v="56"/>
    <x v="44"/>
    <n v="5698"/>
    <x v="1538"/>
    <n v="3804"/>
    <n v="4189"/>
    <n v="7993"/>
    <n v="4473"/>
  </r>
  <r>
    <n v="56"/>
    <x v="44"/>
    <n v="5699"/>
    <x v="1539"/>
    <n v="7067"/>
    <n v="8352"/>
    <n v="15419"/>
    <n v="8412"/>
  </r>
  <r>
    <n v="57"/>
    <x v="45"/>
    <n v="5701"/>
    <x v="1540"/>
    <n v="52453"/>
    <n v="57164"/>
    <n v="109617"/>
    <n v="56840"/>
  </r>
  <r>
    <n v="57"/>
    <x v="45"/>
    <n v="5702"/>
    <x v="1541"/>
    <n v="18740"/>
    <n v="19961"/>
    <n v="38701"/>
    <n v="16544"/>
  </r>
  <r>
    <n v="57"/>
    <x v="45"/>
    <n v="5703"/>
    <x v="1542"/>
    <n v="12246"/>
    <n v="12689"/>
    <n v="24935"/>
    <n v="11028"/>
  </r>
  <r>
    <n v="57"/>
    <x v="45"/>
    <n v="5704"/>
    <x v="1543"/>
    <n v="36422"/>
    <n v="37372"/>
    <n v="73794"/>
    <n v="30067"/>
  </r>
  <r>
    <n v="57"/>
    <x v="45"/>
    <n v="5705"/>
    <x v="1544"/>
    <n v="52555"/>
    <n v="56088"/>
    <n v="108643"/>
    <n v="49947"/>
  </r>
  <r>
    <n v="57"/>
    <x v="45"/>
    <n v="5706"/>
    <x v="1545"/>
    <n v="5714"/>
    <n v="5872"/>
    <n v="11586"/>
    <n v="4239"/>
  </r>
  <r>
    <n v="57"/>
    <x v="45"/>
    <n v="5707"/>
    <x v="1546"/>
    <n v="33649"/>
    <n v="36232"/>
    <n v="69881"/>
    <n v="29779"/>
  </r>
  <r>
    <n v="57"/>
    <x v="45"/>
    <n v="5708"/>
    <x v="1547"/>
    <n v="24047"/>
    <n v="25293"/>
    <n v="49340"/>
    <n v="19727"/>
  </r>
  <r>
    <n v="57"/>
    <x v="45"/>
    <n v="5709"/>
    <x v="1548"/>
    <n v="36163"/>
    <n v="40677"/>
    <n v="76840"/>
    <n v="31758"/>
  </r>
  <r>
    <n v="57"/>
    <x v="45"/>
    <n v="5710"/>
    <x v="1549"/>
    <n v="39608"/>
    <n v="39315"/>
    <n v="78923"/>
    <n v="30764"/>
  </r>
  <r>
    <n v="57"/>
    <x v="45"/>
    <n v="5711"/>
    <x v="1550"/>
    <n v="29852"/>
    <n v="30607"/>
    <n v="60459"/>
    <n v="25740"/>
  </r>
  <r>
    <n v="57"/>
    <x v="45"/>
    <n v="5712"/>
    <x v="1551"/>
    <n v="13476"/>
    <n v="13772"/>
    <n v="27248"/>
    <n v="10280"/>
  </r>
  <r>
    <n v="57"/>
    <x v="45"/>
    <n v="5713"/>
    <x v="1552"/>
    <n v="19264"/>
    <n v="18975"/>
    <n v="38239"/>
    <n v="14422"/>
  </r>
  <r>
    <n v="57"/>
    <x v="45"/>
    <n v="5714"/>
    <x v="1553"/>
    <n v="6781"/>
    <n v="7100"/>
    <n v="13881"/>
    <n v="5798"/>
  </r>
  <r>
    <n v="57"/>
    <x v="45"/>
    <n v="5715"/>
    <x v="1554"/>
    <n v="38716"/>
    <n v="39069"/>
    <n v="77785"/>
    <n v="26656"/>
  </r>
  <r>
    <n v="57"/>
    <x v="45"/>
    <n v="5716"/>
    <x v="1555"/>
    <n v="11707"/>
    <n v="12625"/>
    <n v="24332"/>
    <n v="11620"/>
  </r>
  <r>
    <n v="57"/>
    <x v="45"/>
    <n v="5717"/>
    <x v="1556"/>
    <n v="11623"/>
    <n v="12023"/>
    <n v="23646"/>
    <n v="9772"/>
  </r>
  <r>
    <n v="57"/>
    <x v="45"/>
    <n v="5718"/>
    <x v="1557"/>
    <n v="9236"/>
    <n v="9253"/>
    <n v="18489"/>
    <n v="9029"/>
  </r>
  <r>
    <n v="57"/>
    <x v="45"/>
    <n v="5764"/>
    <x v="1558"/>
    <n v="10906"/>
    <n v="11186"/>
    <n v="22092"/>
    <n v="9727"/>
  </r>
  <r>
    <n v="57"/>
    <x v="45"/>
    <n v="5765"/>
    <x v="1559"/>
    <n v="6002"/>
    <n v="6063"/>
    <n v="12065"/>
    <n v="5411"/>
  </r>
  <r>
    <n v="57"/>
    <x v="45"/>
    <n v="5766"/>
    <x v="1560"/>
    <n v="5150"/>
    <n v="5184"/>
    <n v="10334"/>
    <n v="3954"/>
  </r>
  <r>
    <n v="57"/>
    <x v="45"/>
    <n v="5767"/>
    <x v="1561"/>
    <n v="3049"/>
    <n v="3090"/>
    <n v="6139"/>
    <n v="2774"/>
  </r>
  <r>
    <n v="57"/>
    <x v="45"/>
    <n v="5768"/>
    <x v="1562"/>
    <n v="5475"/>
    <n v="6115"/>
    <n v="11590"/>
    <n v="5935"/>
  </r>
  <r>
    <n v="57"/>
    <x v="45"/>
    <n v="5769"/>
    <x v="1563"/>
    <n v="5176"/>
    <n v="5458"/>
    <n v="10634"/>
    <n v="4138"/>
  </r>
  <r>
    <n v="57"/>
    <x v="45"/>
    <n v="5770"/>
    <x v="1536"/>
    <n v="4870"/>
    <n v="5016"/>
    <n v="9886"/>
    <n v="4565"/>
  </r>
  <r>
    <n v="57"/>
    <x v="45"/>
    <n v="5771"/>
    <x v="1564"/>
    <n v="6077"/>
    <n v="6715"/>
    <n v="12792"/>
    <n v="6968"/>
  </r>
  <r>
    <n v="57"/>
    <x v="45"/>
    <n v="5772"/>
    <x v="1383"/>
    <n v="5410"/>
    <n v="6124"/>
    <n v="11534"/>
    <n v="5909"/>
  </r>
  <r>
    <n v="57"/>
    <x v="45"/>
    <n v="5773"/>
    <x v="1565"/>
    <n v="10792"/>
    <n v="12390"/>
    <n v="23182"/>
    <n v="10620"/>
  </r>
  <r>
    <n v="57"/>
    <x v="45"/>
    <n v="5774"/>
    <x v="1566"/>
    <n v="10403"/>
    <n v="12091"/>
    <n v="22494"/>
    <n v="15768"/>
  </r>
  <r>
    <n v="57"/>
    <x v="45"/>
    <n v="5775"/>
    <x v="1523"/>
    <n v="1914"/>
    <n v="1955"/>
    <n v="3869"/>
    <n v="1835"/>
  </r>
  <r>
    <n v="57"/>
    <x v="45"/>
    <n v="5776"/>
    <x v="1567"/>
    <n v="828"/>
    <n v="917"/>
    <n v="1745"/>
    <n v="838"/>
  </r>
  <r>
    <n v="57"/>
    <x v="45"/>
    <n v="5777"/>
    <x v="1568"/>
    <n v="1960"/>
    <n v="2199"/>
    <n v="4159"/>
    <n v="2089"/>
  </r>
  <r>
    <n v="57"/>
    <x v="45"/>
    <n v="5778"/>
    <x v="1569"/>
    <n v="2791"/>
    <n v="3038"/>
    <n v="5829"/>
    <n v="2321"/>
  </r>
  <r>
    <n v="57"/>
    <x v="45"/>
    <n v="5779"/>
    <x v="1570"/>
    <n v="1939"/>
    <n v="2100"/>
    <n v="4039"/>
    <n v="2328"/>
  </r>
  <r>
    <n v="57"/>
    <x v="45"/>
    <n v="5780"/>
    <x v="1571"/>
    <n v="1875"/>
    <n v="2237"/>
    <n v="4112"/>
    <n v="2431"/>
  </r>
  <r>
    <n v="57"/>
    <x v="45"/>
    <n v="5781"/>
    <x v="1572"/>
    <n v="1301"/>
    <n v="1487"/>
    <n v="2788"/>
    <n v="1656"/>
  </r>
  <r>
    <n v="57"/>
    <x v="45"/>
    <n v="5782"/>
    <x v="1573"/>
    <n v="2252"/>
    <n v="2344"/>
    <n v="4596"/>
    <n v="2209"/>
  </r>
  <r>
    <n v="57"/>
    <x v="45"/>
    <n v="5783"/>
    <x v="1574"/>
    <n v="695"/>
    <n v="743"/>
    <n v="1438"/>
    <n v="1162"/>
  </r>
  <r>
    <n v="57"/>
    <x v="45"/>
    <n v="5784"/>
    <x v="1575"/>
    <n v="2256"/>
    <n v="2631"/>
    <n v="4887"/>
    <n v="2584"/>
  </r>
  <r>
    <n v="57"/>
    <x v="45"/>
    <n v="5785"/>
    <x v="1576"/>
    <n v="12943"/>
    <n v="14824"/>
    <n v="27767"/>
    <n v="13969"/>
  </r>
  <r>
    <n v="57"/>
    <x v="45"/>
    <n v="5786"/>
    <x v="1577"/>
    <n v="2885"/>
    <n v="3225"/>
    <n v="6110"/>
    <n v="3420"/>
  </r>
  <r>
    <n v="57"/>
    <x v="45"/>
    <n v="5787"/>
    <x v="1578"/>
    <n v="1263"/>
    <n v="1425"/>
    <n v="2688"/>
    <n v="1312"/>
  </r>
  <r>
    <n v="57"/>
    <x v="45"/>
    <n v="5788"/>
    <x v="1579"/>
    <n v="1627"/>
    <n v="1867"/>
    <n v="3494"/>
    <n v="2475"/>
  </r>
  <r>
    <n v="57"/>
    <x v="45"/>
    <n v="5789"/>
    <x v="1580"/>
    <n v="2034"/>
    <n v="2296"/>
    <n v="4330"/>
    <n v="2218"/>
  </r>
  <r>
    <n v="57"/>
    <x v="45"/>
    <n v="5790"/>
    <x v="1581"/>
    <n v="6550"/>
    <n v="7299"/>
    <n v="13849"/>
    <n v="6399"/>
  </r>
  <r>
    <n v="57"/>
    <x v="45"/>
    <n v="5791"/>
    <x v="1335"/>
    <n v="2990"/>
    <n v="3172"/>
    <n v="6162"/>
    <n v="2579"/>
  </r>
  <r>
    <n v="57"/>
    <x v="45"/>
    <n v="5792"/>
    <x v="1582"/>
    <n v="3619"/>
    <n v="3725"/>
    <n v="7344"/>
    <n v="3266"/>
  </r>
  <r>
    <n v="57"/>
    <x v="45"/>
    <n v="5793"/>
    <x v="1583"/>
    <n v="2823"/>
    <n v="3306"/>
    <n v="6129"/>
    <n v="3628"/>
  </r>
  <r>
    <n v="57"/>
    <x v="45"/>
    <n v="5794"/>
    <x v="1584"/>
    <n v="2280"/>
    <n v="2631"/>
    <n v="4911"/>
    <n v="2907"/>
  </r>
  <r>
    <n v="57"/>
    <x v="45"/>
    <n v="5795"/>
    <x v="1585"/>
    <n v="1827"/>
    <n v="1987"/>
    <n v="3814"/>
    <n v="1627"/>
  </r>
  <r>
    <n v="57"/>
    <x v="45"/>
    <n v="5796"/>
    <x v="1586"/>
    <n v="1647"/>
    <n v="1938"/>
    <n v="3585"/>
    <n v="2389"/>
  </r>
  <r>
    <n v="57"/>
    <x v="45"/>
    <n v="5797"/>
    <x v="1587"/>
    <n v="2774"/>
    <n v="2940"/>
    <n v="5714"/>
    <n v="2579"/>
  </r>
  <r>
    <n v="57"/>
    <x v="45"/>
    <n v="5798"/>
    <x v="1588"/>
    <n v="3138"/>
    <n v="3591"/>
    <n v="6729"/>
    <n v="3317"/>
  </r>
  <r>
    <n v="57"/>
    <x v="45"/>
    <n v="5799"/>
    <x v="1589"/>
    <n v="37038"/>
    <n v="41450"/>
    <n v="78488"/>
    <n v="53491"/>
  </r>
  <r>
    <n v="58"/>
    <x v="46"/>
    <n v="5801"/>
    <x v="1590"/>
    <n v="28508"/>
    <n v="28103"/>
    <n v="56611"/>
    <n v="24753"/>
  </r>
  <r>
    <n v="58"/>
    <x v="46"/>
    <n v="5802"/>
    <x v="1591"/>
    <n v="10455"/>
    <n v="9921"/>
    <n v="20376"/>
    <n v="8236"/>
  </r>
  <r>
    <n v="58"/>
    <x v="46"/>
    <n v="5803"/>
    <x v="1592"/>
    <n v="18255"/>
    <n v="17189"/>
    <n v="35444"/>
    <n v="16289"/>
  </r>
  <r>
    <n v="58"/>
    <x v="46"/>
    <n v="5804"/>
    <x v="1593"/>
    <n v="26495"/>
    <n v="26360"/>
    <n v="52855"/>
    <n v="22922"/>
  </r>
  <r>
    <n v="58"/>
    <x v="46"/>
    <n v="5805"/>
    <x v="1594"/>
    <n v="16153"/>
    <n v="15985"/>
    <n v="32138"/>
    <n v="11385"/>
  </r>
  <r>
    <n v="58"/>
    <x v="46"/>
    <n v="5806"/>
    <x v="1595"/>
    <n v="24583"/>
    <n v="23890"/>
    <n v="48473"/>
    <n v="18261"/>
  </r>
  <r>
    <n v="58"/>
    <x v="46"/>
    <n v="5807"/>
    <x v="1596"/>
    <n v="11535"/>
    <n v="10819"/>
    <n v="22354"/>
    <n v="9415"/>
  </r>
  <r>
    <n v="58"/>
    <x v="46"/>
    <n v="5895"/>
    <x v="1597"/>
    <n v="1707"/>
    <n v="1757"/>
    <n v="3464"/>
    <n v="1865"/>
  </r>
  <r>
    <n v="58"/>
    <x v="46"/>
    <n v="5896"/>
    <x v="1598"/>
    <n v="1277"/>
    <n v="1421"/>
    <n v="2698"/>
    <n v="2057"/>
  </r>
  <r>
    <n v="58"/>
    <x v="46"/>
    <n v="5897"/>
    <x v="1599"/>
    <n v="1636"/>
    <n v="1699"/>
    <n v="3335"/>
    <n v="1963"/>
  </r>
  <r>
    <n v="58"/>
    <x v="46"/>
    <n v="5898"/>
    <x v="1600"/>
    <n v="1724"/>
    <n v="1789"/>
    <n v="3513"/>
    <n v="1859"/>
  </r>
  <r>
    <n v="58"/>
    <x v="46"/>
    <n v="5899"/>
    <x v="1601"/>
    <n v="3395"/>
    <n v="3426"/>
    <n v="6821"/>
    <n v="4821"/>
  </r>
  <r>
    <n v="60"/>
    <x v="47"/>
    <n v="6001"/>
    <x v="1602"/>
    <n v="77626"/>
    <n v="84161"/>
    <n v="161787"/>
    <n v="75749"/>
  </r>
  <r>
    <n v="60"/>
    <x v="47"/>
    <n v="6002"/>
    <x v="1603"/>
    <n v="12750"/>
    <n v="13488"/>
    <n v="26238"/>
    <n v="10080"/>
  </r>
  <r>
    <n v="60"/>
    <x v="47"/>
    <n v="6003"/>
    <x v="1604"/>
    <n v="25148"/>
    <n v="26765"/>
    <n v="51913"/>
    <n v="19025"/>
  </r>
  <r>
    <n v="60"/>
    <x v="47"/>
    <n v="6004"/>
    <x v="1605"/>
    <n v="26352"/>
    <n v="26847"/>
    <n v="53199"/>
    <n v="24157"/>
  </r>
  <r>
    <n v="60"/>
    <x v="47"/>
    <n v="6005"/>
    <x v="1606"/>
    <n v="38702"/>
    <n v="40327"/>
    <n v="79029"/>
    <n v="29473"/>
  </r>
  <r>
    <n v="60"/>
    <x v="47"/>
    <n v="6006"/>
    <x v="1607"/>
    <n v="13652"/>
    <n v="14395"/>
    <n v="28047"/>
    <n v="11018"/>
  </r>
  <r>
    <n v="60"/>
    <x v="47"/>
    <n v="6007"/>
    <x v="1608"/>
    <n v="37323"/>
    <n v="38318"/>
    <n v="75641"/>
    <n v="31157"/>
  </r>
  <r>
    <n v="60"/>
    <x v="47"/>
    <n v="6008"/>
    <x v="1609"/>
    <n v="28667"/>
    <n v="30097"/>
    <n v="58764"/>
    <n v="24302"/>
  </r>
  <r>
    <n v="60"/>
    <x v="47"/>
    <n v="6009"/>
    <x v="1610"/>
    <n v="29102"/>
    <n v="29738"/>
    <n v="58840"/>
    <n v="22125"/>
  </r>
  <r>
    <n v="60"/>
    <x v="47"/>
    <n v="6010"/>
    <x v="1611"/>
    <n v="23856"/>
    <n v="25370"/>
    <n v="49226"/>
    <n v="21914"/>
  </r>
  <r>
    <n v="60"/>
    <x v="47"/>
    <n v="6011"/>
    <x v="1612"/>
    <n v="35173"/>
    <n v="36633"/>
    <n v="71806"/>
    <n v="27862"/>
  </r>
  <r>
    <n v="60"/>
    <x v="47"/>
    <n v="6012"/>
    <x v="1613"/>
    <n v="16410"/>
    <n v="16986"/>
    <n v="33396"/>
    <n v="13183"/>
  </r>
  <r>
    <n v="60"/>
    <x v="47"/>
    <n v="6013"/>
    <x v="1614"/>
    <n v="24370"/>
    <n v="24587"/>
    <n v="48957"/>
    <n v="19342"/>
  </r>
  <r>
    <n v="60"/>
    <x v="47"/>
    <n v="6014"/>
    <x v="1615"/>
    <n v="10302"/>
    <n v="10286"/>
    <n v="20588"/>
    <n v="6444"/>
  </r>
  <r>
    <n v="60"/>
    <x v="47"/>
    <n v="6015"/>
    <x v="1616"/>
    <n v="8785"/>
    <n v="8860"/>
    <n v="17645"/>
    <n v="6675"/>
  </r>
  <r>
    <n v="60"/>
    <x v="47"/>
    <n v="6082"/>
    <x v="1617"/>
    <n v="2477"/>
    <n v="2685"/>
    <n v="5162"/>
    <n v="2872"/>
  </r>
  <r>
    <n v="60"/>
    <x v="47"/>
    <n v="6083"/>
    <x v="1618"/>
    <n v="2641"/>
    <n v="3002"/>
    <n v="5643"/>
    <n v="3529"/>
  </r>
  <r>
    <n v="60"/>
    <x v="47"/>
    <n v="6084"/>
    <x v="1619"/>
    <n v="1493"/>
    <n v="1715"/>
    <n v="3208"/>
    <n v="1510"/>
  </r>
  <r>
    <n v="60"/>
    <x v="47"/>
    <n v="6085"/>
    <x v="1620"/>
    <n v="2485"/>
    <n v="2903"/>
    <n v="5388"/>
    <n v="3056"/>
  </r>
  <r>
    <n v="60"/>
    <x v="47"/>
    <n v="6086"/>
    <x v="1621"/>
    <n v="2314"/>
    <n v="2560"/>
    <n v="4874"/>
    <n v="2815"/>
  </r>
  <r>
    <n v="60"/>
    <x v="47"/>
    <n v="6087"/>
    <x v="1622"/>
    <n v="4665"/>
    <n v="5204"/>
    <n v="9869"/>
    <n v="5150"/>
  </r>
  <r>
    <n v="60"/>
    <x v="47"/>
    <n v="6088"/>
    <x v="1623"/>
    <n v="2472"/>
    <n v="2830"/>
    <n v="5302"/>
    <n v="2960"/>
  </r>
  <r>
    <n v="60"/>
    <x v="47"/>
    <n v="6089"/>
    <x v="1624"/>
    <n v="1377"/>
    <n v="1513"/>
    <n v="2890"/>
    <n v="1101"/>
  </r>
  <r>
    <n v="60"/>
    <x v="47"/>
    <n v="6090"/>
    <x v="1625"/>
    <n v="2659"/>
    <n v="2908"/>
    <n v="5567"/>
    <n v="2395"/>
  </r>
  <r>
    <n v="60"/>
    <x v="47"/>
    <n v="6091"/>
    <x v="1626"/>
    <n v="1691"/>
    <n v="1860"/>
    <n v="3551"/>
    <n v="1904"/>
  </r>
  <r>
    <n v="60"/>
    <x v="47"/>
    <n v="6092"/>
    <x v="403"/>
    <n v="5322"/>
    <n v="5931"/>
    <n v="11253"/>
    <n v="5235"/>
  </r>
  <r>
    <n v="60"/>
    <x v="47"/>
    <n v="6093"/>
    <x v="1627"/>
    <n v="992"/>
    <n v="1062"/>
    <n v="2054"/>
    <n v="843"/>
  </r>
  <r>
    <n v="60"/>
    <x v="47"/>
    <n v="6094"/>
    <x v="1628"/>
    <n v="2416"/>
    <n v="2518"/>
    <n v="4934"/>
    <n v="1653"/>
  </r>
  <r>
    <n v="60"/>
    <x v="47"/>
    <n v="6095"/>
    <x v="1629"/>
    <n v="1030"/>
    <n v="1120"/>
    <n v="2150"/>
    <n v="1014"/>
  </r>
  <r>
    <n v="60"/>
    <x v="47"/>
    <n v="6096"/>
    <x v="1630"/>
    <n v="1274"/>
    <n v="1564"/>
    <n v="2838"/>
    <n v="1549"/>
  </r>
  <r>
    <n v="60"/>
    <x v="47"/>
    <n v="6097"/>
    <x v="1631"/>
    <n v="10464"/>
    <n v="11529"/>
    <n v="21993"/>
    <n v="10222"/>
  </r>
  <r>
    <n v="60"/>
    <x v="47"/>
    <n v="6098"/>
    <x v="1632"/>
    <n v="3372"/>
    <n v="3775"/>
    <n v="7147"/>
    <n v="3659"/>
  </r>
  <r>
    <n v="60"/>
    <x v="47"/>
    <n v="6099"/>
    <x v="1633"/>
    <n v="35919"/>
    <n v="39583"/>
    <n v="75502"/>
    <n v="43397"/>
  </r>
  <r>
    <n v="61"/>
    <x v="48"/>
    <n v="6101"/>
    <x v="1634"/>
    <n v="16774"/>
    <n v="18295"/>
    <n v="35069"/>
    <n v="14621"/>
  </r>
  <r>
    <n v="61"/>
    <x v="48"/>
    <n v="6102"/>
    <x v="1635"/>
    <n v="7665"/>
    <n v="8048"/>
    <n v="15713"/>
    <n v="5691"/>
  </r>
  <r>
    <n v="61"/>
    <x v="48"/>
    <n v="6103"/>
    <x v="1636"/>
    <n v="14694"/>
    <n v="14778"/>
    <n v="29472"/>
    <n v="10339"/>
  </r>
  <r>
    <n v="61"/>
    <x v="48"/>
    <n v="6104"/>
    <x v="1637"/>
    <n v="16210"/>
    <n v="17240"/>
    <n v="33450"/>
    <n v="12418"/>
  </r>
  <r>
    <n v="61"/>
    <x v="48"/>
    <n v="6105"/>
    <x v="1638"/>
    <n v="7094"/>
    <n v="7970"/>
    <n v="15064"/>
    <n v="6232"/>
  </r>
  <r>
    <n v="61"/>
    <x v="48"/>
    <n v="6106"/>
    <x v="1639"/>
    <n v="31238"/>
    <n v="31766"/>
    <n v="63004"/>
    <n v="26148"/>
  </r>
  <r>
    <n v="61"/>
    <x v="48"/>
    <n v="6107"/>
    <x v="1640"/>
    <n v="27178"/>
    <n v="27676"/>
    <n v="54854"/>
    <n v="19905"/>
  </r>
  <r>
    <n v="61"/>
    <x v="48"/>
    <n v="6108"/>
    <x v="1641"/>
    <n v="9933"/>
    <n v="10192"/>
    <n v="20125"/>
    <n v="7862"/>
  </r>
  <r>
    <n v="61"/>
    <x v="48"/>
    <n v="6189"/>
    <x v="1642"/>
    <n v="993"/>
    <n v="1121"/>
    <n v="2114"/>
    <n v="702"/>
  </r>
  <r>
    <n v="61"/>
    <x v="48"/>
    <n v="6190"/>
    <x v="1643"/>
    <n v="1614"/>
    <n v="1659"/>
    <n v="3273"/>
    <n v="2279"/>
  </r>
  <r>
    <n v="61"/>
    <x v="48"/>
    <n v="6191"/>
    <x v="1644"/>
    <n v="1001"/>
    <n v="1102"/>
    <n v="2103"/>
    <n v="1096"/>
  </r>
  <r>
    <n v="61"/>
    <x v="48"/>
    <n v="6192"/>
    <x v="1645"/>
    <n v="1178"/>
    <n v="1238"/>
    <n v="2416"/>
    <n v="1450"/>
  </r>
  <r>
    <n v="61"/>
    <x v="48"/>
    <n v="6193"/>
    <x v="1646"/>
    <n v="263"/>
    <n v="305"/>
    <n v="568"/>
    <n v="354"/>
  </r>
  <r>
    <n v="61"/>
    <x v="48"/>
    <n v="6194"/>
    <x v="1647"/>
    <n v="1245"/>
    <n v="1414"/>
    <n v="2659"/>
    <n v="1994"/>
  </r>
  <r>
    <n v="61"/>
    <x v="48"/>
    <n v="6195"/>
    <x v="1648"/>
    <n v="2889"/>
    <n v="3167"/>
    <n v="6056"/>
    <n v="2484"/>
  </r>
  <r>
    <n v="61"/>
    <x v="48"/>
    <n v="6196"/>
    <x v="1649"/>
    <n v="748"/>
    <n v="820"/>
    <n v="1568"/>
    <n v="1028"/>
  </r>
  <r>
    <n v="61"/>
    <x v="48"/>
    <n v="6197"/>
    <x v="1650"/>
    <n v="4122"/>
    <n v="4494"/>
    <n v="8616"/>
    <n v="3836"/>
  </r>
  <r>
    <n v="61"/>
    <x v="48"/>
    <n v="6198"/>
    <x v="1651"/>
    <n v="5386"/>
    <n v="5659"/>
    <n v="11045"/>
    <n v="3795"/>
  </r>
  <r>
    <n v="61"/>
    <x v="48"/>
    <n v="6199"/>
    <x v="1652"/>
    <n v="6086"/>
    <n v="7190"/>
    <n v="13276"/>
    <n v="9816"/>
  </r>
  <r>
    <n v="62"/>
    <x v="49"/>
    <n v="6201"/>
    <x v="1653"/>
    <n v="66087"/>
    <n v="68691"/>
    <n v="134778"/>
    <n v="55772"/>
  </r>
  <r>
    <n v="62"/>
    <x v="49"/>
    <n v="6202"/>
    <x v="1654"/>
    <n v="22013"/>
    <n v="22412"/>
    <n v="44425"/>
    <n v="15521"/>
  </r>
  <r>
    <n v="62"/>
    <x v="49"/>
    <n v="6203"/>
    <x v="1655"/>
    <n v="19903"/>
    <n v="19460"/>
    <n v="39363"/>
    <n v="15701"/>
  </r>
  <r>
    <n v="62"/>
    <x v="49"/>
    <n v="6204"/>
    <x v="1656"/>
    <n v="33394"/>
    <n v="33970"/>
    <n v="67364"/>
    <n v="26662"/>
  </r>
  <r>
    <n v="62"/>
    <x v="49"/>
    <n v="6205"/>
    <x v="1657"/>
    <n v="26805"/>
    <n v="27926"/>
    <n v="54731"/>
    <n v="24394"/>
  </r>
  <r>
    <n v="62"/>
    <x v="49"/>
    <n v="6206"/>
    <x v="1658"/>
    <n v="24025"/>
    <n v="24196"/>
    <n v="48221"/>
    <n v="16841"/>
  </r>
  <r>
    <n v="62"/>
    <x v="49"/>
    <n v="6207"/>
    <x v="1659"/>
    <n v="16073"/>
    <n v="16156"/>
    <n v="32229"/>
    <n v="11655"/>
  </r>
  <r>
    <n v="62"/>
    <x v="49"/>
    <n v="6208"/>
    <x v="1660"/>
    <n v="6819"/>
    <n v="6866"/>
    <n v="13685"/>
    <n v="4314"/>
  </r>
  <r>
    <n v="62"/>
    <x v="49"/>
    <n v="6209"/>
    <x v="1661"/>
    <n v="14877"/>
    <n v="14905"/>
    <n v="29782"/>
    <n v="11693"/>
  </r>
  <r>
    <n v="62"/>
    <x v="49"/>
    <n v="6210"/>
    <x v="1662"/>
    <n v="8958"/>
    <n v="9030"/>
    <n v="17988"/>
    <n v="7609"/>
  </r>
  <r>
    <n v="62"/>
    <x v="49"/>
    <n v="6211"/>
    <x v="1663"/>
    <n v="13768"/>
    <n v="13764"/>
    <n v="27532"/>
    <n v="11187"/>
  </r>
  <r>
    <n v="62"/>
    <x v="49"/>
    <n v="6278"/>
    <x v="1664"/>
    <n v="8616"/>
    <n v="8709"/>
    <n v="17325"/>
    <n v="6982"/>
  </r>
  <r>
    <n v="62"/>
    <x v="49"/>
    <n v="6279"/>
    <x v="1665"/>
    <n v="3535"/>
    <n v="3535"/>
    <n v="7070"/>
    <n v="3056"/>
  </r>
  <r>
    <n v="62"/>
    <x v="49"/>
    <n v="6280"/>
    <x v="1666"/>
    <n v="3497"/>
    <n v="3647"/>
    <n v="7144"/>
    <n v="3720"/>
  </r>
  <r>
    <n v="62"/>
    <x v="49"/>
    <n v="6281"/>
    <x v="1667"/>
    <n v="2802"/>
    <n v="2947"/>
    <n v="5749"/>
    <n v="2322"/>
  </r>
  <r>
    <n v="62"/>
    <x v="49"/>
    <n v="6282"/>
    <x v="1668"/>
    <n v="4416"/>
    <n v="4585"/>
    <n v="9001"/>
    <n v="3758"/>
  </r>
  <r>
    <n v="62"/>
    <x v="49"/>
    <n v="6283"/>
    <x v="1669"/>
    <n v="2622"/>
    <n v="2730"/>
    <n v="5352"/>
    <n v="2170"/>
  </r>
  <r>
    <n v="62"/>
    <x v="49"/>
    <n v="6284"/>
    <x v="1670"/>
    <n v="4133"/>
    <n v="4337"/>
    <n v="8470"/>
    <n v="3379"/>
  </r>
  <r>
    <n v="62"/>
    <x v="49"/>
    <n v="6285"/>
    <x v="1671"/>
    <n v="9772"/>
    <n v="10350"/>
    <n v="20122"/>
    <n v="8895"/>
  </r>
  <r>
    <n v="62"/>
    <x v="49"/>
    <n v="6286"/>
    <x v="1672"/>
    <n v="10809"/>
    <n v="11268"/>
    <n v="22077"/>
    <n v="8793"/>
  </r>
  <r>
    <n v="62"/>
    <x v="49"/>
    <n v="6287"/>
    <x v="1673"/>
    <n v="2841"/>
    <n v="2854"/>
    <n v="5695"/>
    <n v="1837"/>
  </r>
  <r>
    <n v="62"/>
    <x v="49"/>
    <n v="6288"/>
    <x v="1674"/>
    <n v="2119"/>
    <n v="2191"/>
    <n v="4310"/>
    <n v="2649"/>
  </r>
  <r>
    <n v="62"/>
    <x v="49"/>
    <n v="6289"/>
    <x v="1675"/>
    <n v="3938"/>
    <n v="4307"/>
    <n v="8245"/>
    <n v="3782"/>
  </r>
  <r>
    <n v="62"/>
    <x v="49"/>
    <n v="6290"/>
    <x v="1676"/>
    <n v="1769"/>
    <n v="1901"/>
    <n v="3670"/>
    <n v="2081"/>
  </r>
  <r>
    <n v="62"/>
    <x v="49"/>
    <n v="6291"/>
    <x v="1677"/>
    <n v="718"/>
    <n v="749"/>
    <n v="1467"/>
    <n v="660"/>
  </r>
  <r>
    <n v="62"/>
    <x v="49"/>
    <n v="6292"/>
    <x v="1678"/>
    <n v="935"/>
    <n v="960"/>
    <n v="1895"/>
    <n v="1040"/>
  </r>
  <r>
    <n v="62"/>
    <x v="49"/>
    <n v="6293"/>
    <x v="1679"/>
    <n v="3729"/>
    <n v="4097"/>
    <n v="7826"/>
    <n v="4552"/>
  </r>
  <r>
    <n v="62"/>
    <x v="49"/>
    <n v="6294"/>
    <x v="1680"/>
    <n v="3733"/>
    <n v="4004"/>
    <n v="7737"/>
    <n v="3539"/>
  </r>
  <r>
    <n v="62"/>
    <x v="49"/>
    <n v="6295"/>
    <x v="1681"/>
    <n v="2319"/>
    <n v="2555"/>
    <n v="4874"/>
    <n v="2583"/>
  </r>
  <r>
    <n v="62"/>
    <x v="49"/>
    <n v="6296"/>
    <x v="1682"/>
    <n v="1478"/>
    <n v="1619"/>
    <n v="3097"/>
    <n v="1365"/>
  </r>
  <r>
    <n v="62"/>
    <x v="49"/>
    <n v="6297"/>
    <x v="1683"/>
    <n v="3106"/>
    <n v="3518"/>
    <n v="6624"/>
    <n v="3593"/>
  </r>
  <r>
    <n v="62"/>
    <x v="49"/>
    <n v="6298"/>
    <x v="1684"/>
    <n v="2776"/>
    <n v="2923"/>
    <n v="5699"/>
    <n v="2533"/>
  </r>
  <r>
    <n v="62"/>
    <x v="49"/>
    <n v="6299"/>
    <x v="1685"/>
    <n v="12781"/>
    <n v="14534"/>
    <n v="27315"/>
    <n v="16911"/>
  </r>
  <r>
    <n v="63"/>
    <x v="50"/>
    <n v="6301"/>
    <x v="1686"/>
    <n v="36761"/>
    <n v="37458"/>
    <n v="74219"/>
    <n v="29973"/>
  </r>
  <r>
    <n v="63"/>
    <x v="50"/>
    <n v="6302"/>
    <x v="1687"/>
    <n v="15192"/>
    <n v="15558"/>
    <n v="30750"/>
    <n v="11386"/>
  </r>
  <r>
    <n v="63"/>
    <x v="50"/>
    <n v="6303"/>
    <x v="1688"/>
    <n v="12327"/>
    <n v="12661"/>
    <n v="24988"/>
    <n v="9820"/>
  </r>
  <r>
    <n v="63"/>
    <x v="50"/>
    <n v="6304"/>
    <x v="1689"/>
    <n v="26265"/>
    <n v="24932"/>
    <n v="51197"/>
    <n v="17900"/>
  </r>
  <r>
    <n v="63"/>
    <x v="50"/>
    <n v="6305"/>
    <x v="1690"/>
    <n v="49437"/>
    <n v="46717"/>
    <n v="96154"/>
    <n v="25740"/>
  </r>
  <r>
    <n v="63"/>
    <x v="50"/>
    <n v="6306"/>
    <x v="1691"/>
    <n v="53030"/>
    <n v="51965"/>
    <n v="104995"/>
    <n v="40494"/>
  </r>
  <r>
    <n v="63"/>
    <x v="50"/>
    <n v="6307"/>
    <x v="1692"/>
    <n v="47042"/>
    <n v="45272"/>
    <n v="92314"/>
    <n v="22051"/>
  </r>
  <r>
    <n v="63"/>
    <x v="50"/>
    <n v="6308"/>
    <x v="1693"/>
    <n v="24541"/>
    <n v="22687"/>
    <n v="47228"/>
    <n v="12341"/>
  </r>
  <r>
    <n v="63"/>
    <x v="50"/>
    <n v="6309"/>
    <x v="1694"/>
    <n v="15328"/>
    <n v="15221"/>
    <n v="30549"/>
    <n v="9746"/>
  </r>
  <r>
    <n v="63"/>
    <x v="50"/>
    <n v="6386"/>
    <x v="1695"/>
    <n v="6259"/>
    <n v="5190"/>
    <n v="11449"/>
    <n v="6594"/>
  </r>
  <r>
    <n v="63"/>
    <x v="50"/>
    <n v="6387"/>
    <x v="1696"/>
    <n v="2090"/>
    <n v="2086"/>
    <n v="4176"/>
    <n v="2012"/>
  </r>
  <r>
    <n v="63"/>
    <x v="50"/>
    <n v="6388"/>
    <x v="1697"/>
    <n v="2573"/>
    <n v="2405"/>
    <n v="4978"/>
    <n v="950"/>
  </r>
  <r>
    <n v="63"/>
    <x v="50"/>
    <n v="6389"/>
    <x v="1698"/>
    <n v="3668"/>
    <n v="3468"/>
    <n v="7136"/>
    <n v="3002"/>
  </r>
  <r>
    <n v="63"/>
    <x v="50"/>
    <n v="6390"/>
    <x v="1699"/>
    <n v="3244"/>
    <n v="3399"/>
    <n v="6643"/>
    <n v="3269"/>
  </r>
  <r>
    <n v="63"/>
    <x v="50"/>
    <n v="6391"/>
    <x v="1700"/>
    <n v="12320"/>
    <n v="11635"/>
    <n v="23955"/>
    <n v="5075"/>
  </r>
  <r>
    <n v="63"/>
    <x v="50"/>
    <n v="6392"/>
    <x v="1701"/>
    <n v="2276"/>
    <n v="2333"/>
    <n v="4609"/>
    <n v="1467"/>
  </r>
  <r>
    <n v="63"/>
    <x v="50"/>
    <n v="6393"/>
    <x v="1702"/>
    <n v="1896"/>
    <n v="1928"/>
    <n v="3824"/>
    <n v="1912"/>
  </r>
  <r>
    <n v="63"/>
    <x v="50"/>
    <n v="6394"/>
    <x v="1703"/>
    <n v="2442"/>
    <n v="2596"/>
    <n v="5038"/>
    <n v="2206"/>
  </r>
  <r>
    <n v="63"/>
    <x v="50"/>
    <n v="6395"/>
    <x v="1704"/>
    <n v="2067"/>
    <n v="2292"/>
    <n v="4359"/>
    <n v="2223"/>
  </r>
  <r>
    <n v="63"/>
    <x v="50"/>
    <n v="6396"/>
    <x v="1705"/>
    <n v="2859"/>
    <n v="3379"/>
    <n v="6238"/>
    <n v="2772"/>
  </r>
  <r>
    <n v="63"/>
    <x v="50"/>
    <n v="6397"/>
    <x v="1706"/>
    <n v="2902"/>
    <n v="2964"/>
    <n v="5866"/>
    <n v="2183"/>
  </r>
  <r>
    <n v="63"/>
    <x v="50"/>
    <n v="6398"/>
    <x v="1707"/>
    <n v="21349"/>
    <n v="21525"/>
    <n v="42874"/>
    <n v="20802"/>
  </r>
  <r>
    <n v="63"/>
    <x v="50"/>
    <n v="6399"/>
    <x v="1708"/>
    <n v="7065"/>
    <n v="7993"/>
    <n v="15058"/>
    <n v="7599"/>
  </r>
  <r>
    <n v="64"/>
    <x v="51"/>
    <n v="6401"/>
    <x v="1709"/>
    <n v="28840"/>
    <n v="31136"/>
    <n v="59976"/>
    <n v="23787"/>
  </r>
  <r>
    <n v="64"/>
    <x v="51"/>
    <n v="6402"/>
    <x v="1710"/>
    <n v="21876"/>
    <n v="22173"/>
    <n v="44049"/>
    <n v="15097"/>
  </r>
  <r>
    <n v="64"/>
    <x v="51"/>
    <n v="6403"/>
    <x v="1711"/>
    <n v="22494"/>
    <n v="23070"/>
    <n v="45564"/>
    <n v="14916"/>
  </r>
  <r>
    <n v="64"/>
    <x v="51"/>
    <n v="6404"/>
    <x v="1712"/>
    <n v="28261"/>
    <n v="29822"/>
    <n v="58083"/>
    <n v="21194"/>
  </r>
  <r>
    <n v="64"/>
    <x v="51"/>
    <n v="6405"/>
    <x v="1713"/>
    <n v="33764"/>
    <n v="35097"/>
    <n v="68861"/>
    <n v="27910"/>
  </r>
  <r>
    <n v="64"/>
    <x v="51"/>
    <n v="6406"/>
    <x v="1714"/>
    <n v="28734"/>
    <n v="31204"/>
    <n v="59938"/>
    <n v="23244"/>
  </r>
  <r>
    <n v="64"/>
    <x v="51"/>
    <n v="6407"/>
    <x v="1715"/>
    <n v="23522"/>
    <n v="25651"/>
    <n v="49173"/>
    <n v="20740"/>
  </r>
  <r>
    <n v="64"/>
    <x v="51"/>
    <n v="6408"/>
    <x v="1716"/>
    <n v="10601"/>
    <n v="11306"/>
    <n v="21907"/>
    <n v="8404"/>
  </r>
  <r>
    <n v="64"/>
    <x v="51"/>
    <n v="6409"/>
    <x v="1717"/>
    <n v="20175"/>
    <n v="20797"/>
    <n v="40972"/>
    <n v="15441"/>
  </r>
  <r>
    <n v="64"/>
    <x v="51"/>
    <n v="6484"/>
    <x v="1449"/>
    <n v="3946"/>
    <n v="4136"/>
    <n v="8082"/>
    <n v="3514"/>
  </r>
  <r>
    <n v="64"/>
    <x v="51"/>
    <n v="6485"/>
    <x v="1718"/>
    <n v="3627"/>
    <n v="3902"/>
    <n v="7529"/>
    <n v="2861"/>
  </r>
  <r>
    <n v="64"/>
    <x v="51"/>
    <n v="6486"/>
    <x v="242"/>
    <n v="7396"/>
    <n v="8346"/>
    <n v="15742"/>
    <n v="7465"/>
  </r>
  <r>
    <n v="64"/>
    <x v="51"/>
    <n v="6487"/>
    <x v="1719"/>
    <n v="3334"/>
    <n v="3687"/>
    <n v="7021"/>
    <n v="3106"/>
  </r>
  <r>
    <n v="64"/>
    <x v="51"/>
    <n v="6488"/>
    <x v="1720"/>
    <n v="1383"/>
    <n v="1591"/>
    <n v="2974"/>
    <n v="1724"/>
  </r>
  <r>
    <n v="64"/>
    <x v="51"/>
    <n v="6489"/>
    <x v="1721"/>
    <n v="3280"/>
    <n v="3802"/>
    <n v="7082"/>
    <n v="3614"/>
  </r>
  <r>
    <n v="64"/>
    <x v="51"/>
    <n v="6490"/>
    <x v="1722"/>
    <n v="2955"/>
    <n v="3335"/>
    <n v="6290"/>
    <n v="3722"/>
  </r>
  <r>
    <n v="64"/>
    <x v="51"/>
    <n v="6491"/>
    <x v="1723"/>
    <n v="6961"/>
    <n v="7619"/>
    <n v="14580"/>
    <n v="5984"/>
  </r>
  <r>
    <n v="64"/>
    <x v="51"/>
    <n v="6492"/>
    <x v="1724"/>
    <n v="1877"/>
    <n v="2088"/>
    <n v="3965"/>
    <n v="2090"/>
  </r>
  <r>
    <n v="64"/>
    <x v="51"/>
    <n v="6493"/>
    <x v="1725"/>
    <n v="1375"/>
    <n v="1551"/>
    <n v="2926"/>
    <n v="1685"/>
  </r>
  <r>
    <n v="64"/>
    <x v="51"/>
    <n v="6494"/>
    <x v="1726"/>
    <n v="3277"/>
    <n v="3626"/>
    <n v="6903"/>
    <n v="2472"/>
  </r>
  <r>
    <n v="64"/>
    <x v="51"/>
    <n v="6495"/>
    <x v="1727"/>
    <n v="1645"/>
    <n v="1792"/>
    <n v="3437"/>
    <n v="1761"/>
  </r>
  <r>
    <n v="64"/>
    <x v="51"/>
    <n v="6496"/>
    <x v="479"/>
    <n v="3238"/>
    <n v="3783"/>
    <n v="7021"/>
    <n v="2721"/>
  </r>
  <r>
    <n v="64"/>
    <x v="51"/>
    <n v="6497"/>
    <x v="1728"/>
    <n v="1927"/>
    <n v="2151"/>
    <n v="4078"/>
    <n v="1735"/>
  </r>
  <r>
    <n v="64"/>
    <x v="51"/>
    <n v="6498"/>
    <x v="1729"/>
    <n v="6506"/>
    <n v="7398"/>
    <n v="13904"/>
    <n v="6855"/>
  </r>
  <r>
    <n v="64"/>
    <x v="51"/>
    <n v="6499"/>
    <x v="1730"/>
    <n v="6185"/>
    <n v="7146"/>
    <n v="13331"/>
    <n v="7193"/>
  </r>
  <r>
    <n v="65"/>
    <x v="52"/>
    <n v="6501"/>
    <x v="1731"/>
    <n v="87748"/>
    <n v="94344"/>
    <n v="182092"/>
    <n v="92279"/>
  </r>
  <r>
    <n v="65"/>
    <x v="52"/>
    <n v="6502"/>
    <x v="1732"/>
    <n v="32799"/>
    <n v="33301"/>
    <n v="66100"/>
    <n v="24693"/>
  </r>
  <r>
    <n v="65"/>
    <x v="52"/>
    <n v="6503"/>
    <x v="1733"/>
    <n v="18303"/>
    <n v="17984"/>
    <n v="36287"/>
    <n v="12891"/>
  </r>
  <r>
    <n v="65"/>
    <x v="52"/>
    <n v="6504"/>
    <x v="1734"/>
    <n v="36094"/>
    <n v="37438"/>
    <n v="73532"/>
    <n v="27265"/>
  </r>
  <r>
    <n v="65"/>
    <x v="52"/>
    <n v="6505"/>
    <x v="1735"/>
    <n v="15503"/>
    <n v="16434"/>
    <n v="31937"/>
    <n v="12352"/>
  </r>
  <r>
    <n v="65"/>
    <x v="52"/>
    <n v="6506"/>
    <x v="1736"/>
    <n v="38585"/>
    <n v="40733"/>
    <n v="79318"/>
    <n v="31721"/>
  </r>
  <r>
    <n v="65"/>
    <x v="52"/>
    <n v="6507"/>
    <x v="1737"/>
    <n v="14342"/>
    <n v="14685"/>
    <n v="29027"/>
    <n v="11675"/>
  </r>
  <r>
    <n v="65"/>
    <x v="52"/>
    <n v="6508"/>
    <x v="1738"/>
    <n v="55920"/>
    <n v="57530"/>
    <n v="113450"/>
    <n v="45986"/>
  </r>
  <r>
    <n v="65"/>
    <x v="52"/>
    <n v="6509"/>
    <x v="1739"/>
    <n v="18860"/>
    <n v="19082"/>
    <n v="37942"/>
    <n v="15431"/>
  </r>
  <r>
    <n v="65"/>
    <x v="52"/>
    <n v="6580"/>
    <x v="1740"/>
    <n v="15918"/>
    <n v="13364"/>
    <n v="29282"/>
    <n v="14707"/>
  </r>
  <r>
    <n v="65"/>
    <x v="52"/>
    <n v="6581"/>
    <x v="1741"/>
    <n v="3395"/>
    <n v="3447"/>
    <n v="6842"/>
    <n v="2773"/>
  </r>
  <r>
    <n v="65"/>
    <x v="52"/>
    <n v="6582"/>
    <x v="1742"/>
    <n v="2115"/>
    <n v="2259"/>
    <n v="4374"/>
    <n v="1733"/>
  </r>
  <r>
    <n v="65"/>
    <x v="52"/>
    <n v="6583"/>
    <x v="1743"/>
    <n v="3796"/>
    <n v="4276"/>
    <n v="8072"/>
    <n v="4608"/>
  </r>
  <r>
    <n v="65"/>
    <x v="52"/>
    <n v="6584"/>
    <x v="1744"/>
    <n v="2955"/>
    <n v="3023"/>
    <n v="5978"/>
    <n v="2159"/>
  </r>
  <r>
    <n v="65"/>
    <x v="52"/>
    <n v="6585"/>
    <x v="1745"/>
    <n v="4089"/>
    <n v="4213"/>
    <n v="8302"/>
    <n v="3282"/>
  </r>
  <r>
    <n v="65"/>
    <x v="52"/>
    <n v="6586"/>
    <x v="1746"/>
    <n v="5130"/>
    <n v="5002"/>
    <n v="10132"/>
    <n v="4971"/>
  </r>
  <r>
    <n v="65"/>
    <x v="52"/>
    <n v="6587"/>
    <x v="1747"/>
    <n v="1620"/>
    <n v="1778"/>
    <n v="3398"/>
    <n v="1704"/>
  </r>
  <r>
    <n v="65"/>
    <x v="52"/>
    <n v="6588"/>
    <x v="1748"/>
    <n v="1852"/>
    <n v="2139"/>
    <n v="3991"/>
    <n v="1751"/>
  </r>
  <r>
    <n v="65"/>
    <x v="52"/>
    <n v="6589"/>
    <x v="1749"/>
    <n v="3688"/>
    <n v="4138"/>
    <n v="7826"/>
    <n v="4216"/>
  </r>
  <r>
    <n v="65"/>
    <x v="52"/>
    <n v="6590"/>
    <x v="1750"/>
    <n v="1472"/>
    <n v="1534"/>
    <n v="3006"/>
    <n v="1600"/>
  </r>
  <r>
    <n v="65"/>
    <x v="52"/>
    <n v="6591"/>
    <x v="1751"/>
    <n v="500"/>
    <n v="603"/>
    <n v="1103"/>
    <n v="556"/>
  </r>
  <r>
    <n v="65"/>
    <x v="52"/>
    <n v="6592"/>
    <x v="1752"/>
    <n v="747"/>
    <n v="770"/>
    <n v="1517"/>
    <n v="625"/>
  </r>
  <r>
    <n v="65"/>
    <x v="52"/>
    <n v="6593"/>
    <x v="1753"/>
    <n v="5591"/>
    <n v="5878"/>
    <n v="11469"/>
    <n v="4699"/>
  </r>
  <r>
    <n v="65"/>
    <x v="52"/>
    <n v="6594"/>
    <x v="1754"/>
    <n v="1653"/>
    <n v="1813"/>
    <n v="3466"/>
    <n v="1361"/>
  </r>
  <r>
    <n v="65"/>
    <x v="52"/>
    <n v="6595"/>
    <x v="1755"/>
    <n v="1891"/>
    <n v="2117"/>
    <n v="4008"/>
    <n v="2041"/>
  </r>
  <r>
    <n v="65"/>
    <x v="52"/>
    <n v="6596"/>
    <x v="1756"/>
    <n v="2546"/>
    <n v="2712"/>
    <n v="5258"/>
    <n v="2690"/>
  </r>
  <r>
    <n v="65"/>
    <x v="52"/>
    <n v="6597"/>
    <x v="1757"/>
    <n v="4195"/>
    <n v="4501"/>
    <n v="8696"/>
    <n v="4202"/>
  </r>
  <r>
    <n v="65"/>
    <x v="52"/>
    <n v="6598"/>
    <x v="1421"/>
    <n v="894"/>
    <n v="990"/>
    <n v="1884"/>
    <n v="827"/>
  </r>
  <r>
    <n v="65"/>
    <x v="52"/>
    <n v="6599"/>
    <x v="1758"/>
    <n v="27395"/>
    <n v="33432"/>
    <n v="60827"/>
    <n v="37942"/>
  </r>
  <r>
    <n v="66"/>
    <x v="53"/>
    <n v="6601"/>
    <x v="1759"/>
    <n v="34873"/>
    <n v="37236"/>
    <n v="72109"/>
    <n v="27851"/>
  </r>
  <r>
    <n v="66"/>
    <x v="53"/>
    <n v="6602"/>
    <x v="1760"/>
    <n v="8362"/>
    <n v="8635"/>
    <n v="16997"/>
    <n v="6110"/>
  </r>
  <r>
    <n v="66"/>
    <x v="53"/>
    <n v="6603"/>
    <x v="1761"/>
    <n v="16603"/>
    <n v="17065"/>
    <n v="33668"/>
    <n v="12035"/>
  </r>
  <r>
    <n v="66"/>
    <x v="53"/>
    <n v="6604"/>
    <x v="1762"/>
    <n v="21200"/>
    <n v="22435"/>
    <n v="43635"/>
    <n v="16534"/>
  </r>
  <r>
    <n v="66"/>
    <x v="53"/>
    <n v="6605"/>
    <x v="1763"/>
    <n v="9561"/>
    <n v="10267"/>
    <n v="19828"/>
    <n v="8198"/>
  </r>
  <r>
    <n v="66"/>
    <x v="53"/>
    <n v="6606"/>
    <x v="1764"/>
    <n v="26120"/>
    <n v="27296"/>
    <n v="53416"/>
    <n v="19461"/>
  </r>
  <r>
    <n v="66"/>
    <x v="53"/>
    <n v="6607"/>
    <x v="1765"/>
    <n v="12436"/>
    <n v="12757"/>
    <n v="25193"/>
    <n v="9050"/>
  </r>
  <r>
    <n v="66"/>
    <x v="53"/>
    <n v="6608"/>
    <x v="1766"/>
    <n v="16149"/>
    <n v="16770"/>
    <n v="32919"/>
    <n v="13175"/>
  </r>
  <r>
    <n v="66"/>
    <x v="53"/>
    <n v="6609"/>
    <x v="1767"/>
    <n v="8724"/>
    <n v="8850"/>
    <n v="17574"/>
    <n v="6349"/>
  </r>
  <r>
    <n v="66"/>
    <x v="53"/>
    <n v="6610"/>
    <x v="1768"/>
    <n v="13972"/>
    <n v="14588"/>
    <n v="28560"/>
    <n v="11128"/>
  </r>
  <r>
    <n v="66"/>
    <x v="53"/>
    <n v="6611"/>
    <x v="1769"/>
    <n v="8248"/>
    <n v="8524"/>
    <n v="16772"/>
    <n v="6604"/>
  </r>
  <r>
    <n v="66"/>
    <x v="53"/>
    <n v="6612"/>
    <x v="1770"/>
    <n v="15139"/>
    <n v="15524"/>
    <n v="30663"/>
    <n v="11520"/>
  </r>
  <r>
    <n v="66"/>
    <x v="53"/>
    <n v="6676"/>
    <x v="1771"/>
    <n v="3280"/>
    <n v="3442"/>
    <n v="6722"/>
    <n v="2419"/>
  </r>
  <r>
    <n v="66"/>
    <x v="53"/>
    <n v="6677"/>
    <x v="1772"/>
    <n v="1641"/>
    <n v="1694"/>
    <n v="3335"/>
    <n v="1192"/>
  </r>
  <r>
    <n v="66"/>
    <x v="53"/>
    <n v="6678"/>
    <x v="1773"/>
    <n v="3173"/>
    <n v="3486"/>
    <n v="6659"/>
    <n v="3145"/>
  </r>
  <r>
    <n v="66"/>
    <x v="53"/>
    <n v="6679"/>
    <x v="1774"/>
    <n v="2811"/>
    <n v="2991"/>
    <n v="5802"/>
    <n v="2787"/>
  </r>
  <r>
    <n v="66"/>
    <x v="53"/>
    <n v="6680"/>
    <x v="1775"/>
    <n v="2281"/>
    <n v="2372"/>
    <n v="4653"/>
    <n v="1656"/>
  </r>
  <r>
    <n v="66"/>
    <x v="53"/>
    <n v="6681"/>
    <x v="1776"/>
    <n v="4458"/>
    <n v="4521"/>
    <n v="8979"/>
    <n v="3230"/>
  </r>
  <r>
    <n v="66"/>
    <x v="53"/>
    <n v="6682"/>
    <x v="1777"/>
    <n v="1057"/>
    <n v="1069"/>
    <n v="2126"/>
    <n v="934"/>
  </r>
  <r>
    <n v="66"/>
    <x v="53"/>
    <n v="6683"/>
    <x v="1778"/>
    <n v="2450"/>
    <n v="2700"/>
    <n v="5150"/>
    <n v="2464"/>
  </r>
  <r>
    <n v="66"/>
    <x v="53"/>
    <n v="6684"/>
    <x v="1779"/>
    <n v="1931"/>
    <n v="2103"/>
    <n v="4034"/>
    <n v="1810"/>
  </r>
  <r>
    <n v="66"/>
    <x v="53"/>
    <n v="6685"/>
    <x v="1780"/>
    <n v="2019"/>
    <n v="2072"/>
    <n v="4091"/>
    <n v="1945"/>
  </r>
  <r>
    <n v="66"/>
    <x v="53"/>
    <n v="6686"/>
    <x v="1781"/>
    <n v="2115"/>
    <n v="2444"/>
    <n v="4559"/>
    <n v="2293"/>
  </r>
  <r>
    <n v="66"/>
    <x v="53"/>
    <n v="6687"/>
    <x v="1782"/>
    <n v="1010"/>
    <n v="1097"/>
    <n v="2107"/>
    <n v="833"/>
  </r>
  <r>
    <n v="66"/>
    <x v="53"/>
    <n v="6688"/>
    <x v="1783"/>
    <n v="1118"/>
    <n v="1200"/>
    <n v="2318"/>
    <n v="1041"/>
  </r>
  <r>
    <n v="66"/>
    <x v="53"/>
    <n v="6689"/>
    <x v="1439"/>
    <n v="739"/>
    <n v="719"/>
    <n v="1458"/>
    <n v="538"/>
  </r>
  <r>
    <n v="66"/>
    <x v="53"/>
    <n v="6690"/>
    <x v="1784"/>
    <n v="778"/>
    <n v="771"/>
    <n v="1549"/>
    <n v="660"/>
  </r>
  <r>
    <n v="66"/>
    <x v="53"/>
    <n v="6691"/>
    <x v="1785"/>
    <n v="696"/>
    <n v="761"/>
    <n v="1457"/>
    <n v="651"/>
  </r>
  <r>
    <n v="66"/>
    <x v="53"/>
    <n v="6692"/>
    <x v="1786"/>
    <n v="4288"/>
    <n v="4553"/>
    <n v="8841"/>
    <n v="3671"/>
  </r>
  <r>
    <n v="66"/>
    <x v="53"/>
    <n v="6693"/>
    <x v="1787"/>
    <n v="1573"/>
    <n v="1629"/>
    <n v="3202"/>
    <n v="1303"/>
  </r>
  <r>
    <n v="66"/>
    <x v="53"/>
    <n v="6694"/>
    <x v="1447"/>
    <n v="1432"/>
    <n v="1535"/>
    <n v="2967"/>
    <n v="1220"/>
  </r>
  <r>
    <n v="66"/>
    <x v="53"/>
    <n v="6695"/>
    <x v="1788"/>
    <n v="1419"/>
    <n v="1462"/>
    <n v="2881"/>
    <n v="1077"/>
  </r>
  <r>
    <n v="66"/>
    <x v="53"/>
    <n v="6696"/>
    <x v="1789"/>
    <n v="1489"/>
    <n v="1625"/>
    <n v="3114"/>
    <n v="1232"/>
  </r>
  <r>
    <n v="66"/>
    <x v="53"/>
    <n v="6697"/>
    <x v="1790"/>
    <n v="3495"/>
    <n v="3924"/>
    <n v="7419"/>
    <n v="3736"/>
  </r>
  <r>
    <n v="66"/>
    <x v="53"/>
    <n v="6698"/>
    <x v="1791"/>
    <n v="5767"/>
    <n v="6674"/>
    <n v="12441"/>
    <n v="6387"/>
  </r>
  <r>
    <n v="66"/>
    <x v="53"/>
    <n v="6699"/>
    <x v="1792"/>
    <n v="9380"/>
    <n v="10730"/>
    <n v="20110"/>
    <n v="12727"/>
  </r>
  <r>
    <n v="67"/>
    <x v="54"/>
    <n v="6701"/>
    <x v="1793"/>
    <n v="78298"/>
    <n v="78940"/>
    <n v="157238"/>
    <n v="65186"/>
  </r>
  <r>
    <n v="67"/>
    <x v="54"/>
    <n v="6702"/>
    <x v="1794"/>
    <n v="33181"/>
    <n v="33447"/>
    <n v="66628"/>
    <n v="28853"/>
  </r>
  <r>
    <n v="67"/>
    <x v="54"/>
    <n v="6703"/>
    <x v="1795"/>
    <n v="68898"/>
    <n v="72868"/>
    <n v="141766"/>
    <n v="51250"/>
  </r>
  <r>
    <n v="67"/>
    <x v="54"/>
    <n v="6704"/>
    <x v="1796"/>
    <n v="28559"/>
    <n v="30087"/>
    <n v="58646"/>
    <n v="19775"/>
  </r>
  <r>
    <n v="67"/>
    <x v="54"/>
    <n v="6705"/>
    <x v="1797"/>
    <n v="48551"/>
    <n v="49903"/>
    <n v="98454"/>
    <n v="34906"/>
  </r>
  <r>
    <n v="67"/>
    <x v="54"/>
    <n v="6706"/>
    <x v="1798"/>
    <n v="27699"/>
    <n v="28225"/>
    <n v="55924"/>
    <n v="20467"/>
  </r>
  <r>
    <n v="67"/>
    <x v="54"/>
    <n v="6707"/>
    <x v="1799"/>
    <n v="36867"/>
    <n v="37520"/>
    <n v="74387"/>
    <n v="26138"/>
  </r>
  <r>
    <n v="67"/>
    <x v="54"/>
    <n v="6708"/>
    <x v="1800"/>
    <n v="30585"/>
    <n v="31299"/>
    <n v="61884"/>
    <n v="26852"/>
  </r>
  <r>
    <n v="67"/>
    <x v="54"/>
    <n v="6709"/>
    <x v="1801"/>
    <n v="9472"/>
    <n v="9136"/>
    <n v="18608"/>
    <n v="7610"/>
  </r>
  <r>
    <n v="67"/>
    <x v="54"/>
    <n v="6710"/>
    <x v="1802"/>
    <n v="13723"/>
    <n v="14042"/>
    <n v="27765"/>
    <n v="9636"/>
  </r>
  <r>
    <n v="67"/>
    <x v="54"/>
    <n v="6711"/>
    <x v="1803"/>
    <n v="18245"/>
    <n v="18203"/>
    <n v="36448"/>
    <n v="13251"/>
  </r>
  <r>
    <n v="67"/>
    <x v="54"/>
    <n v="6778"/>
    <x v="1804"/>
    <n v="2565"/>
    <n v="2792"/>
    <n v="5357"/>
    <n v="3336"/>
  </r>
  <r>
    <n v="67"/>
    <x v="54"/>
    <n v="6779"/>
    <x v="1805"/>
    <n v="3172"/>
    <n v="3222"/>
    <n v="6394"/>
    <n v="2250"/>
  </r>
  <r>
    <n v="67"/>
    <x v="54"/>
    <n v="6780"/>
    <x v="1806"/>
    <n v="2874"/>
    <n v="2867"/>
    <n v="5741"/>
    <n v="1955"/>
  </r>
  <r>
    <n v="67"/>
    <x v="54"/>
    <n v="6781"/>
    <x v="1807"/>
    <n v="4614"/>
    <n v="4798"/>
    <n v="9412"/>
    <n v="3126"/>
  </r>
  <r>
    <n v="67"/>
    <x v="54"/>
    <n v="6782"/>
    <x v="1808"/>
    <n v="5971"/>
    <n v="6711"/>
    <n v="12682"/>
    <n v="5901"/>
  </r>
  <r>
    <n v="67"/>
    <x v="54"/>
    <n v="6783"/>
    <x v="1809"/>
    <n v="3636"/>
    <n v="3693"/>
    <n v="7329"/>
    <n v="2659"/>
  </r>
  <r>
    <n v="67"/>
    <x v="54"/>
    <n v="6784"/>
    <x v="1810"/>
    <n v="1769"/>
    <n v="1992"/>
    <n v="3761"/>
    <n v="1570"/>
  </r>
  <r>
    <n v="67"/>
    <x v="54"/>
    <n v="6785"/>
    <x v="1811"/>
    <n v="1565"/>
    <n v="1698"/>
    <n v="3263"/>
    <n v="1108"/>
  </r>
  <r>
    <n v="67"/>
    <x v="54"/>
    <n v="6786"/>
    <x v="1812"/>
    <n v="3996"/>
    <n v="4242"/>
    <n v="8238"/>
    <n v="5186"/>
  </r>
  <r>
    <n v="67"/>
    <x v="54"/>
    <n v="6787"/>
    <x v="1001"/>
    <n v="3284"/>
    <n v="3656"/>
    <n v="6940"/>
    <n v="3906"/>
  </r>
  <r>
    <n v="67"/>
    <x v="54"/>
    <n v="6788"/>
    <x v="1813"/>
    <n v="1897"/>
    <n v="2137"/>
    <n v="4034"/>
    <n v="1781"/>
  </r>
  <r>
    <n v="67"/>
    <x v="54"/>
    <n v="6789"/>
    <x v="1814"/>
    <n v="3016"/>
    <n v="3331"/>
    <n v="6347"/>
    <n v="3004"/>
  </r>
  <r>
    <n v="67"/>
    <x v="54"/>
    <n v="6790"/>
    <x v="1815"/>
    <n v="10253"/>
    <n v="11339"/>
    <n v="21592"/>
    <n v="9093"/>
  </r>
  <r>
    <n v="67"/>
    <x v="54"/>
    <n v="6791"/>
    <x v="1816"/>
    <n v="3426"/>
    <n v="3580"/>
    <n v="7006"/>
    <n v="3080"/>
  </r>
  <r>
    <n v="67"/>
    <x v="54"/>
    <n v="6792"/>
    <x v="1817"/>
    <n v="2589"/>
    <n v="2919"/>
    <n v="5508"/>
    <n v="2697"/>
  </r>
  <r>
    <n v="67"/>
    <x v="54"/>
    <n v="6793"/>
    <x v="456"/>
    <n v="1192"/>
    <n v="1188"/>
    <n v="2380"/>
    <n v="1001"/>
  </r>
  <r>
    <n v="67"/>
    <x v="54"/>
    <n v="6794"/>
    <x v="1818"/>
    <n v="1146"/>
    <n v="1288"/>
    <n v="2434"/>
    <n v="1087"/>
  </r>
  <r>
    <n v="67"/>
    <x v="54"/>
    <n v="6795"/>
    <x v="1819"/>
    <n v="1727"/>
    <n v="1649"/>
    <n v="3376"/>
    <n v="1867"/>
  </r>
  <r>
    <n v="67"/>
    <x v="54"/>
    <n v="6796"/>
    <x v="1820"/>
    <n v="1536"/>
    <n v="1760"/>
    <n v="3296"/>
    <n v="1355"/>
  </r>
  <r>
    <n v="67"/>
    <x v="54"/>
    <n v="6797"/>
    <x v="1821"/>
    <n v="3501"/>
    <n v="3858"/>
    <n v="7359"/>
    <n v="2653"/>
  </r>
  <r>
    <n v="67"/>
    <x v="54"/>
    <n v="6798"/>
    <x v="1822"/>
    <n v="5153"/>
    <n v="5783"/>
    <n v="10936"/>
    <n v="6740"/>
  </r>
  <r>
    <n v="67"/>
    <x v="54"/>
    <n v="6799"/>
    <x v="1823"/>
    <n v="9107"/>
    <n v="10478"/>
    <n v="19585"/>
    <n v="12945"/>
  </r>
  <r>
    <n v="70"/>
    <x v="55"/>
    <n v="7001"/>
    <x v="1824"/>
    <n v="60153"/>
    <n v="63962"/>
    <n v="124115"/>
    <n v="52162"/>
  </r>
  <r>
    <n v="70"/>
    <x v="55"/>
    <n v="7002"/>
    <x v="1825"/>
    <n v="28696"/>
    <n v="29645"/>
    <n v="58341"/>
    <n v="20865"/>
  </r>
  <r>
    <n v="70"/>
    <x v="55"/>
    <n v="7003"/>
    <x v="1826"/>
    <n v="25022"/>
    <n v="23126"/>
    <n v="48148"/>
    <n v="15578"/>
  </r>
  <r>
    <n v="70"/>
    <x v="55"/>
    <n v="7004"/>
    <x v="1827"/>
    <n v="34870"/>
    <n v="37345"/>
    <n v="72215"/>
    <n v="24547"/>
  </r>
  <r>
    <n v="70"/>
    <x v="55"/>
    <n v="7005"/>
    <x v="1828"/>
    <n v="46318"/>
    <n v="50415"/>
    <n v="96733"/>
    <n v="39680"/>
  </r>
  <r>
    <n v="70"/>
    <x v="55"/>
    <n v="7006"/>
    <x v="1829"/>
    <n v="8438"/>
    <n v="9222"/>
    <n v="17660"/>
    <n v="6927"/>
  </r>
  <r>
    <n v="70"/>
    <x v="55"/>
    <n v="7007"/>
    <x v="1830"/>
    <n v="34461"/>
    <n v="36798"/>
    <n v="71259"/>
    <n v="27161"/>
  </r>
  <r>
    <n v="70"/>
    <x v="55"/>
    <n v="7008"/>
    <x v="1831"/>
    <n v="25565"/>
    <n v="26158"/>
    <n v="51723"/>
    <n v="19939"/>
  </r>
  <r>
    <n v="70"/>
    <x v="55"/>
    <n v="7009"/>
    <x v="1832"/>
    <n v="5071"/>
    <n v="5598"/>
    <n v="10669"/>
    <n v="3836"/>
  </r>
  <r>
    <n v="70"/>
    <x v="55"/>
    <n v="7010"/>
    <x v="1833"/>
    <n v="12777"/>
    <n v="12288"/>
    <n v="25065"/>
    <n v="10157"/>
  </r>
  <r>
    <n v="70"/>
    <x v="55"/>
    <n v="7070"/>
    <x v="1834"/>
    <n v="3322"/>
    <n v="3706"/>
    <n v="7028"/>
    <n v="3366"/>
  </r>
  <r>
    <n v="70"/>
    <x v="55"/>
    <n v="7071"/>
    <x v="1835"/>
    <n v="2534"/>
    <n v="2675"/>
    <n v="5209"/>
    <n v="2007"/>
  </r>
  <r>
    <n v="70"/>
    <x v="55"/>
    <n v="7072"/>
    <x v="1836"/>
    <n v="7654"/>
    <n v="8712"/>
    <n v="16366"/>
    <n v="7156"/>
  </r>
  <r>
    <n v="70"/>
    <x v="55"/>
    <n v="7073"/>
    <x v="1726"/>
    <n v="6903"/>
    <n v="7043"/>
    <n v="13946"/>
    <n v="4712"/>
  </r>
  <r>
    <n v="70"/>
    <x v="55"/>
    <n v="7074"/>
    <x v="1837"/>
    <n v="4122"/>
    <n v="4646"/>
    <n v="8768"/>
    <n v="3860"/>
  </r>
  <r>
    <n v="70"/>
    <x v="55"/>
    <n v="7075"/>
    <x v="1838"/>
    <n v="6154"/>
    <n v="6710"/>
    <n v="12864"/>
    <n v="4138"/>
  </r>
  <r>
    <n v="70"/>
    <x v="55"/>
    <n v="7076"/>
    <x v="1839"/>
    <n v="5694"/>
    <n v="6309"/>
    <n v="12003"/>
    <n v="4825"/>
  </r>
  <r>
    <n v="70"/>
    <x v="55"/>
    <n v="7077"/>
    <x v="1840"/>
    <n v="633"/>
    <n v="704"/>
    <n v="1337"/>
    <n v="569"/>
  </r>
  <r>
    <n v="70"/>
    <x v="55"/>
    <n v="7078"/>
    <x v="1841"/>
    <n v="1305"/>
    <n v="1394"/>
    <n v="2699"/>
    <n v="1449"/>
  </r>
  <r>
    <n v="70"/>
    <x v="55"/>
    <n v="7079"/>
    <x v="1842"/>
    <n v="1740"/>
    <n v="2025"/>
    <n v="3765"/>
    <n v="2282"/>
  </r>
  <r>
    <n v="70"/>
    <x v="55"/>
    <n v="7080"/>
    <x v="1843"/>
    <n v="5287"/>
    <n v="5840"/>
    <n v="11127"/>
    <n v="5599"/>
  </r>
  <r>
    <n v="70"/>
    <x v="55"/>
    <n v="7081"/>
    <x v="1844"/>
    <n v="2752"/>
    <n v="3044"/>
    <n v="5796"/>
    <n v="2484"/>
  </r>
  <r>
    <n v="70"/>
    <x v="55"/>
    <n v="7082"/>
    <x v="1845"/>
    <n v="3528"/>
    <n v="3763"/>
    <n v="7291"/>
    <n v="2763"/>
  </r>
  <r>
    <n v="70"/>
    <x v="55"/>
    <n v="7083"/>
    <x v="1846"/>
    <n v="5028"/>
    <n v="5360"/>
    <n v="10388"/>
    <n v="3893"/>
  </r>
  <r>
    <n v="70"/>
    <x v="55"/>
    <n v="7084"/>
    <x v="1847"/>
    <n v="7546"/>
    <n v="8316"/>
    <n v="15862"/>
    <n v="6970"/>
  </r>
  <r>
    <n v="70"/>
    <x v="55"/>
    <n v="7085"/>
    <x v="1848"/>
    <n v="781"/>
    <n v="814"/>
    <n v="1595"/>
    <n v="750"/>
  </r>
  <r>
    <n v="70"/>
    <x v="55"/>
    <n v="7086"/>
    <x v="1849"/>
    <n v="9616"/>
    <n v="10326"/>
    <n v="19942"/>
    <n v="8822"/>
  </r>
  <r>
    <n v="70"/>
    <x v="55"/>
    <n v="7087"/>
    <x v="1850"/>
    <n v="3695"/>
    <n v="4087"/>
    <n v="7782"/>
    <n v="4028"/>
  </r>
  <r>
    <n v="70"/>
    <x v="55"/>
    <n v="7088"/>
    <x v="1851"/>
    <n v="4870"/>
    <n v="5400"/>
    <n v="10270"/>
    <n v="3637"/>
  </r>
  <r>
    <n v="70"/>
    <x v="55"/>
    <n v="7089"/>
    <x v="1852"/>
    <n v="3204"/>
    <n v="3670"/>
    <n v="6874"/>
    <n v="3361"/>
  </r>
  <r>
    <n v="70"/>
    <x v="55"/>
    <n v="7090"/>
    <x v="1853"/>
    <n v="1733"/>
    <n v="1730"/>
    <n v="3463"/>
    <n v="1934"/>
  </r>
  <r>
    <n v="70"/>
    <x v="55"/>
    <n v="7091"/>
    <x v="1854"/>
    <n v="1897"/>
    <n v="1901"/>
    <n v="3798"/>
    <n v="2012"/>
  </r>
  <r>
    <n v="70"/>
    <x v="55"/>
    <n v="7092"/>
    <x v="1855"/>
    <n v="1249"/>
    <n v="1223"/>
    <n v="2472"/>
    <n v="862"/>
  </r>
  <r>
    <n v="70"/>
    <x v="55"/>
    <n v="7093"/>
    <x v="1856"/>
    <n v="2207"/>
    <n v="2536"/>
    <n v="4743"/>
    <n v="3798"/>
  </r>
  <r>
    <n v="70"/>
    <x v="55"/>
    <n v="7094"/>
    <x v="1857"/>
    <n v="5301"/>
    <n v="5761"/>
    <n v="11062"/>
    <n v="4694"/>
  </r>
  <r>
    <n v="70"/>
    <x v="55"/>
    <n v="7095"/>
    <x v="1858"/>
    <n v="8940"/>
    <n v="8092"/>
    <n v="17032"/>
    <n v="7609"/>
  </r>
  <r>
    <n v="70"/>
    <x v="55"/>
    <n v="7096"/>
    <x v="1859"/>
    <n v="4401"/>
    <n v="4930"/>
    <n v="9331"/>
    <n v="3450"/>
  </r>
  <r>
    <n v="70"/>
    <x v="55"/>
    <n v="7097"/>
    <x v="1860"/>
    <n v="3770"/>
    <n v="4178"/>
    <n v="7948"/>
    <n v="3801"/>
  </r>
  <r>
    <n v="70"/>
    <x v="55"/>
    <n v="7098"/>
    <x v="1861"/>
    <n v="6807"/>
    <n v="7837"/>
    <n v="14644"/>
    <n v="8367"/>
  </r>
  <r>
    <n v="70"/>
    <x v="55"/>
    <n v="7099"/>
    <x v="1862"/>
    <n v="14903"/>
    <n v="17801"/>
    <n v="32704"/>
    <n v="16668"/>
  </r>
  <r>
    <n v="71"/>
    <x v="56"/>
    <n v="7101"/>
    <x v="1863"/>
    <n v="53705"/>
    <n v="43933"/>
    <n v="97638"/>
    <n v="41020"/>
  </r>
  <r>
    <n v="71"/>
    <x v="56"/>
    <n v="7102"/>
    <x v="1864"/>
    <n v="31203"/>
    <n v="29496"/>
    <n v="60699"/>
    <n v="21755"/>
  </r>
  <r>
    <n v="71"/>
    <x v="56"/>
    <n v="7103"/>
    <x v="1865"/>
    <n v="24053"/>
    <n v="24276"/>
    <n v="48329"/>
    <n v="19491"/>
  </r>
  <r>
    <n v="71"/>
    <x v="56"/>
    <n v="7104"/>
    <x v="1866"/>
    <n v="13294"/>
    <n v="12550"/>
    <n v="25844"/>
    <n v="10672"/>
  </r>
  <r>
    <n v="71"/>
    <x v="56"/>
    <n v="7105"/>
    <x v="1867"/>
    <n v="43866"/>
    <n v="46774"/>
    <n v="90640"/>
    <n v="33417"/>
  </r>
  <r>
    <n v="71"/>
    <x v="56"/>
    <n v="7106"/>
    <x v="1868"/>
    <n v="28199"/>
    <n v="30128"/>
    <n v="58327"/>
    <n v="25626"/>
  </r>
  <r>
    <n v="71"/>
    <x v="56"/>
    <n v="7107"/>
    <x v="1869"/>
    <n v="35360"/>
    <n v="32903"/>
    <n v="68263"/>
    <n v="28793"/>
  </r>
  <r>
    <n v="71"/>
    <x v="56"/>
    <n v="7108"/>
    <x v="1870"/>
    <n v="23025"/>
    <n v="21665"/>
    <n v="44690"/>
    <n v="12951"/>
  </r>
  <r>
    <n v="71"/>
    <x v="56"/>
    <n v="7109"/>
    <x v="1871"/>
    <n v="15680"/>
    <n v="16736"/>
    <n v="32416"/>
    <n v="11959"/>
  </r>
  <r>
    <n v="71"/>
    <x v="56"/>
    <n v="7110"/>
    <x v="1872"/>
    <n v="26726"/>
    <n v="27010"/>
    <n v="53736"/>
    <n v="19798"/>
  </r>
  <r>
    <n v="71"/>
    <x v="56"/>
    <n v="7111"/>
    <x v="1873"/>
    <n v="15566"/>
    <n v="15737"/>
    <n v="31303"/>
    <n v="11387"/>
  </r>
  <r>
    <n v="71"/>
    <x v="56"/>
    <n v="7112"/>
    <x v="1874"/>
    <n v="13847"/>
    <n v="13510"/>
    <n v="27357"/>
    <n v="10106"/>
  </r>
  <r>
    <n v="71"/>
    <x v="56"/>
    <n v="7113"/>
    <x v="1875"/>
    <n v="16684"/>
    <n v="17414"/>
    <n v="34098"/>
    <n v="12599"/>
  </r>
  <r>
    <n v="71"/>
    <x v="56"/>
    <n v="7167"/>
    <x v="1876"/>
    <n v="3576"/>
    <n v="3593"/>
    <n v="7169"/>
    <n v="2701"/>
  </r>
  <r>
    <n v="71"/>
    <x v="56"/>
    <n v="7168"/>
    <x v="1877"/>
    <n v="1727"/>
    <n v="1940"/>
    <n v="3667"/>
    <n v="1261"/>
  </r>
  <r>
    <n v="71"/>
    <x v="56"/>
    <n v="7169"/>
    <x v="1878"/>
    <n v="13488"/>
    <n v="15102"/>
    <n v="28590"/>
    <n v="17024"/>
  </r>
  <r>
    <n v="71"/>
    <x v="56"/>
    <n v="7170"/>
    <x v="1879"/>
    <n v="5707"/>
    <n v="6074"/>
    <n v="11781"/>
    <n v="5465"/>
  </r>
  <r>
    <n v="71"/>
    <x v="56"/>
    <n v="7171"/>
    <x v="1880"/>
    <n v="4357"/>
    <n v="4873"/>
    <n v="9230"/>
    <n v="4148"/>
  </r>
  <r>
    <n v="71"/>
    <x v="56"/>
    <n v="7172"/>
    <x v="1881"/>
    <n v="4399"/>
    <n v="4932"/>
    <n v="9331"/>
    <n v="4092"/>
  </r>
  <r>
    <n v="71"/>
    <x v="56"/>
    <n v="7173"/>
    <x v="1882"/>
    <n v="2107"/>
    <n v="2268"/>
    <n v="4375"/>
    <n v="1899"/>
  </r>
  <r>
    <n v="71"/>
    <x v="56"/>
    <n v="7174"/>
    <x v="1883"/>
    <n v="1185"/>
    <n v="1248"/>
    <n v="2433"/>
    <n v="1333"/>
  </r>
  <r>
    <n v="71"/>
    <x v="56"/>
    <n v="7175"/>
    <x v="1884"/>
    <n v="1046"/>
    <n v="1157"/>
    <n v="2203"/>
    <n v="978"/>
  </r>
  <r>
    <n v="71"/>
    <x v="56"/>
    <n v="7176"/>
    <x v="1885"/>
    <n v="1317"/>
    <n v="1331"/>
    <n v="2648"/>
    <n v="1409"/>
  </r>
  <r>
    <n v="71"/>
    <x v="56"/>
    <n v="7177"/>
    <x v="1886"/>
    <n v="1872"/>
    <n v="2113"/>
    <n v="3985"/>
    <n v="1879"/>
  </r>
  <r>
    <n v="71"/>
    <x v="56"/>
    <n v="7178"/>
    <x v="1887"/>
    <n v="2389"/>
    <n v="2693"/>
    <n v="5082"/>
    <n v="2286"/>
  </r>
  <r>
    <n v="71"/>
    <x v="56"/>
    <n v="7179"/>
    <x v="1888"/>
    <n v="4974"/>
    <n v="4795"/>
    <n v="9769"/>
    <n v="2731"/>
  </r>
  <r>
    <n v="71"/>
    <x v="56"/>
    <n v="7180"/>
    <x v="1889"/>
    <n v="1547"/>
    <n v="1505"/>
    <n v="3052"/>
    <n v="1633"/>
  </r>
  <r>
    <n v="71"/>
    <x v="56"/>
    <n v="7181"/>
    <x v="1890"/>
    <n v="1488"/>
    <n v="1557"/>
    <n v="3045"/>
    <n v="1015"/>
  </r>
  <r>
    <n v="71"/>
    <x v="56"/>
    <n v="7182"/>
    <x v="1891"/>
    <n v="2297"/>
    <n v="2560"/>
    <n v="4857"/>
    <n v="1637"/>
  </r>
  <r>
    <n v="71"/>
    <x v="56"/>
    <n v="7183"/>
    <x v="1892"/>
    <n v="872"/>
    <n v="906"/>
    <n v="1778"/>
    <n v="669"/>
  </r>
  <r>
    <n v="71"/>
    <x v="56"/>
    <n v="7184"/>
    <x v="1893"/>
    <n v="4305"/>
    <n v="5046"/>
    <n v="9351"/>
    <n v="5595"/>
  </r>
  <r>
    <n v="71"/>
    <x v="56"/>
    <n v="7185"/>
    <x v="1894"/>
    <n v="2116"/>
    <n v="2273"/>
    <n v="4389"/>
    <n v="2056"/>
  </r>
  <r>
    <n v="71"/>
    <x v="56"/>
    <n v="7186"/>
    <x v="1895"/>
    <n v="2949"/>
    <n v="3246"/>
    <n v="6195"/>
    <n v="2327"/>
  </r>
  <r>
    <n v="71"/>
    <x v="56"/>
    <n v="7187"/>
    <x v="1896"/>
    <n v="4259"/>
    <n v="4625"/>
    <n v="8884"/>
    <n v="4014"/>
  </r>
  <r>
    <n v="71"/>
    <x v="56"/>
    <n v="7188"/>
    <x v="1897"/>
    <n v="3713"/>
    <n v="4314"/>
    <n v="8027"/>
    <n v="4803"/>
  </r>
  <r>
    <n v="71"/>
    <x v="56"/>
    <n v="7189"/>
    <x v="1898"/>
    <n v="1526"/>
    <n v="1779"/>
    <n v="3305"/>
    <n v="1530"/>
  </r>
  <r>
    <n v="71"/>
    <x v="56"/>
    <n v="7190"/>
    <x v="1899"/>
    <n v="482"/>
    <n v="531"/>
    <n v="1013"/>
    <n v="727"/>
  </r>
  <r>
    <n v="71"/>
    <x v="56"/>
    <n v="7191"/>
    <x v="1900"/>
    <n v="1042"/>
    <n v="1113"/>
    <n v="2155"/>
    <n v="856"/>
  </r>
  <r>
    <n v="71"/>
    <x v="56"/>
    <n v="7192"/>
    <x v="422"/>
    <n v="3327"/>
    <n v="3365"/>
    <n v="6692"/>
    <n v="2844"/>
  </r>
  <r>
    <n v="71"/>
    <x v="56"/>
    <n v="7193"/>
    <x v="1901"/>
    <n v="1069"/>
    <n v="1051"/>
    <n v="2120"/>
    <n v="925"/>
  </r>
  <r>
    <n v="71"/>
    <x v="56"/>
    <n v="7194"/>
    <x v="1902"/>
    <n v="1933"/>
    <n v="1981"/>
    <n v="3914"/>
    <n v="1726"/>
  </r>
  <r>
    <n v="71"/>
    <x v="56"/>
    <n v="7195"/>
    <x v="403"/>
    <n v="3355"/>
    <n v="3765"/>
    <n v="7120"/>
    <n v="3399"/>
  </r>
  <r>
    <n v="71"/>
    <x v="56"/>
    <n v="7196"/>
    <x v="1903"/>
    <n v="2599"/>
    <n v="2814"/>
    <n v="5413"/>
    <n v="2480"/>
  </r>
  <r>
    <n v="71"/>
    <x v="56"/>
    <n v="7197"/>
    <x v="1904"/>
    <n v="3029"/>
    <n v="3428"/>
    <n v="6457"/>
    <n v="3967"/>
  </r>
  <r>
    <n v="71"/>
    <x v="56"/>
    <n v="7198"/>
    <x v="1905"/>
    <n v="4904"/>
    <n v="5453"/>
    <n v="10357"/>
    <n v="5177"/>
  </r>
  <r>
    <n v="71"/>
    <x v="56"/>
    <n v="7199"/>
    <x v="1906"/>
    <n v="11489"/>
    <n v="13135"/>
    <n v="24624"/>
    <n v="16184"/>
  </r>
  <r>
    <n v="72"/>
    <x v="57"/>
    <n v="7201"/>
    <x v="1907"/>
    <n v="50456"/>
    <n v="56290"/>
    <n v="106746"/>
    <n v="40705"/>
  </r>
  <r>
    <n v="72"/>
    <x v="57"/>
    <n v="7202"/>
    <x v="1908"/>
    <n v="19559"/>
    <n v="20966"/>
    <n v="40525"/>
    <n v="15842"/>
  </r>
  <r>
    <n v="72"/>
    <x v="57"/>
    <n v="7203"/>
    <x v="1909"/>
    <n v="30223"/>
    <n v="30947"/>
    <n v="61170"/>
    <n v="24388"/>
  </r>
  <r>
    <n v="72"/>
    <x v="57"/>
    <n v="7204"/>
    <x v="1910"/>
    <n v="27813"/>
    <n v="29197"/>
    <n v="57010"/>
    <n v="20334"/>
  </r>
  <r>
    <n v="72"/>
    <x v="57"/>
    <n v="7205"/>
    <x v="1911"/>
    <n v="18804"/>
    <n v="20602"/>
    <n v="39406"/>
    <n v="15689"/>
  </r>
  <r>
    <n v="72"/>
    <x v="57"/>
    <n v="7206"/>
    <x v="1912"/>
    <n v="19315"/>
    <n v="20878"/>
    <n v="40193"/>
    <n v="15607"/>
  </r>
  <r>
    <n v="72"/>
    <x v="57"/>
    <n v="7207"/>
    <x v="1913"/>
    <n v="53361"/>
    <n v="55629"/>
    <n v="108990"/>
    <n v="37714"/>
  </r>
  <r>
    <n v="72"/>
    <x v="57"/>
    <n v="7208"/>
    <x v="1914"/>
    <n v="18647"/>
    <n v="20253"/>
    <n v="38900"/>
    <n v="15603"/>
  </r>
  <r>
    <n v="72"/>
    <x v="57"/>
    <n v="7209"/>
    <x v="1915"/>
    <n v="31338"/>
    <n v="33245"/>
    <n v="64583"/>
    <n v="22947"/>
  </r>
  <r>
    <n v="72"/>
    <x v="57"/>
    <n v="7210"/>
    <x v="1916"/>
    <n v="22593"/>
    <n v="23740"/>
    <n v="46333"/>
    <n v="17555"/>
  </r>
  <r>
    <n v="72"/>
    <x v="57"/>
    <n v="7265"/>
    <x v="461"/>
    <n v="2099"/>
    <n v="2302"/>
    <n v="4401"/>
    <n v="1828"/>
  </r>
  <r>
    <n v="72"/>
    <x v="57"/>
    <n v="7266"/>
    <x v="1917"/>
    <n v="7595"/>
    <n v="8031"/>
    <n v="15626"/>
    <n v="6169"/>
  </r>
  <r>
    <n v="72"/>
    <x v="57"/>
    <n v="7267"/>
    <x v="1918"/>
    <n v="3568"/>
    <n v="3733"/>
    <n v="7301"/>
    <n v="2042"/>
  </r>
  <r>
    <n v="72"/>
    <x v="57"/>
    <n v="7268"/>
    <x v="1919"/>
    <n v="4428"/>
    <n v="4535"/>
    <n v="8963"/>
    <n v="3526"/>
  </r>
  <r>
    <n v="72"/>
    <x v="57"/>
    <n v="7269"/>
    <x v="1920"/>
    <n v="3097"/>
    <n v="3544"/>
    <n v="6641"/>
    <n v="2939"/>
  </r>
  <r>
    <n v="72"/>
    <x v="57"/>
    <n v="7270"/>
    <x v="1921"/>
    <n v="900"/>
    <n v="961"/>
    <n v="1861"/>
    <n v="599"/>
  </r>
  <r>
    <n v="72"/>
    <x v="57"/>
    <n v="7271"/>
    <x v="1922"/>
    <n v="4251"/>
    <n v="5046"/>
    <n v="9297"/>
    <n v="5656"/>
  </r>
  <r>
    <n v="72"/>
    <x v="57"/>
    <n v="7272"/>
    <x v="1923"/>
    <n v="2600"/>
    <n v="2798"/>
    <n v="5398"/>
    <n v="1981"/>
  </r>
  <r>
    <n v="72"/>
    <x v="57"/>
    <n v="7273"/>
    <x v="1924"/>
    <n v="3612"/>
    <n v="3847"/>
    <n v="7459"/>
    <n v="2116"/>
  </r>
  <r>
    <n v="72"/>
    <x v="57"/>
    <n v="7274"/>
    <x v="1925"/>
    <n v="2532"/>
    <n v="2756"/>
    <n v="5288"/>
    <n v="2107"/>
  </r>
  <r>
    <n v="72"/>
    <x v="57"/>
    <n v="7275"/>
    <x v="1926"/>
    <n v="3878"/>
    <n v="4244"/>
    <n v="8122"/>
    <n v="2994"/>
  </r>
  <r>
    <n v="72"/>
    <x v="57"/>
    <n v="7276"/>
    <x v="1927"/>
    <n v="2617"/>
    <n v="2662"/>
    <n v="5279"/>
    <n v="1991"/>
  </r>
  <r>
    <n v="72"/>
    <x v="57"/>
    <n v="7277"/>
    <x v="1669"/>
    <n v="3209"/>
    <n v="3568"/>
    <n v="6777"/>
    <n v="2877"/>
  </r>
  <r>
    <n v="72"/>
    <x v="57"/>
    <n v="7278"/>
    <x v="1928"/>
    <n v="2896"/>
    <n v="3082"/>
    <n v="5978"/>
    <n v="2140"/>
  </r>
  <r>
    <n v="72"/>
    <x v="57"/>
    <n v="7279"/>
    <x v="1929"/>
    <n v="1103"/>
    <n v="1257"/>
    <n v="2360"/>
    <n v="1166"/>
  </r>
  <r>
    <n v="72"/>
    <x v="57"/>
    <n v="7280"/>
    <x v="1930"/>
    <n v="3414"/>
    <n v="3839"/>
    <n v="7253"/>
    <n v="3699"/>
  </r>
  <r>
    <n v="72"/>
    <x v="57"/>
    <n v="7281"/>
    <x v="1931"/>
    <n v="1280"/>
    <n v="1440"/>
    <n v="2720"/>
    <n v="1083"/>
  </r>
  <r>
    <n v="72"/>
    <x v="57"/>
    <n v="7282"/>
    <x v="1932"/>
    <n v="5723"/>
    <n v="6521"/>
    <n v="12244"/>
    <n v="6947"/>
  </r>
  <r>
    <n v="72"/>
    <x v="57"/>
    <n v="7283"/>
    <x v="1933"/>
    <n v="1507"/>
    <n v="1770"/>
    <n v="3277"/>
    <n v="1336"/>
  </r>
  <r>
    <n v="72"/>
    <x v="57"/>
    <n v="7284"/>
    <x v="1934"/>
    <n v="1187"/>
    <n v="1160"/>
    <n v="2347"/>
    <n v="1074"/>
  </r>
  <r>
    <n v="72"/>
    <x v="57"/>
    <n v="7285"/>
    <x v="1935"/>
    <n v="1370"/>
    <n v="1487"/>
    <n v="2857"/>
    <n v="1425"/>
  </r>
  <r>
    <n v="72"/>
    <x v="57"/>
    <n v="7286"/>
    <x v="1936"/>
    <n v="2557"/>
    <n v="2878"/>
    <n v="5435"/>
    <n v="2699"/>
  </r>
  <r>
    <n v="72"/>
    <x v="57"/>
    <n v="7287"/>
    <x v="1937"/>
    <n v="808"/>
    <n v="861"/>
    <n v="1669"/>
    <n v="619"/>
  </r>
  <r>
    <n v="72"/>
    <x v="57"/>
    <n v="7288"/>
    <x v="1938"/>
    <n v="571"/>
    <n v="569"/>
    <n v="1140"/>
    <n v="461"/>
  </r>
  <r>
    <n v="72"/>
    <x v="57"/>
    <n v="7289"/>
    <x v="1939"/>
    <n v="880"/>
    <n v="913"/>
    <n v="1793"/>
    <n v="693"/>
  </r>
  <r>
    <n v="72"/>
    <x v="57"/>
    <n v="7290"/>
    <x v="1940"/>
    <n v="709"/>
    <n v="758"/>
    <n v="1467"/>
    <n v="902"/>
  </r>
  <r>
    <n v="72"/>
    <x v="57"/>
    <n v="7291"/>
    <x v="1941"/>
    <n v="2592"/>
    <n v="2956"/>
    <n v="5548"/>
    <n v="3456"/>
  </r>
  <r>
    <n v="72"/>
    <x v="57"/>
    <n v="7292"/>
    <x v="1942"/>
    <n v="892"/>
    <n v="1031"/>
    <n v="1923"/>
    <n v="788"/>
  </r>
  <r>
    <n v="72"/>
    <x v="57"/>
    <n v="7293"/>
    <x v="1943"/>
    <n v="2030"/>
    <n v="2156"/>
    <n v="4186"/>
    <n v="1721"/>
  </r>
  <r>
    <n v="72"/>
    <x v="57"/>
    <n v="7294"/>
    <x v="1944"/>
    <n v="2495"/>
    <n v="2918"/>
    <n v="5413"/>
    <n v="3334"/>
  </r>
  <r>
    <n v="72"/>
    <x v="57"/>
    <n v="7295"/>
    <x v="1945"/>
    <n v="3051"/>
    <n v="3281"/>
    <n v="6332"/>
    <n v="2387"/>
  </r>
  <r>
    <n v="72"/>
    <x v="57"/>
    <n v="7296"/>
    <x v="1946"/>
    <n v="1465"/>
    <n v="1820"/>
    <n v="3285"/>
    <n v="1722"/>
  </r>
  <r>
    <n v="72"/>
    <x v="57"/>
    <n v="7297"/>
    <x v="1947"/>
    <n v="6583"/>
    <n v="7024"/>
    <n v="13607"/>
    <n v="4599"/>
  </r>
  <r>
    <n v="72"/>
    <x v="57"/>
    <n v="7298"/>
    <x v="1948"/>
    <n v="5497"/>
    <n v="6294"/>
    <n v="11791"/>
    <n v="5380"/>
  </r>
  <r>
    <n v="72"/>
    <x v="57"/>
    <n v="7299"/>
    <x v="1949"/>
    <n v="10664"/>
    <n v="12653"/>
    <n v="23317"/>
    <n v="13162"/>
  </r>
  <r>
    <n v="73"/>
    <x v="58"/>
    <n v="7301"/>
    <x v="1950"/>
    <n v="84488"/>
    <n v="92481"/>
    <n v="176969"/>
    <n v="72539"/>
  </r>
  <r>
    <n v="73"/>
    <x v="58"/>
    <n v="7302"/>
    <x v="1951"/>
    <n v="57664"/>
    <n v="60873"/>
    <n v="118537"/>
    <n v="42452"/>
  </r>
  <r>
    <n v="73"/>
    <x v="58"/>
    <n v="7303"/>
    <x v="1952"/>
    <n v="48155"/>
    <n v="53201"/>
    <n v="101356"/>
    <n v="41862"/>
  </r>
  <r>
    <n v="73"/>
    <x v="58"/>
    <n v="7304"/>
    <x v="1953"/>
    <n v="17445"/>
    <n v="18389"/>
    <n v="35834"/>
    <n v="11946"/>
  </r>
  <r>
    <n v="73"/>
    <x v="58"/>
    <n v="7305"/>
    <x v="1954"/>
    <n v="39587"/>
    <n v="40747"/>
    <n v="80334"/>
    <n v="31433"/>
  </r>
  <r>
    <n v="73"/>
    <x v="58"/>
    <n v="7306"/>
    <x v="1955"/>
    <n v="47571"/>
    <n v="52910"/>
    <n v="100481"/>
    <n v="52185"/>
  </r>
  <r>
    <n v="73"/>
    <x v="58"/>
    <n v="7307"/>
    <x v="1956"/>
    <n v="10584"/>
    <n v="12458"/>
    <n v="23042"/>
    <n v="12471"/>
  </r>
  <r>
    <n v="73"/>
    <x v="58"/>
    <n v="7380"/>
    <x v="1957"/>
    <n v="4598"/>
    <n v="5111"/>
    <n v="9709"/>
    <n v="5079"/>
  </r>
  <r>
    <n v="73"/>
    <x v="58"/>
    <n v="7381"/>
    <x v="1958"/>
    <n v="7218"/>
    <n v="8384"/>
    <n v="15602"/>
    <n v="9517"/>
  </r>
  <r>
    <n v="73"/>
    <x v="58"/>
    <n v="7382"/>
    <x v="1959"/>
    <n v="13578"/>
    <n v="15931"/>
    <n v="29509"/>
    <n v="19092"/>
  </r>
  <r>
    <n v="73"/>
    <x v="58"/>
    <n v="7383"/>
    <x v="1960"/>
    <n v="17045"/>
    <n v="19441"/>
    <n v="36486"/>
    <n v="27294"/>
  </r>
  <r>
    <n v="73"/>
    <x v="58"/>
    <n v="7384"/>
    <x v="1961"/>
    <n v="5169"/>
    <n v="5783"/>
    <n v="10952"/>
    <n v="4670"/>
  </r>
  <r>
    <n v="73"/>
    <x v="58"/>
    <n v="7385"/>
    <x v="1962"/>
    <n v="6551"/>
    <n v="5279"/>
    <n v="11830"/>
    <n v="9858"/>
  </r>
  <r>
    <n v="73"/>
    <x v="58"/>
    <n v="7386"/>
    <x v="1963"/>
    <n v="11551"/>
    <n v="12823"/>
    <n v="24374"/>
    <n v="22440"/>
  </r>
  <r>
    <n v="73"/>
    <x v="58"/>
    <n v="7387"/>
    <x v="1964"/>
    <n v="8520"/>
    <n v="7587"/>
    <n v="16107"/>
    <n v="9310"/>
  </r>
  <r>
    <n v="73"/>
    <x v="58"/>
    <n v="7388"/>
    <x v="1965"/>
    <n v="902"/>
    <n v="977"/>
    <n v="1879"/>
    <n v="665"/>
  </r>
  <r>
    <n v="73"/>
    <x v="58"/>
    <n v="7389"/>
    <x v="1966"/>
    <n v="981"/>
    <n v="1024"/>
    <n v="2005"/>
    <n v="753"/>
  </r>
  <r>
    <n v="73"/>
    <x v="58"/>
    <n v="7390"/>
    <x v="115"/>
    <n v="976"/>
    <n v="1010"/>
    <n v="1986"/>
    <n v="738"/>
  </r>
  <r>
    <n v="73"/>
    <x v="58"/>
    <n v="7391"/>
    <x v="1967"/>
    <n v="4169"/>
    <n v="4205"/>
    <n v="8374"/>
    <n v="4440"/>
  </r>
  <r>
    <n v="73"/>
    <x v="58"/>
    <n v="7392"/>
    <x v="1781"/>
    <n v="6636"/>
    <n v="7291"/>
    <n v="13927"/>
    <n v="5216"/>
  </r>
  <r>
    <n v="73"/>
    <x v="58"/>
    <n v="7393"/>
    <x v="1968"/>
    <n v="1015"/>
    <n v="1132"/>
    <n v="2147"/>
    <n v="943"/>
  </r>
  <r>
    <n v="73"/>
    <x v="58"/>
    <n v="7394"/>
    <x v="1969"/>
    <n v="3573"/>
    <n v="4304"/>
    <n v="7877"/>
    <n v="5210"/>
  </r>
  <r>
    <n v="73"/>
    <x v="58"/>
    <n v="7395"/>
    <x v="1970"/>
    <n v="3151"/>
    <n v="3597"/>
    <n v="6748"/>
    <n v="4369"/>
  </r>
  <r>
    <n v="73"/>
    <x v="58"/>
    <n v="7396"/>
    <x v="1971"/>
    <n v="5124"/>
    <n v="5668"/>
    <n v="10792"/>
    <n v="4471"/>
  </r>
  <r>
    <n v="73"/>
    <x v="58"/>
    <n v="7397"/>
    <x v="1972"/>
    <n v="3218"/>
    <n v="3586"/>
    <n v="6804"/>
    <n v="3082"/>
  </r>
  <r>
    <n v="73"/>
    <x v="58"/>
    <n v="7398"/>
    <x v="1973"/>
    <n v="3010"/>
    <n v="3273"/>
    <n v="6283"/>
    <n v="2278"/>
  </r>
  <r>
    <n v="73"/>
    <x v="58"/>
    <n v="7399"/>
    <x v="1974"/>
    <n v="30916"/>
    <n v="34898"/>
    <n v="65814"/>
    <n v="38169"/>
  </r>
  <r>
    <n v="74"/>
    <x v="59"/>
    <n v="7401"/>
    <x v="1975"/>
    <n v="103022"/>
    <n v="113467"/>
    <n v="216489"/>
    <n v="126839"/>
  </r>
  <r>
    <n v="74"/>
    <x v="59"/>
    <n v="7402"/>
    <x v="1976"/>
    <n v="32519"/>
    <n v="35259"/>
    <n v="67778"/>
    <n v="40695"/>
  </r>
  <r>
    <n v="74"/>
    <x v="59"/>
    <n v="7403"/>
    <x v="1977"/>
    <n v="24371"/>
    <n v="26606"/>
    <n v="50977"/>
    <n v="17232"/>
  </r>
  <r>
    <n v="74"/>
    <x v="59"/>
    <n v="7491"/>
    <x v="1978"/>
    <n v="19300"/>
    <n v="19707"/>
    <n v="39007"/>
    <n v="24172"/>
  </r>
  <r>
    <n v="74"/>
    <x v="59"/>
    <n v="7492"/>
    <x v="477"/>
    <n v="13395"/>
    <n v="14943"/>
    <n v="28338"/>
    <n v="17422"/>
  </r>
  <r>
    <n v="74"/>
    <x v="59"/>
    <n v="7493"/>
    <x v="1979"/>
    <n v="20494"/>
    <n v="21802"/>
    <n v="42296"/>
    <n v="11441"/>
  </r>
  <r>
    <n v="74"/>
    <x v="59"/>
    <n v="7494"/>
    <x v="1980"/>
    <n v="1351"/>
    <n v="1421"/>
    <n v="2772"/>
    <n v="1062"/>
  </r>
  <r>
    <n v="74"/>
    <x v="59"/>
    <n v="7495"/>
    <x v="1981"/>
    <n v="2533"/>
    <n v="2688"/>
    <n v="5221"/>
    <n v="1677"/>
  </r>
  <r>
    <n v="74"/>
    <x v="59"/>
    <n v="7496"/>
    <x v="1982"/>
    <n v="3660"/>
    <n v="3990"/>
    <n v="7650"/>
    <n v="4956"/>
  </r>
  <r>
    <n v="74"/>
    <x v="59"/>
    <n v="7497"/>
    <x v="1983"/>
    <n v="25497"/>
    <n v="28417"/>
    <n v="53914"/>
    <n v="51913"/>
  </r>
  <r>
    <n v="74"/>
    <x v="59"/>
    <n v="7498"/>
    <x v="1984"/>
    <n v="11274"/>
    <n v="11930"/>
    <n v="23204"/>
    <n v="6688"/>
  </r>
  <r>
    <n v="74"/>
    <x v="59"/>
    <n v="7499"/>
    <x v="1985"/>
    <n v="26044"/>
    <n v="27177"/>
    <n v="53221"/>
    <n v="19235"/>
  </r>
  <r>
    <n v="75"/>
    <x v="60"/>
    <n v="7501"/>
    <x v="1986"/>
    <n v="37394"/>
    <n v="40985"/>
    <n v="78379"/>
    <n v="34397"/>
  </r>
  <r>
    <n v="75"/>
    <x v="60"/>
    <n v="7502"/>
    <x v="1987"/>
    <n v="12533"/>
    <n v="13833"/>
    <n v="26366"/>
    <n v="10382"/>
  </r>
  <r>
    <n v="75"/>
    <x v="60"/>
    <n v="7503"/>
    <x v="1988"/>
    <n v="22591"/>
    <n v="24417"/>
    <n v="47008"/>
    <n v="16641"/>
  </r>
  <r>
    <n v="75"/>
    <x v="60"/>
    <n v="7595"/>
    <x v="1989"/>
    <n v="888"/>
    <n v="958"/>
    <n v="1846"/>
    <n v="810"/>
  </r>
  <r>
    <n v="75"/>
    <x v="60"/>
    <n v="7596"/>
    <x v="1990"/>
    <n v="780"/>
    <n v="915"/>
    <n v="1695"/>
    <n v="865"/>
  </r>
  <r>
    <n v="75"/>
    <x v="60"/>
    <n v="7597"/>
    <x v="1991"/>
    <n v="973"/>
    <n v="1128"/>
    <n v="2101"/>
    <n v="882"/>
  </r>
  <r>
    <n v="75"/>
    <x v="60"/>
    <n v="7598"/>
    <x v="1992"/>
    <n v="2071"/>
    <n v="2288"/>
    <n v="4359"/>
    <n v="2028"/>
  </r>
  <r>
    <n v="75"/>
    <x v="60"/>
    <n v="7599"/>
    <x v="1993"/>
    <n v="11810"/>
    <n v="13220"/>
    <n v="25030"/>
    <n v="11388"/>
  </r>
  <r>
    <n v="76"/>
    <x v="61"/>
    <n v="7601"/>
    <x v="1994"/>
    <n v="42451"/>
    <n v="48646"/>
    <n v="91097"/>
    <n v="37991"/>
  </r>
  <r>
    <n v="76"/>
    <x v="61"/>
    <n v="7602"/>
    <x v="1995"/>
    <n v="11493"/>
    <n v="12141"/>
    <n v="23634"/>
    <n v="11748"/>
  </r>
  <r>
    <n v="76"/>
    <x v="61"/>
    <n v="7603"/>
    <x v="1996"/>
    <n v="8238"/>
    <n v="8265"/>
    <n v="16503"/>
    <n v="7327"/>
  </r>
  <r>
    <n v="76"/>
    <x v="61"/>
    <n v="7604"/>
    <x v="1997"/>
    <n v="11199"/>
    <n v="11323"/>
    <n v="22522"/>
    <n v="9709"/>
  </r>
  <r>
    <n v="76"/>
    <x v="61"/>
    <n v="7605"/>
    <x v="1998"/>
    <n v="23768"/>
    <n v="25094"/>
    <n v="48862"/>
    <n v="20888"/>
  </r>
  <r>
    <n v="76"/>
    <x v="61"/>
    <n v="7606"/>
    <x v="1999"/>
    <n v="22932"/>
    <n v="25160"/>
    <n v="48092"/>
    <n v="16808"/>
  </r>
  <r>
    <n v="76"/>
    <x v="61"/>
    <n v="7607"/>
    <x v="2000"/>
    <n v="17654"/>
    <n v="18305"/>
    <n v="35959"/>
    <n v="12322"/>
  </r>
  <r>
    <n v="76"/>
    <x v="61"/>
    <n v="7608"/>
    <x v="2001"/>
    <n v="17592"/>
    <n v="16638"/>
    <n v="34230"/>
    <n v="16353"/>
  </r>
  <r>
    <n v="76"/>
    <x v="61"/>
    <n v="7688"/>
    <x v="2002"/>
    <n v="3069"/>
    <n v="3256"/>
    <n v="6325"/>
    <n v="2276"/>
  </r>
  <r>
    <n v="76"/>
    <x v="61"/>
    <n v="7689"/>
    <x v="1938"/>
    <n v="5371"/>
    <n v="5747"/>
    <n v="11118"/>
    <n v="4341"/>
  </r>
  <r>
    <n v="76"/>
    <x v="61"/>
    <n v="7690"/>
    <x v="2003"/>
    <n v="2370"/>
    <n v="2509"/>
    <n v="4879"/>
    <n v="1919"/>
  </r>
  <r>
    <n v="76"/>
    <x v="61"/>
    <n v="7691"/>
    <x v="2004"/>
    <n v="1689"/>
    <n v="2006"/>
    <n v="3695"/>
    <n v="1784"/>
  </r>
  <r>
    <n v="76"/>
    <x v="61"/>
    <n v="7692"/>
    <x v="2005"/>
    <n v="1272"/>
    <n v="1408"/>
    <n v="2680"/>
    <n v="1070"/>
  </r>
  <r>
    <n v="76"/>
    <x v="61"/>
    <n v="7693"/>
    <x v="2006"/>
    <n v="13035"/>
    <n v="14519"/>
    <n v="27554"/>
    <n v="12080"/>
  </r>
  <r>
    <n v="76"/>
    <x v="61"/>
    <n v="7694"/>
    <x v="2007"/>
    <n v="9185"/>
    <n v="9924"/>
    <n v="19109"/>
    <n v="7778"/>
  </r>
  <r>
    <n v="76"/>
    <x v="61"/>
    <n v="7695"/>
    <x v="2008"/>
    <n v="7125"/>
    <n v="7805"/>
    <n v="14930"/>
    <n v="8918"/>
  </r>
  <r>
    <n v="76"/>
    <x v="61"/>
    <n v="7696"/>
    <x v="2009"/>
    <n v="2363"/>
    <n v="2571"/>
    <n v="4934"/>
    <n v="2704"/>
  </r>
  <r>
    <n v="76"/>
    <x v="61"/>
    <n v="7697"/>
    <x v="2010"/>
    <n v="2754"/>
    <n v="3087"/>
    <n v="5841"/>
    <n v="2095"/>
  </r>
  <r>
    <n v="76"/>
    <x v="61"/>
    <n v="7698"/>
    <x v="2011"/>
    <n v="20271"/>
    <n v="22448"/>
    <n v="42719"/>
    <n v="48985"/>
  </r>
  <r>
    <n v="76"/>
    <x v="61"/>
    <n v="7699"/>
    <x v="2012"/>
    <n v="9099"/>
    <n v="10363"/>
    <n v="19462"/>
    <n v="10416"/>
  </r>
  <r>
    <n v="77"/>
    <x v="62"/>
    <n v="7701"/>
    <x v="2013"/>
    <n v="32319"/>
    <n v="32593"/>
    <n v="64912"/>
    <n v="28197"/>
  </r>
  <r>
    <n v="77"/>
    <x v="62"/>
    <n v="7702"/>
    <x v="2014"/>
    <n v="17085"/>
    <n v="17635"/>
    <n v="34720"/>
    <n v="11953"/>
  </r>
  <r>
    <n v="77"/>
    <x v="62"/>
    <n v="7703"/>
    <x v="2015"/>
    <n v="21048"/>
    <n v="21550"/>
    <n v="42598"/>
    <n v="15857"/>
  </r>
  <r>
    <n v="77"/>
    <x v="62"/>
    <n v="7704"/>
    <x v="2016"/>
    <n v="30552"/>
    <n v="31086"/>
    <n v="61638"/>
    <n v="28124"/>
  </r>
  <r>
    <n v="77"/>
    <x v="62"/>
    <n v="7705"/>
    <x v="2017"/>
    <n v="18256"/>
    <n v="18425"/>
    <n v="36681"/>
    <n v="16976"/>
  </r>
  <r>
    <n v="77"/>
    <x v="62"/>
    <n v="7706"/>
    <x v="2018"/>
    <n v="21188"/>
    <n v="22661"/>
    <n v="43849"/>
    <n v="23077"/>
  </r>
  <r>
    <n v="77"/>
    <x v="62"/>
    <n v="7707"/>
    <x v="2019"/>
    <n v="28557"/>
    <n v="31186"/>
    <n v="59743"/>
    <n v="33943"/>
  </r>
  <r>
    <n v="77"/>
    <x v="62"/>
    <n v="7708"/>
    <x v="2020"/>
    <n v="15698"/>
    <n v="16048"/>
    <n v="31746"/>
    <n v="13284"/>
  </r>
  <r>
    <n v="77"/>
    <x v="62"/>
    <n v="7784"/>
    <x v="2021"/>
    <n v="6744"/>
    <n v="3073"/>
    <n v="9817"/>
    <n v="6147"/>
  </r>
  <r>
    <n v="77"/>
    <x v="62"/>
    <n v="7785"/>
    <x v="2022"/>
    <n v="5193"/>
    <n v="5347"/>
    <n v="10540"/>
    <n v="4397"/>
  </r>
  <r>
    <n v="77"/>
    <x v="62"/>
    <n v="7786"/>
    <x v="2023"/>
    <n v="2395"/>
    <n v="2605"/>
    <n v="5000"/>
    <n v="2993"/>
  </r>
  <r>
    <n v="77"/>
    <x v="62"/>
    <n v="7787"/>
    <x v="2024"/>
    <n v="3796"/>
    <n v="3809"/>
    <n v="7605"/>
    <n v="3580"/>
  </r>
  <r>
    <n v="77"/>
    <x v="62"/>
    <n v="7788"/>
    <x v="2025"/>
    <n v="7882"/>
    <n v="8619"/>
    <n v="16501"/>
    <n v="9896"/>
  </r>
  <r>
    <n v="77"/>
    <x v="62"/>
    <n v="7789"/>
    <x v="2026"/>
    <n v="1459"/>
    <n v="1492"/>
    <n v="2951"/>
    <n v="1647"/>
  </r>
  <r>
    <n v="77"/>
    <x v="62"/>
    <n v="7790"/>
    <x v="2027"/>
    <n v="3798"/>
    <n v="3929"/>
    <n v="7727"/>
    <n v="3635"/>
  </r>
  <r>
    <n v="77"/>
    <x v="62"/>
    <n v="7791"/>
    <x v="2028"/>
    <n v="1960"/>
    <n v="2153"/>
    <n v="4113"/>
    <n v="2463"/>
  </r>
  <r>
    <n v="77"/>
    <x v="62"/>
    <n v="7792"/>
    <x v="2029"/>
    <n v="1233"/>
    <n v="1272"/>
    <n v="2505"/>
    <n v="1678"/>
  </r>
  <r>
    <n v="77"/>
    <x v="62"/>
    <n v="7793"/>
    <x v="2030"/>
    <n v="2903"/>
    <n v="3327"/>
    <n v="6230"/>
    <n v="3639"/>
  </r>
  <r>
    <n v="77"/>
    <x v="62"/>
    <n v="7794"/>
    <x v="2031"/>
    <n v="3634"/>
    <n v="3941"/>
    <n v="7575"/>
    <n v="3032"/>
  </r>
  <r>
    <n v="77"/>
    <x v="62"/>
    <n v="7795"/>
    <x v="2032"/>
    <n v="4071"/>
    <n v="4408"/>
    <n v="8479"/>
    <n v="4434"/>
  </r>
  <r>
    <n v="77"/>
    <x v="62"/>
    <n v="7796"/>
    <x v="2033"/>
    <n v="2031"/>
    <n v="2180"/>
    <n v="4211"/>
    <n v="1918"/>
  </r>
  <r>
    <n v="77"/>
    <x v="62"/>
    <n v="7797"/>
    <x v="2034"/>
    <n v="1756"/>
    <n v="1854"/>
    <n v="3610"/>
    <n v="1469"/>
  </r>
  <r>
    <n v="77"/>
    <x v="62"/>
    <n v="7798"/>
    <x v="2035"/>
    <n v="28609"/>
    <n v="32878"/>
    <n v="61487"/>
    <n v="59601"/>
  </r>
  <r>
    <n v="77"/>
    <x v="62"/>
    <n v="7799"/>
    <x v="2036"/>
    <n v="8048"/>
    <n v="9483"/>
    <n v="17531"/>
    <n v="11390"/>
  </r>
  <r>
    <n v="80"/>
    <x v="63"/>
    <n v="8001"/>
    <x v="2037"/>
    <n v="79562"/>
    <n v="82345"/>
    <n v="161907"/>
    <n v="67890"/>
  </r>
  <r>
    <n v="80"/>
    <x v="63"/>
    <n v="8002"/>
    <x v="2038"/>
    <n v="13425"/>
    <n v="13886"/>
    <n v="27311"/>
    <n v="9589"/>
  </r>
  <r>
    <n v="80"/>
    <x v="63"/>
    <n v="8003"/>
    <x v="2039"/>
    <n v="19006"/>
    <n v="19954"/>
    <n v="38960"/>
    <n v="15293"/>
  </r>
  <r>
    <n v="80"/>
    <x v="63"/>
    <n v="8004"/>
    <x v="2040"/>
    <n v="25571"/>
    <n v="26665"/>
    <n v="52236"/>
    <n v="19753"/>
  </r>
  <r>
    <n v="80"/>
    <x v="63"/>
    <n v="8005"/>
    <x v="2041"/>
    <n v="8743"/>
    <n v="9103"/>
    <n v="17846"/>
    <n v="7525"/>
  </r>
  <r>
    <n v="80"/>
    <x v="63"/>
    <n v="8006"/>
    <x v="2042"/>
    <n v="20028"/>
    <n v="19917"/>
    <n v="39945"/>
    <n v="15269"/>
  </r>
  <r>
    <n v="80"/>
    <x v="63"/>
    <n v="8007"/>
    <x v="2043"/>
    <n v="40246"/>
    <n v="40897"/>
    <n v="81143"/>
    <n v="31051"/>
  </r>
  <r>
    <n v="80"/>
    <x v="63"/>
    <n v="8008"/>
    <x v="2044"/>
    <n v="55911"/>
    <n v="57587"/>
    <n v="113498"/>
    <n v="38972"/>
  </r>
  <r>
    <n v="80"/>
    <x v="63"/>
    <n v="8009"/>
    <x v="2045"/>
    <n v="58596"/>
    <n v="57458"/>
    <n v="116054"/>
    <n v="50742"/>
  </r>
  <r>
    <n v="80"/>
    <x v="63"/>
    <n v="8010"/>
    <x v="2046"/>
    <n v="11863"/>
    <n v="12084"/>
    <n v="23947"/>
    <n v="8901"/>
  </r>
  <r>
    <n v="80"/>
    <x v="63"/>
    <n v="8011"/>
    <x v="2047"/>
    <n v="34488"/>
    <n v="34694"/>
    <n v="69182"/>
    <n v="25093"/>
  </r>
  <r>
    <n v="80"/>
    <x v="63"/>
    <n v="8012"/>
    <x v="2048"/>
    <n v="38592"/>
    <n v="38076"/>
    <n v="76668"/>
    <n v="27499"/>
  </r>
  <r>
    <n v="80"/>
    <x v="63"/>
    <n v="8013"/>
    <x v="2049"/>
    <n v="30501"/>
    <n v="30702"/>
    <n v="61203"/>
    <n v="21226"/>
  </r>
  <r>
    <n v="80"/>
    <x v="63"/>
    <n v="8014"/>
    <x v="2050"/>
    <n v="40428"/>
    <n v="41182"/>
    <n v="81610"/>
    <n v="30774"/>
  </r>
  <r>
    <n v="80"/>
    <x v="63"/>
    <n v="8015"/>
    <x v="2051"/>
    <n v="10160"/>
    <n v="10556"/>
    <n v="20716"/>
    <n v="10275"/>
  </r>
  <r>
    <n v="80"/>
    <x v="63"/>
    <n v="8016"/>
    <x v="2052"/>
    <n v="21524"/>
    <n v="21753"/>
    <n v="43277"/>
    <n v="18583"/>
  </r>
  <r>
    <n v="80"/>
    <x v="63"/>
    <n v="8017"/>
    <x v="2053"/>
    <n v="23939"/>
    <n v="23284"/>
    <n v="47223"/>
    <n v="17409"/>
  </r>
  <r>
    <n v="80"/>
    <x v="63"/>
    <n v="8018"/>
    <x v="2054"/>
    <n v="9540"/>
    <n v="9505"/>
    <n v="19045"/>
    <n v="7663"/>
  </r>
  <r>
    <n v="80"/>
    <x v="63"/>
    <n v="8019"/>
    <x v="2055"/>
    <n v="15434"/>
    <n v="15870"/>
    <n v="31304"/>
    <n v="11289"/>
  </r>
  <r>
    <n v="80"/>
    <x v="63"/>
    <n v="8020"/>
    <x v="2056"/>
    <n v="21995"/>
    <n v="22672"/>
    <n v="44667"/>
    <n v="17455"/>
  </r>
  <r>
    <n v="80"/>
    <x v="63"/>
    <n v="8021"/>
    <x v="2057"/>
    <n v="17066"/>
    <n v="16910"/>
    <n v="33976"/>
    <n v="12795"/>
  </r>
  <r>
    <n v="80"/>
    <x v="63"/>
    <n v="8022"/>
    <x v="2058"/>
    <n v="13638"/>
    <n v="14176"/>
    <n v="27814"/>
    <n v="11314"/>
  </r>
  <r>
    <n v="80"/>
    <x v="63"/>
    <n v="8023"/>
    <x v="267"/>
    <n v="10880"/>
    <n v="11000"/>
    <n v="21880"/>
    <n v="8275"/>
  </r>
  <r>
    <n v="80"/>
    <x v="63"/>
    <n v="8070"/>
    <x v="2059"/>
    <n v="4027"/>
    <n v="3971"/>
    <n v="7998"/>
    <n v="3014"/>
  </r>
  <r>
    <n v="80"/>
    <x v="63"/>
    <n v="8071"/>
    <x v="1944"/>
    <n v="4042"/>
    <n v="4070"/>
    <n v="8112"/>
    <n v="3433"/>
  </r>
  <r>
    <n v="80"/>
    <x v="63"/>
    <n v="8072"/>
    <x v="2060"/>
    <n v="3399"/>
    <n v="3349"/>
    <n v="6748"/>
    <n v="2257"/>
  </r>
  <r>
    <n v="80"/>
    <x v="63"/>
    <n v="8073"/>
    <x v="2061"/>
    <n v="4527"/>
    <n v="4281"/>
    <n v="8808"/>
    <n v="3001"/>
  </r>
  <r>
    <n v="80"/>
    <x v="63"/>
    <n v="8074"/>
    <x v="2062"/>
    <n v="7270"/>
    <n v="7337"/>
    <n v="14607"/>
    <n v="6818"/>
  </r>
  <r>
    <n v="80"/>
    <x v="63"/>
    <n v="8075"/>
    <x v="2063"/>
    <n v="2853"/>
    <n v="2867"/>
    <n v="5720"/>
    <n v="3428"/>
  </r>
  <r>
    <n v="80"/>
    <x v="63"/>
    <n v="8076"/>
    <x v="2064"/>
    <n v="1883"/>
    <n v="2081"/>
    <n v="3964"/>
    <n v="1928"/>
  </r>
  <r>
    <n v="80"/>
    <x v="63"/>
    <n v="8077"/>
    <x v="2065"/>
    <n v="2163"/>
    <n v="2204"/>
    <n v="4367"/>
    <n v="2540"/>
  </r>
  <r>
    <n v="80"/>
    <x v="63"/>
    <n v="8078"/>
    <x v="2066"/>
    <n v="3261"/>
    <n v="3538"/>
    <n v="6799"/>
    <n v="4205"/>
  </r>
  <r>
    <n v="80"/>
    <x v="63"/>
    <n v="8079"/>
    <x v="2067"/>
    <n v="4252"/>
    <n v="4215"/>
    <n v="8467"/>
    <n v="2924"/>
  </r>
  <r>
    <n v="80"/>
    <x v="63"/>
    <n v="8080"/>
    <x v="2068"/>
    <n v="3599"/>
    <n v="3938"/>
    <n v="7537"/>
    <n v="3468"/>
  </r>
  <r>
    <n v="80"/>
    <x v="63"/>
    <n v="8081"/>
    <x v="2069"/>
    <n v="2085"/>
    <n v="2218"/>
    <n v="4303"/>
    <n v="1399"/>
  </r>
  <r>
    <n v="80"/>
    <x v="63"/>
    <n v="8082"/>
    <x v="2006"/>
    <n v="2418"/>
    <n v="2600"/>
    <n v="5018"/>
    <n v="3140"/>
  </r>
  <r>
    <n v="80"/>
    <x v="63"/>
    <n v="8083"/>
    <x v="2070"/>
    <n v="1023"/>
    <n v="1086"/>
    <n v="2109"/>
    <n v="1167"/>
  </r>
  <r>
    <n v="80"/>
    <x v="63"/>
    <n v="8084"/>
    <x v="202"/>
    <n v="1305"/>
    <n v="1466"/>
    <n v="2771"/>
    <n v="1838"/>
  </r>
  <r>
    <n v="80"/>
    <x v="63"/>
    <n v="8085"/>
    <x v="2071"/>
    <n v="1557"/>
    <n v="1829"/>
    <n v="3386"/>
    <n v="1687"/>
  </r>
  <r>
    <n v="80"/>
    <x v="63"/>
    <n v="8086"/>
    <x v="2072"/>
    <n v="782"/>
    <n v="831"/>
    <n v="1613"/>
    <n v="802"/>
  </r>
  <r>
    <n v="80"/>
    <x v="63"/>
    <n v="8087"/>
    <x v="2073"/>
    <n v="1300"/>
    <n v="1396"/>
    <n v="2696"/>
    <n v="1158"/>
  </r>
  <r>
    <n v="80"/>
    <x v="63"/>
    <n v="8088"/>
    <x v="2074"/>
    <n v="1126"/>
    <n v="1171"/>
    <n v="2297"/>
    <n v="1273"/>
  </r>
  <r>
    <n v="80"/>
    <x v="63"/>
    <n v="8089"/>
    <x v="2075"/>
    <n v="1183"/>
    <n v="1216"/>
    <n v="2399"/>
    <n v="1313"/>
  </r>
  <r>
    <n v="80"/>
    <x v="63"/>
    <n v="8090"/>
    <x v="2076"/>
    <n v="3442"/>
    <n v="3832"/>
    <n v="7274"/>
    <n v="4043"/>
  </r>
  <r>
    <n v="80"/>
    <x v="63"/>
    <n v="8091"/>
    <x v="2077"/>
    <n v="866"/>
    <n v="956"/>
    <n v="1822"/>
    <n v="1051"/>
  </r>
  <r>
    <n v="80"/>
    <x v="63"/>
    <n v="8092"/>
    <x v="2078"/>
    <n v="3264"/>
    <n v="3404"/>
    <n v="6668"/>
    <n v="2856"/>
  </r>
  <r>
    <n v="80"/>
    <x v="63"/>
    <n v="8093"/>
    <x v="2079"/>
    <n v="1699"/>
    <n v="1729"/>
    <n v="3428"/>
    <n v="1172"/>
  </r>
  <r>
    <n v="80"/>
    <x v="63"/>
    <n v="8094"/>
    <x v="2080"/>
    <n v="3112"/>
    <n v="3030"/>
    <n v="6142"/>
    <n v="2112"/>
  </r>
  <r>
    <n v="80"/>
    <x v="63"/>
    <n v="8095"/>
    <x v="2081"/>
    <n v="886"/>
    <n v="936"/>
    <n v="1822"/>
    <n v="702"/>
  </r>
  <r>
    <n v="80"/>
    <x v="63"/>
    <n v="8096"/>
    <x v="2082"/>
    <n v="1826"/>
    <n v="1868"/>
    <n v="3694"/>
    <n v="1291"/>
  </r>
  <r>
    <n v="80"/>
    <x v="63"/>
    <n v="8097"/>
    <x v="2083"/>
    <n v="13248"/>
    <n v="15629"/>
    <n v="28877"/>
    <n v="11809"/>
  </r>
  <r>
    <n v="80"/>
    <x v="63"/>
    <n v="8098"/>
    <x v="2084"/>
    <n v="9111"/>
    <n v="9353"/>
    <n v="18464"/>
    <n v="8254"/>
  </r>
  <r>
    <n v="80"/>
    <x v="63"/>
    <n v="8099"/>
    <x v="2085"/>
    <n v="44894"/>
    <n v="50437"/>
    <n v="95331"/>
    <n v="47550"/>
  </r>
  <r>
    <n v="81"/>
    <x v="64"/>
    <n v="8101"/>
    <x v="2086"/>
    <n v="37954"/>
    <n v="38721"/>
    <n v="76675"/>
    <n v="42038"/>
  </r>
  <r>
    <n v="81"/>
    <x v="64"/>
    <n v="8102"/>
    <x v="2087"/>
    <n v="25489"/>
    <n v="25287"/>
    <n v="50776"/>
    <n v="19101"/>
  </r>
  <r>
    <n v="81"/>
    <x v="64"/>
    <n v="8103"/>
    <x v="2088"/>
    <n v="17891"/>
    <n v="17429"/>
    <n v="35320"/>
    <n v="15683"/>
  </r>
  <r>
    <n v="81"/>
    <x v="64"/>
    <n v="8104"/>
    <x v="2089"/>
    <n v="36838"/>
    <n v="35594"/>
    <n v="72432"/>
    <n v="26167"/>
  </r>
  <r>
    <n v="81"/>
    <x v="64"/>
    <n v="8105"/>
    <x v="2090"/>
    <n v="23420"/>
    <n v="23642"/>
    <n v="47062"/>
    <n v="17520"/>
  </r>
  <r>
    <n v="81"/>
    <x v="64"/>
    <n v="8106"/>
    <x v="2091"/>
    <n v="16244"/>
    <n v="16208"/>
    <n v="32452"/>
    <n v="11615"/>
  </r>
  <r>
    <n v="81"/>
    <x v="64"/>
    <n v="8107"/>
    <x v="2092"/>
    <n v="10280"/>
    <n v="9995"/>
    <n v="20275"/>
    <n v="7616"/>
  </r>
  <r>
    <n v="81"/>
    <x v="64"/>
    <n v="8108"/>
    <x v="2093"/>
    <n v="30340"/>
    <n v="31034"/>
    <n v="61374"/>
    <n v="21765"/>
  </r>
  <r>
    <n v="81"/>
    <x v="64"/>
    <n v="8189"/>
    <x v="2094"/>
    <n v="9703"/>
    <n v="10085"/>
    <n v="19788"/>
    <n v="9878"/>
  </r>
  <r>
    <n v="81"/>
    <x v="64"/>
    <n v="8190"/>
    <x v="2095"/>
    <n v="2089"/>
    <n v="2267"/>
    <n v="4356"/>
    <n v="2505"/>
  </r>
  <r>
    <n v="81"/>
    <x v="64"/>
    <n v="8191"/>
    <x v="2096"/>
    <n v="2096"/>
    <n v="2270"/>
    <n v="4366"/>
    <n v="2482"/>
  </r>
  <r>
    <n v="81"/>
    <x v="64"/>
    <n v="8192"/>
    <x v="2097"/>
    <n v="3012"/>
    <n v="3034"/>
    <n v="6046"/>
    <n v="2719"/>
  </r>
  <r>
    <n v="81"/>
    <x v="64"/>
    <n v="8193"/>
    <x v="2098"/>
    <n v="2591"/>
    <n v="2811"/>
    <n v="5402"/>
    <n v="3090"/>
  </r>
  <r>
    <n v="81"/>
    <x v="64"/>
    <n v="8194"/>
    <x v="2099"/>
    <n v="2057"/>
    <n v="2044"/>
    <n v="4101"/>
    <n v="1306"/>
  </r>
  <r>
    <n v="81"/>
    <x v="64"/>
    <n v="8195"/>
    <x v="2100"/>
    <n v="1421"/>
    <n v="1475"/>
    <n v="2896"/>
    <n v="1371"/>
  </r>
  <r>
    <n v="81"/>
    <x v="64"/>
    <n v="8196"/>
    <x v="2101"/>
    <n v="1491"/>
    <n v="1683"/>
    <n v="3174"/>
    <n v="1836"/>
  </r>
  <r>
    <n v="81"/>
    <x v="64"/>
    <n v="8197"/>
    <x v="2102"/>
    <n v="563"/>
    <n v="589"/>
    <n v="1152"/>
    <n v="513"/>
  </r>
  <r>
    <n v="81"/>
    <x v="64"/>
    <n v="8198"/>
    <x v="2103"/>
    <n v="2613"/>
    <n v="2773"/>
    <n v="5386"/>
    <n v="2577"/>
  </r>
  <r>
    <n v="81"/>
    <x v="64"/>
    <n v="8199"/>
    <x v="2104"/>
    <n v="14221"/>
    <n v="16601"/>
    <n v="30822"/>
    <n v="18450"/>
  </r>
  <r>
    <n v="82"/>
    <x v="65"/>
    <n v="8201"/>
    <x v="2105"/>
    <n v="15197"/>
    <n v="15685"/>
    <n v="30882"/>
    <n v="12960"/>
  </r>
  <r>
    <n v="82"/>
    <x v="65"/>
    <n v="8202"/>
    <x v="2106"/>
    <n v="7423"/>
    <n v="7281"/>
    <n v="14704"/>
    <n v="6231"/>
  </r>
  <r>
    <n v="82"/>
    <x v="65"/>
    <n v="8203"/>
    <x v="2107"/>
    <n v="6682"/>
    <n v="6642"/>
    <n v="13324"/>
    <n v="6241"/>
  </r>
  <r>
    <n v="82"/>
    <x v="65"/>
    <n v="8204"/>
    <x v="2108"/>
    <n v="19706"/>
    <n v="19511"/>
    <n v="39217"/>
    <n v="16946"/>
  </r>
  <r>
    <n v="82"/>
    <x v="65"/>
    <n v="8205"/>
    <x v="2109"/>
    <n v="20836"/>
    <n v="21091"/>
    <n v="41927"/>
    <n v="25190"/>
  </r>
  <r>
    <n v="82"/>
    <x v="65"/>
    <n v="8206"/>
    <x v="2110"/>
    <n v="12642"/>
    <n v="12270"/>
    <n v="24912"/>
    <n v="10816"/>
  </r>
  <r>
    <n v="82"/>
    <x v="65"/>
    <n v="8207"/>
    <x v="2111"/>
    <n v="12459"/>
    <n v="12375"/>
    <n v="24834"/>
    <n v="8557"/>
  </r>
  <r>
    <n v="82"/>
    <x v="65"/>
    <n v="8208"/>
    <x v="2112"/>
    <n v="22787"/>
    <n v="22069"/>
    <n v="44856"/>
    <n v="21765"/>
  </r>
  <r>
    <n v="82"/>
    <x v="65"/>
    <n v="8291"/>
    <x v="2113"/>
    <n v="1474"/>
    <n v="1586"/>
    <n v="3060"/>
    <n v="1786"/>
  </r>
  <r>
    <n v="82"/>
    <x v="65"/>
    <n v="8292"/>
    <x v="2114"/>
    <n v="480"/>
    <n v="493"/>
    <n v="973"/>
    <n v="623"/>
  </r>
  <r>
    <n v="82"/>
    <x v="65"/>
    <n v="8293"/>
    <x v="2115"/>
    <n v="1689"/>
    <n v="1710"/>
    <n v="3399"/>
    <n v="2230"/>
  </r>
  <r>
    <n v="82"/>
    <x v="65"/>
    <n v="8294"/>
    <x v="2116"/>
    <n v="1826"/>
    <n v="2067"/>
    <n v="3893"/>
    <n v="1772"/>
  </r>
  <r>
    <n v="82"/>
    <x v="65"/>
    <n v="8295"/>
    <x v="2117"/>
    <n v="852"/>
    <n v="958"/>
    <n v="1810"/>
    <n v="791"/>
  </r>
  <r>
    <n v="82"/>
    <x v="65"/>
    <n v="8296"/>
    <x v="2118"/>
    <n v="488"/>
    <n v="549"/>
    <n v="1037"/>
    <n v="600"/>
  </r>
  <r>
    <n v="82"/>
    <x v="65"/>
    <n v="8298"/>
    <x v="2119"/>
    <n v="3616"/>
    <n v="4010"/>
    <n v="7626"/>
    <n v="2841"/>
  </r>
  <r>
    <n v="82"/>
    <x v="65"/>
    <n v="8299"/>
    <x v="2120"/>
    <n v="4753"/>
    <n v="5089"/>
    <n v="9842"/>
    <n v="6094"/>
  </r>
  <r>
    <n v="83"/>
    <x v="66"/>
    <n v="8301"/>
    <x v="2121"/>
    <n v="22166"/>
    <n v="25064"/>
    <n v="47230"/>
    <n v="32419"/>
  </r>
  <r>
    <n v="83"/>
    <x v="66"/>
    <n v="8302"/>
    <x v="2122"/>
    <n v="3404"/>
    <n v="3760"/>
    <n v="7164"/>
    <n v="7745"/>
  </r>
  <r>
    <n v="83"/>
    <x v="66"/>
    <n v="8303"/>
    <x v="2123"/>
    <n v="48607"/>
    <n v="51911"/>
    <n v="100518"/>
    <n v="79963"/>
  </r>
  <r>
    <n v="83"/>
    <x v="66"/>
    <n v="8391"/>
    <x v="2124"/>
    <n v="25810"/>
    <n v="29824"/>
    <n v="55634"/>
    <n v="36111"/>
  </r>
  <r>
    <n v="83"/>
    <x v="66"/>
    <n v="8392"/>
    <x v="2125"/>
    <n v="9104"/>
    <n v="10414"/>
    <n v="19518"/>
    <n v="21246"/>
  </r>
  <r>
    <n v="83"/>
    <x v="66"/>
    <n v="8393"/>
    <x v="2126"/>
    <n v="24093"/>
    <n v="27129"/>
    <n v="51222"/>
    <n v="32097"/>
  </r>
  <r>
    <n v="83"/>
    <x v="66"/>
    <n v="8394"/>
    <x v="2127"/>
    <n v="4808"/>
    <n v="5106"/>
    <n v="9914"/>
    <n v="5270"/>
  </r>
  <r>
    <n v="83"/>
    <x v="66"/>
    <n v="8395"/>
    <x v="2128"/>
    <n v="3092"/>
    <n v="3864"/>
    <n v="6956"/>
    <n v="3815"/>
  </r>
  <r>
    <n v="83"/>
    <x v="66"/>
    <n v="8396"/>
    <x v="2129"/>
    <n v="15048"/>
    <n v="17711"/>
    <n v="32759"/>
    <n v="22837"/>
  </r>
  <r>
    <n v="83"/>
    <x v="66"/>
    <n v="8397"/>
    <x v="2130"/>
    <n v="3603"/>
    <n v="4024"/>
    <n v="7627"/>
    <n v="9210"/>
  </r>
  <r>
    <n v="83"/>
    <x v="66"/>
    <n v="8398"/>
    <x v="2131"/>
    <n v="9469"/>
    <n v="10288"/>
    <n v="19757"/>
    <n v="16662"/>
  </r>
  <r>
    <n v="83"/>
    <x v="66"/>
    <n v="8399"/>
    <x v="2132"/>
    <n v="32784"/>
    <n v="38500"/>
    <n v="71284"/>
    <n v="27008"/>
  </r>
  <r>
    <n v="84"/>
    <x v="67"/>
    <n v="8401"/>
    <x v="2133"/>
    <n v="9133"/>
    <n v="10044"/>
    <n v="19177"/>
    <n v="8794"/>
  </r>
  <r>
    <n v="84"/>
    <x v="67"/>
    <n v="8402"/>
    <x v="2134"/>
    <n v="41142"/>
    <n v="41970"/>
    <n v="83112"/>
    <n v="36100"/>
  </r>
  <r>
    <n v="84"/>
    <x v="67"/>
    <n v="8403"/>
    <x v="2135"/>
    <n v="12458"/>
    <n v="12419"/>
    <n v="24877"/>
    <n v="11061"/>
  </r>
  <r>
    <n v="84"/>
    <x v="67"/>
    <n v="8405"/>
    <x v="2136"/>
    <n v="5937"/>
    <n v="5682"/>
    <n v="11619"/>
    <n v="14031"/>
  </r>
  <r>
    <n v="84"/>
    <x v="67"/>
    <n v="8406"/>
    <x v="2137"/>
    <n v="18939"/>
    <n v="19770"/>
    <n v="38709"/>
    <n v="17756"/>
  </r>
  <r>
    <n v="84"/>
    <x v="67"/>
    <n v="8407"/>
    <x v="2138"/>
    <n v="26010"/>
    <n v="25584"/>
    <n v="51594"/>
    <n v="23599"/>
  </r>
  <r>
    <n v="84"/>
    <x v="67"/>
    <n v="8408"/>
    <x v="2139"/>
    <n v="21053"/>
    <n v="21195"/>
    <n v="42248"/>
    <n v="17704"/>
  </r>
  <r>
    <n v="84"/>
    <x v="67"/>
    <n v="8409"/>
    <x v="2140"/>
    <n v="4613"/>
    <n v="4674"/>
    <n v="9287"/>
    <n v="4136"/>
  </r>
  <r>
    <n v="84"/>
    <x v="67"/>
    <n v="8410"/>
    <x v="2141"/>
    <n v="12499"/>
    <n v="12016"/>
    <n v="24515"/>
    <n v="9865"/>
  </r>
  <r>
    <n v="84"/>
    <x v="67"/>
    <n v="8411"/>
    <x v="2142"/>
    <n v="14912"/>
    <n v="14745"/>
    <n v="29657"/>
    <n v="13632"/>
  </r>
  <r>
    <n v="84"/>
    <x v="67"/>
    <n v="8412"/>
    <x v="2143"/>
    <n v="25135"/>
    <n v="25621"/>
    <n v="50756"/>
    <n v="19007"/>
  </r>
  <r>
    <n v="84"/>
    <x v="67"/>
    <n v="8413"/>
    <x v="2144"/>
    <n v="10286"/>
    <n v="10484"/>
    <n v="20770"/>
    <n v="8086"/>
  </r>
  <r>
    <n v="84"/>
    <x v="67"/>
    <n v="8414"/>
    <x v="2145"/>
    <n v="13791"/>
    <n v="13784"/>
    <n v="27575"/>
    <n v="11781"/>
  </r>
  <r>
    <n v="84"/>
    <x v="67"/>
    <n v="8415"/>
    <x v="2146"/>
    <n v="8560"/>
    <n v="8833"/>
    <n v="17393"/>
    <n v="7281"/>
  </r>
  <r>
    <n v="84"/>
    <x v="67"/>
    <n v="8416"/>
    <x v="2147"/>
    <n v="31583"/>
    <n v="31205"/>
    <n v="62788"/>
    <n v="25331"/>
  </r>
  <r>
    <n v="84"/>
    <x v="67"/>
    <n v="8417"/>
    <x v="2148"/>
    <n v="37668"/>
    <n v="37830"/>
    <n v="75498"/>
    <n v="38068"/>
  </r>
  <r>
    <n v="84"/>
    <x v="67"/>
    <n v="8418"/>
    <x v="2149"/>
    <n v="14313"/>
    <n v="14090"/>
    <n v="28403"/>
    <n v="12017"/>
  </r>
  <r>
    <n v="84"/>
    <x v="67"/>
    <n v="8419"/>
    <x v="2150"/>
    <n v="8232"/>
    <n v="7689"/>
    <n v="15921"/>
    <n v="7667"/>
  </r>
  <r>
    <n v="84"/>
    <x v="67"/>
    <n v="8471"/>
    <x v="2151"/>
    <n v="9771"/>
    <n v="9537"/>
    <n v="19308"/>
    <n v="8130"/>
  </r>
  <r>
    <n v="84"/>
    <x v="67"/>
    <n v="8472"/>
    <x v="2152"/>
    <n v="4941"/>
    <n v="4899"/>
    <n v="9840"/>
    <n v="3573"/>
  </r>
  <r>
    <n v="84"/>
    <x v="67"/>
    <n v="8473"/>
    <x v="1726"/>
    <n v="5406"/>
    <n v="5719"/>
    <n v="11125"/>
    <n v="4378"/>
  </r>
  <r>
    <n v="84"/>
    <x v="67"/>
    <n v="8474"/>
    <x v="2153"/>
    <n v="7429"/>
    <n v="9238"/>
    <n v="16667"/>
    <n v="12007"/>
  </r>
  <r>
    <n v="84"/>
    <x v="67"/>
    <n v="8475"/>
    <x v="2154"/>
    <n v="5593"/>
    <n v="5648"/>
    <n v="11241"/>
    <n v="4141"/>
  </r>
  <r>
    <n v="84"/>
    <x v="67"/>
    <n v="8476"/>
    <x v="2155"/>
    <n v="3392"/>
    <n v="3430"/>
    <n v="6822"/>
    <n v="3104"/>
  </r>
  <r>
    <n v="84"/>
    <x v="67"/>
    <n v="8477"/>
    <x v="2156"/>
    <n v="9950"/>
    <n v="11146"/>
    <n v="21096"/>
    <n v="13336"/>
  </r>
  <r>
    <n v="84"/>
    <x v="67"/>
    <n v="8478"/>
    <x v="2157"/>
    <n v="8727"/>
    <n v="9015"/>
    <n v="17742"/>
    <n v="7417"/>
  </r>
  <r>
    <n v="84"/>
    <x v="67"/>
    <n v="8479"/>
    <x v="2158"/>
    <n v="1111"/>
    <n v="1146"/>
    <n v="2257"/>
    <n v="1103"/>
  </r>
  <r>
    <n v="84"/>
    <x v="67"/>
    <n v="8480"/>
    <x v="2159"/>
    <n v="2077"/>
    <n v="2147"/>
    <n v="4224"/>
    <n v="2093"/>
  </r>
  <r>
    <n v="84"/>
    <x v="67"/>
    <n v="8481"/>
    <x v="2160"/>
    <n v="4430"/>
    <n v="4993"/>
    <n v="9423"/>
    <n v="5983"/>
  </r>
  <r>
    <n v="84"/>
    <x v="67"/>
    <n v="8482"/>
    <x v="2161"/>
    <n v="849"/>
    <n v="802"/>
    <n v="1651"/>
    <n v="762"/>
  </r>
  <r>
    <n v="84"/>
    <x v="67"/>
    <n v="8483"/>
    <x v="353"/>
    <n v="1550"/>
    <n v="1684"/>
    <n v="3234"/>
    <n v="1755"/>
  </r>
  <r>
    <n v="84"/>
    <x v="67"/>
    <n v="8484"/>
    <x v="2162"/>
    <n v="2235"/>
    <n v="2425"/>
    <n v="4660"/>
    <n v="2018"/>
  </r>
  <r>
    <n v="84"/>
    <x v="67"/>
    <n v="8485"/>
    <x v="2163"/>
    <n v="2451"/>
    <n v="2469"/>
    <n v="4920"/>
    <n v="2083"/>
  </r>
  <r>
    <n v="84"/>
    <x v="67"/>
    <n v="8486"/>
    <x v="2164"/>
    <n v="1164"/>
    <n v="1249"/>
    <n v="2413"/>
    <n v="1921"/>
  </r>
  <r>
    <n v="84"/>
    <x v="67"/>
    <n v="8487"/>
    <x v="2165"/>
    <n v="2282"/>
    <n v="2295"/>
    <n v="4577"/>
    <n v="2091"/>
  </r>
  <r>
    <n v="84"/>
    <x v="67"/>
    <n v="8488"/>
    <x v="2166"/>
    <n v="924"/>
    <n v="892"/>
    <n v="1816"/>
    <n v="1120"/>
  </r>
  <r>
    <n v="84"/>
    <x v="67"/>
    <n v="8489"/>
    <x v="2167"/>
    <n v="1357"/>
    <n v="1509"/>
    <n v="2866"/>
    <n v="1837"/>
  </r>
  <r>
    <n v="84"/>
    <x v="67"/>
    <n v="8490"/>
    <x v="2168"/>
    <n v="3827"/>
    <n v="3999"/>
    <n v="7826"/>
    <n v="2972"/>
  </r>
  <r>
    <n v="84"/>
    <x v="67"/>
    <n v="8491"/>
    <x v="2169"/>
    <n v="2347"/>
    <n v="2669"/>
    <n v="5016"/>
    <n v="3045"/>
  </r>
  <r>
    <n v="84"/>
    <x v="67"/>
    <n v="8492"/>
    <x v="2170"/>
    <n v="4059"/>
    <n v="4121"/>
    <n v="8180"/>
    <n v="6452"/>
  </r>
  <r>
    <n v="84"/>
    <x v="67"/>
    <n v="8493"/>
    <x v="2171"/>
    <n v="33390"/>
    <n v="36299"/>
    <n v="69689"/>
    <n v="61602"/>
  </r>
  <r>
    <n v="84"/>
    <x v="67"/>
    <n v="8494"/>
    <x v="2172"/>
    <n v="5919"/>
    <n v="6199"/>
    <n v="12118"/>
    <n v="6109"/>
  </r>
  <r>
    <n v="84"/>
    <x v="67"/>
    <n v="8495"/>
    <x v="2173"/>
    <n v="3575"/>
    <n v="3633"/>
    <n v="7208"/>
    <n v="3336"/>
  </r>
  <r>
    <n v="84"/>
    <x v="67"/>
    <n v="8496"/>
    <x v="2174"/>
    <n v="4452"/>
    <n v="4836"/>
    <n v="9288"/>
    <n v="4989"/>
  </r>
  <r>
    <n v="84"/>
    <x v="67"/>
    <n v="8497"/>
    <x v="2175"/>
    <n v="8526"/>
    <n v="9166"/>
    <n v="17692"/>
    <n v="9232"/>
  </r>
  <r>
    <n v="84"/>
    <x v="67"/>
    <n v="8498"/>
    <x v="2176"/>
    <n v="9254"/>
    <n v="9729"/>
    <n v="18983"/>
    <n v="8609"/>
  </r>
  <r>
    <n v="84"/>
    <x v="67"/>
    <n v="8499"/>
    <x v="2177"/>
    <n v="61825"/>
    <n v="69060"/>
    <n v="130885"/>
    <n v="79259"/>
  </r>
  <r>
    <n v="85"/>
    <x v="68"/>
    <n v="8501"/>
    <x v="2178"/>
    <n v="35589"/>
    <n v="35295"/>
    <n v="70884"/>
    <n v="40595"/>
  </r>
  <r>
    <n v="85"/>
    <x v="68"/>
    <n v="8502"/>
    <x v="2179"/>
    <n v="6413"/>
    <n v="6238"/>
    <n v="12651"/>
    <n v="5838"/>
  </r>
  <r>
    <n v="85"/>
    <x v="68"/>
    <n v="8503"/>
    <x v="2180"/>
    <n v="10441"/>
    <n v="10188"/>
    <n v="20629"/>
    <n v="8463"/>
  </r>
  <r>
    <n v="85"/>
    <x v="68"/>
    <n v="8504"/>
    <x v="2181"/>
    <n v="22683"/>
    <n v="21923"/>
    <n v="44606"/>
    <n v="23388"/>
  </r>
  <r>
    <n v="85"/>
    <x v="68"/>
    <n v="8505"/>
    <x v="2182"/>
    <n v="7389"/>
    <n v="7461"/>
    <n v="14850"/>
    <n v="4845"/>
  </r>
  <r>
    <n v="85"/>
    <x v="68"/>
    <n v="8594"/>
    <x v="2183"/>
    <n v="1697"/>
    <n v="1744"/>
    <n v="3441"/>
    <n v="2010"/>
  </r>
  <r>
    <n v="85"/>
    <x v="68"/>
    <n v="8595"/>
    <x v="2184"/>
    <n v="765"/>
    <n v="798"/>
    <n v="1563"/>
    <n v="687"/>
  </r>
  <r>
    <n v="85"/>
    <x v="68"/>
    <n v="8596"/>
    <x v="2185"/>
    <n v="1344"/>
    <n v="1287"/>
    <n v="2631"/>
    <n v="1244"/>
  </r>
  <r>
    <n v="85"/>
    <x v="68"/>
    <n v="8597"/>
    <x v="2186"/>
    <n v="1159"/>
    <n v="1259"/>
    <n v="2418"/>
    <n v="1131"/>
  </r>
  <r>
    <n v="85"/>
    <x v="68"/>
    <n v="8598"/>
    <x v="461"/>
    <n v="1220"/>
    <n v="1125"/>
    <n v="2345"/>
    <n v="1836"/>
  </r>
  <r>
    <n v="85"/>
    <x v="68"/>
    <n v="8599"/>
    <x v="2187"/>
    <n v="8244"/>
    <n v="8665"/>
    <n v="16909"/>
    <n v="8333"/>
  </r>
  <r>
    <n v="86"/>
    <x v="69"/>
    <n v="8601"/>
    <x v="2188"/>
    <n v="46282"/>
    <n v="47336"/>
    <n v="93618"/>
    <n v="47513"/>
  </r>
  <r>
    <n v="86"/>
    <x v="69"/>
    <n v="8602"/>
    <x v="2189"/>
    <n v="41279"/>
    <n v="41506"/>
    <n v="82785"/>
    <n v="37440"/>
  </r>
  <r>
    <n v="86"/>
    <x v="69"/>
    <n v="8603"/>
    <x v="2190"/>
    <n v="19659"/>
    <n v="20161"/>
    <n v="39820"/>
    <n v="19062"/>
  </r>
  <r>
    <n v="86"/>
    <x v="69"/>
    <n v="8604"/>
    <x v="2191"/>
    <n v="27594"/>
    <n v="28722"/>
    <n v="56316"/>
    <n v="26186"/>
  </r>
  <r>
    <n v="86"/>
    <x v="69"/>
    <n v="8605"/>
    <x v="2192"/>
    <n v="12994"/>
    <n v="12964"/>
    <n v="25958"/>
    <n v="12433"/>
  </r>
  <r>
    <n v="86"/>
    <x v="69"/>
    <n v="8606"/>
    <x v="2193"/>
    <n v="11829"/>
    <n v="11426"/>
    <n v="23255"/>
    <n v="11354"/>
  </r>
  <r>
    <n v="86"/>
    <x v="69"/>
    <n v="8607"/>
    <x v="2194"/>
    <n v="34696"/>
    <n v="35098"/>
    <n v="69794"/>
    <n v="33712"/>
  </r>
  <r>
    <n v="86"/>
    <x v="69"/>
    <n v="8608"/>
    <x v="2195"/>
    <n v="10881"/>
    <n v="10855"/>
    <n v="21736"/>
    <n v="10400"/>
  </r>
  <r>
    <n v="86"/>
    <x v="69"/>
    <n v="8685"/>
    <x v="2196"/>
    <n v="5037"/>
    <n v="5312"/>
    <n v="10349"/>
    <n v="4985"/>
  </r>
  <r>
    <n v="86"/>
    <x v="69"/>
    <n v="8686"/>
    <x v="2197"/>
    <n v="2027"/>
    <n v="1986"/>
    <n v="4013"/>
    <n v="1719"/>
  </r>
  <r>
    <n v="86"/>
    <x v="69"/>
    <n v="8687"/>
    <x v="645"/>
    <n v="1348"/>
    <n v="1535"/>
    <n v="2883"/>
    <n v="1726"/>
  </r>
  <r>
    <n v="86"/>
    <x v="69"/>
    <n v="8688"/>
    <x v="2198"/>
    <n v="760"/>
    <n v="753"/>
    <n v="1513"/>
    <n v="717"/>
  </r>
  <r>
    <n v="86"/>
    <x v="69"/>
    <n v="8689"/>
    <x v="2199"/>
    <n v="1582"/>
    <n v="1701"/>
    <n v="3283"/>
    <n v="2038"/>
  </r>
  <r>
    <n v="86"/>
    <x v="69"/>
    <n v="8690"/>
    <x v="2200"/>
    <n v="3105"/>
    <n v="3201"/>
    <n v="6306"/>
    <n v="3210"/>
  </r>
  <r>
    <n v="86"/>
    <x v="69"/>
    <n v="8691"/>
    <x v="2201"/>
    <n v="1030"/>
    <n v="1101"/>
    <n v="2131"/>
    <n v="1212"/>
  </r>
  <r>
    <n v="86"/>
    <x v="69"/>
    <n v="8692"/>
    <x v="2202"/>
    <n v="1740"/>
    <n v="1810"/>
    <n v="3550"/>
    <n v="2307"/>
  </r>
  <r>
    <n v="86"/>
    <x v="69"/>
    <n v="8693"/>
    <x v="2203"/>
    <n v="582"/>
    <n v="657"/>
    <n v="1239"/>
    <n v="908"/>
  </r>
  <r>
    <n v="86"/>
    <x v="69"/>
    <n v="8694"/>
    <x v="2204"/>
    <n v="920"/>
    <n v="959"/>
    <n v="1879"/>
    <n v="1346"/>
  </r>
  <r>
    <n v="86"/>
    <x v="69"/>
    <n v="8695"/>
    <x v="2205"/>
    <n v="938"/>
    <n v="1046"/>
    <n v="1984"/>
    <n v="1439"/>
  </r>
  <r>
    <n v="86"/>
    <x v="69"/>
    <n v="8696"/>
    <x v="2206"/>
    <n v="3184"/>
    <n v="3513"/>
    <n v="6697"/>
    <n v="4920"/>
  </r>
  <r>
    <n v="86"/>
    <x v="69"/>
    <n v="8697"/>
    <x v="2207"/>
    <n v="2894"/>
    <n v="3044"/>
    <n v="5938"/>
    <n v="3466"/>
  </r>
  <r>
    <n v="86"/>
    <x v="69"/>
    <n v="8698"/>
    <x v="2208"/>
    <n v="5050"/>
    <n v="5808"/>
    <n v="10858"/>
    <n v="7243"/>
  </r>
  <r>
    <n v="86"/>
    <x v="69"/>
    <n v="8699"/>
    <x v="2209"/>
    <n v="14856"/>
    <n v="17292"/>
    <n v="32148"/>
    <n v="20812"/>
  </r>
  <r>
    <n v="90"/>
    <x v="70"/>
    <n v="9001"/>
    <x v="2210"/>
    <n v="7272"/>
    <n v="7930"/>
    <n v="15202"/>
    <n v="5918"/>
  </r>
  <r>
    <n v="90"/>
    <x v="70"/>
    <n v="9002"/>
    <x v="2211"/>
    <n v="21446"/>
    <n v="22447"/>
    <n v="43893"/>
    <n v="14551"/>
  </r>
  <r>
    <n v="90"/>
    <x v="70"/>
    <n v="9003"/>
    <x v="2212"/>
    <n v="50876"/>
    <n v="51458"/>
    <n v="102334"/>
    <n v="29763"/>
  </r>
  <r>
    <n v="90"/>
    <x v="70"/>
    <n v="9004"/>
    <x v="2213"/>
    <n v="31791"/>
    <n v="31167"/>
    <n v="62958"/>
    <n v="20460"/>
  </r>
  <r>
    <n v="90"/>
    <x v="70"/>
    <n v="9005"/>
    <x v="2214"/>
    <n v="30974"/>
    <n v="29515"/>
    <n v="60489"/>
    <n v="17541"/>
  </r>
  <r>
    <n v="90"/>
    <x v="70"/>
    <n v="9006"/>
    <x v="2215"/>
    <n v="40468"/>
    <n v="39840"/>
    <n v="80308"/>
    <n v="20407"/>
  </r>
  <r>
    <n v="90"/>
    <x v="70"/>
    <n v="9007"/>
    <x v="2216"/>
    <n v="23485"/>
    <n v="23966"/>
    <n v="47451"/>
    <n v="20201"/>
  </r>
  <r>
    <n v="90"/>
    <x v="70"/>
    <n v="9008"/>
    <x v="2217"/>
    <n v="7156"/>
    <n v="7453"/>
    <n v="14609"/>
    <n v="5499"/>
  </r>
  <r>
    <n v="90"/>
    <x v="70"/>
    <n v="9009"/>
    <x v="2218"/>
    <n v="33783"/>
    <n v="34135"/>
    <n v="67918"/>
    <n v="23493"/>
  </r>
  <r>
    <n v="90"/>
    <x v="70"/>
    <n v="9010"/>
    <x v="2219"/>
    <n v="29594"/>
    <n v="29333"/>
    <n v="58927"/>
    <n v="22395"/>
  </r>
  <r>
    <n v="90"/>
    <x v="70"/>
    <n v="9011"/>
    <x v="2220"/>
    <n v="15637"/>
    <n v="17032"/>
    <n v="32669"/>
    <n v="15251"/>
  </r>
  <r>
    <n v="90"/>
    <x v="70"/>
    <n v="9012"/>
    <x v="2221"/>
    <n v="11101"/>
    <n v="11964"/>
    <n v="23065"/>
    <n v="9810"/>
  </r>
  <r>
    <n v="90"/>
    <x v="70"/>
    <n v="9013"/>
    <x v="2222"/>
    <n v="14787"/>
    <n v="15300"/>
    <n v="30087"/>
    <n v="10564"/>
  </r>
  <r>
    <n v="90"/>
    <x v="70"/>
    <n v="9014"/>
    <x v="2223"/>
    <n v="5161"/>
    <n v="5299"/>
    <n v="10460"/>
    <n v="3991"/>
  </r>
  <r>
    <n v="90"/>
    <x v="70"/>
    <n v="9015"/>
    <x v="2224"/>
    <n v="21415"/>
    <n v="22386"/>
    <n v="43801"/>
    <n v="15721"/>
  </r>
  <r>
    <n v="90"/>
    <x v="70"/>
    <n v="9016"/>
    <x v="2225"/>
    <n v="5898"/>
    <n v="5888"/>
    <n v="11786"/>
    <n v="5470"/>
  </r>
  <r>
    <n v="90"/>
    <x v="70"/>
    <n v="9066"/>
    <x v="2226"/>
    <n v="8439"/>
    <n v="8946"/>
    <n v="17385"/>
    <n v="6860"/>
  </r>
  <r>
    <n v="90"/>
    <x v="70"/>
    <n v="9067"/>
    <x v="2227"/>
    <n v="4107"/>
    <n v="3502"/>
    <n v="7609"/>
    <n v="2938"/>
  </r>
  <r>
    <n v="90"/>
    <x v="70"/>
    <n v="9068"/>
    <x v="2228"/>
    <n v="3737"/>
    <n v="4013"/>
    <n v="7750"/>
    <n v="2822"/>
  </r>
  <r>
    <n v="90"/>
    <x v="70"/>
    <n v="9069"/>
    <x v="2229"/>
    <n v="5644"/>
    <n v="5982"/>
    <n v="11626"/>
    <n v="4057"/>
  </r>
  <r>
    <n v="90"/>
    <x v="70"/>
    <n v="9070"/>
    <x v="2230"/>
    <n v="5904"/>
    <n v="6017"/>
    <n v="11921"/>
    <n v="3473"/>
  </r>
  <r>
    <n v="90"/>
    <x v="70"/>
    <n v="9071"/>
    <x v="489"/>
    <n v="11781"/>
    <n v="11869"/>
    <n v="23650"/>
    <n v="11027"/>
  </r>
  <r>
    <n v="90"/>
    <x v="70"/>
    <n v="9072"/>
    <x v="2231"/>
    <n v="7300"/>
    <n v="8200"/>
    <n v="15500"/>
    <n v="6875"/>
  </r>
  <r>
    <n v="90"/>
    <x v="70"/>
    <n v="9073"/>
    <x v="2232"/>
    <n v="7835"/>
    <n v="8057"/>
    <n v="15892"/>
    <n v="4841"/>
  </r>
  <r>
    <n v="90"/>
    <x v="70"/>
    <n v="9074"/>
    <x v="1645"/>
    <n v="4047"/>
    <n v="4312"/>
    <n v="8359"/>
    <n v="3689"/>
  </r>
  <r>
    <n v="90"/>
    <x v="70"/>
    <n v="9075"/>
    <x v="2233"/>
    <n v="17014"/>
    <n v="18749"/>
    <n v="35763"/>
    <n v="16945"/>
  </r>
  <r>
    <n v="90"/>
    <x v="70"/>
    <n v="9076"/>
    <x v="2234"/>
    <n v="20410"/>
    <n v="22757"/>
    <n v="43167"/>
    <n v="22492"/>
  </r>
  <r>
    <n v="90"/>
    <x v="70"/>
    <n v="9077"/>
    <x v="2235"/>
    <n v="6394"/>
    <n v="7429"/>
    <n v="13823"/>
    <n v="9493"/>
  </r>
  <r>
    <n v="90"/>
    <x v="70"/>
    <n v="9078"/>
    <x v="2236"/>
    <n v="20931"/>
    <n v="23852"/>
    <n v="44783"/>
    <n v="23597"/>
  </r>
  <r>
    <n v="90"/>
    <x v="70"/>
    <n v="9079"/>
    <x v="2237"/>
    <n v="24657"/>
    <n v="28190"/>
    <n v="52847"/>
    <n v="28678"/>
  </r>
  <r>
    <n v="90"/>
    <x v="70"/>
    <n v="9080"/>
    <x v="2238"/>
    <n v="21610"/>
    <n v="24487"/>
    <n v="46097"/>
    <n v="30251"/>
  </r>
  <r>
    <n v="90"/>
    <x v="70"/>
    <n v="9081"/>
    <x v="2239"/>
    <n v="19852"/>
    <n v="20281"/>
    <n v="40133"/>
    <n v="14173"/>
  </r>
  <r>
    <n v="90"/>
    <x v="70"/>
    <n v="9082"/>
    <x v="2240"/>
    <n v="1872"/>
    <n v="2132"/>
    <n v="4004"/>
    <n v="1831"/>
  </r>
  <r>
    <n v="90"/>
    <x v="70"/>
    <n v="9083"/>
    <x v="2241"/>
    <n v="3660"/>
    <n v="4094"/>
    <n v="7754"/>
    <n v="4992"/>
  </r>
  <r>
    <n v="90"/>
    <x v="70"/>
    <n v="9084"/>
    <x v="2242"/>
    <n v="3916"/>
    <n v="4154"/>
    <n v="8070"/>
    <n v="3252"/>
  </r>
  <r>
    <n v="90"/>
    <x v="70"/>
    <n v="9085"/>
    <x v="2243"/>
    <n v="7703"/>
    <n v="8163"/>
    <n v="15866"/>
    <n v="6450"/>
  </r>
  <r>
    <n v="90"/>
    <x v="70"/>
    <n v="9086"/>
    <x v="2244"/>
    <n v="3138"/>
    <n v="3322"/>
    <n v="6460"/>
    <n v="2170"/>
  </r>
  <r>
    <n v="90"/>
    <x v="70"/>
    <n v="9087"/>
    <x v="2245"/>
    <n v="1388"/>
    <n v="1551"/>
    <n v="2939"/>
    <n v="1190"/>
  </r>
  <r>
    <n v="90"/>
    <x v="70"/>
    <n v="9088"/>
    <x v="2246"/>
    <n v="2315"/>
    <n v="2554"/>
    <n v="4869"/>
    <n v="2704"/>
  </r>
  <r>
    <n v="90"/>
    <x v="70"/>
    <n v="9089"/>
    <x v="2247"/>
    <n v="2006"/>
    <n v="2208"/>
    <n v="4214"/>
    <n v="2029"/>
  </r>
  <r>
    <n v="90"/>
    <x v="70"/>
    <n v="9090"/>
    <x v="2248"/>
    <n v="5240"/>
    <n v="5480"/>
    <n v="10720"/>
    <n v="3648"/>
  </r>
  <r>
    <n v="90"/>
    <x v="70"/>
    <n v="9091"/>
    <x v="2249"/>
    <n v="640"/>
    <n v="688"/>
    <n v="1328"/>
    <n v="809"/>
  </r>
  <r>
    <n v="90"/>
    <x v="70"/>
    <n v="9092"/>
    <x v="2250"/>
    <n v="1370"/>
    <n v="1329"/>
    <n v="2699"/>
    <n v="1125"/>
  </r>
  <r>
    <n v="90"/>
    <x v="70"/>
    <n v="9093"/>
    <x v="2251"/>
    <n v="2939"/>
    <n v="2991"/>
    <n v="5930"/>
    <n v="3858"/>
  </r>
  <r>
    <n v="90"/>
    <x v="70"/>
    <n v="9094"/>
    <x v="2252"/>
    <n v="3291"/>
    <n v="3418"/>
    <n v="6709"/>
    <n v="3478"/>
  </r>
  <r>
    <n v="90"/>
    <x v="70"/>
    <n v="9095"/>
    <x v="2253"/>
    <n v="1353"/>
    <n v="1477"/>
    <n v="2830"/>
    <n v="1336"/>
  </r>
  <r>
    <n v="90"/>
    <x v="70"/>
    <n v="9096"/>
    <x v="2254"/>
    <n v="13456"/>
    <n v="14894"/>
    <n v="28350"/>
    <n v="13986"/>
  </r>
  <r>
    <n v="90"/>
    <x v="70"/>
    <n v="9097"/>
    <x v="2255"/>
    <n v="10347"/>
    <n v="10949"/>
    <n v="21296"/>
    <n v="9238"/>
  </r>
  <r>
    <n v="90"/>
    <x v="70"/>
    <n v="9098"/>
    <x v="2256"/>
    <n v="64864"/>
    <n v="75987"/>
    <n v="140851"/>
    <n v="70703"/>
  </r>
  <r>
    <n v="90"/>
    <x v="70"/>
    <n v="9099"/>
    <x v="2257"/>
    <n v="25798"/>
    <n v="28158"/>
    <n v="53956"/>
    <n v="27878"/>
  </r>
  <r>
    <n v="91"/>
    <x v="71"/>
    <n v="9101"/>
    <x v="2258"/>
    <n v="32816"/>
    <n v="33625"/>
    <n v="66441"/>
    <n v="19610"/>
  </r>
  <r>
    <n v="91"/>
    <x v="71"/>
    <n v="9102"/>
    <x v="2259"/>
    <n v="11067"/>
    <n v="11161"/>
    <n v="22228"/>
    <n v="6347"/>
  </r>
  <r>
    <n v="91"/>
    <x v="71"/>
    <n v="9103"/>
    <x v="2260"/>
    <n v="17766"/>
    <n v="17717"/>
    <n v="35483"/>
    <n v="12380"/>
  </r>
  <r>
    <n v="91"/>
    <x v="71"/>
    <n v="9104"/>
    <x v="2261"/>
    <n v="14873"/>
    <n v="15070"/>
    <n v="29943"/>
    <n v="9197"/>
  </r>
  <r>
    <n v="91"/>
    <x v="71"/>
    <n v="9105"/>
    <x v="2262"/>
    <n v="34386"/>
    <n v="34751"/>
    <n v="69137"/>
    <n v="22266"/>
  </r>
  <r>
    <n v="91"/>
    <x v="71"/>
    <n v="9106"/>
    <x v="2263"/>
    <n v="10770"/>
    <n v="10601"/>
    <n v="21371"/>
    <n v="7074"/>
  </r>
  <r>
    <n v="91"/>
    <x v="71"/>
    <n v="9107"/>
    <x v="2264"/>
    <n v="9531"/>
    <n v="9171"/>
    <n v="18702"/>
    <n v="6715"/>
  </r>
  <r>
    <n v="91"/>
    <x v="71"/>
    <n v="9193"/>
    <x v="2265"/>
    <n v="10529"/>
    <n v="9964"/>
    <n v="20493"/>
    <n v="9640"/>
  </r>
  <r>
    <n v="91"/>
    <x v="71"/>
    <n v="9194"/>
    <x v="2266"/>
    <n v="1603"/>
    <n v="1626"/>
    <n v="3229"/>
    <n v="1271"/>
  </r>
  <r>
    <n v="91"/>
    <x v="71"/>
    <n v="9195"/>
    <x v="723"/>
    <n v="2326"/>
    <n v="2570"/>
    <n v="4896"/>
    <n v="2953"/>
  </r>
  <r>
    <n v="91"/>
    <x v="71"/>
    <n v="9196"/>
    <x v="2267"/>
    <n v="2684"/>
    <n v="2783"/>
    <n v="5467"/>
    <n v="2028"/>
  </r>
  <r>
    <n v="91"/>
    <x v="71"/>
    <n v="9197"/>
    <x v="2268"/>
    <n v="1094"/>
    <n v="1221"/>
    <n v="2315"/>
    <n v="1046"/>
  </r>
  <r>
    <n v="91"/>
    <x v="71"/>
    <n v="9198"/>
    <x v="2269"/>
    <n v="2007"/>
    <n v="2030"/>
    <n v="4037"/>
    <n v="1041"/>
  </r>
  <r>
    <n v="91"/>
    <x v="71"/>
    <n v="9199"/>
    <x v="2270"/>
    <n v="10215"/>
    <n v="10922"/>
    <n v="21137"/>
    <n v="10207"/>
  </r>
  <r>
    <n v="92"/>
    <x v="72"/>
    <n v="9201"/>
    <x v="2271"/>
    <n v="46421"/>
    <n v="50340"/>
    <n v="96761"/>
    <n v="43309"/>
  </r>
  <r>
    <n v="92"/>
    <x v="72"/>
    <n v="9202"/>
    <x v="2272"/>
    <n v="37295"/>
    <n v="38060"/>
    <n v="75355"/>
    <n v="25257"/>
  </r>
  <r>
    <n v="92"/>
    <x v="72"/>
    <n v="9203"/>
    <x v="2273"/>
    <n v="27718"/>
    <n v="28645"/>
    <n v="56363"/>
    <n v="18750"/>
  </r>
  <r>
    <n v="92"/>
    <x v="72"/>
    <n v="9204"/>
    <x v="2274"/>
    <n v="30666"/>
    <n v="31394"/>
    <n v="62060"/>
    <n v="22375"/>
  </r>
  <r>
    <n v="92"/>
    <x v="72"/>
    <n v="9205"/>
    <x v="2275"/>
    <n v="17651"/>
    <n v="17239"/>
    <n v="34890"/>
    <n v="13112"/>
  </r>
  <r>
    <n v="92"/>
    <x v="72"/>
    <n v="9206"/>
    <x v="2276"/>
    <n v="38286"/>
    <n v="39412"/>
    <n v="77698"/>
    <n v="27826"/>
  </r>
  <r>
    <n v="92"/>
    <x v="72"/>
    <n v="9207"/>
    <x v="2277"/>
    <n v="20002"/>
    <n v="20267"/>
    <n v="40269"/>
    <n v="14381"/>
  </r>
  <r>
    <n v="92"/>
    <x v="72"/>
    <n v="9208"/>
    <x v="2278"/>
    <n v="19839"/>
    <n v="21050"/>
    <n v="40889"/>
    <n v="14157"/>
  </r>
  <r>
    <n v="92"/>
    <x v="72"/>
    <n v="9209"/>
    <x v="2279"/>
    <n v="13174"/>
    <n v="13518"/>
    <n v="26692"/>
    <n v="10197"/>
  </r>
  <r>
    <n v="92"/>
    <x v="72"/>
    <n v="9210"/>
    <x v="2280"/>
    <n v="8420"/>
    <n v="8331"/>
    <n v="16751"/>
    <n v="5144"/>
  </r>
  <r>
    <n v="92"/>
    <x v="72"/>
    <n v="9286"/>
    <x v="2281"/>
    <n v="1155"/>
    <n v="1272"/>
    <n v="2427"/>
    <n v="1379"/>
  </r>
  <r>
    <n v="92"/>
    <x v="72"/>
    <n v="9287"/>
    <x v="2282"/>
    <n v="1611"/>
    <n v="1806"/>
    <n v="3417"/>
    <n v="1618"/>
  </r>
  <r>
    <n v="92"/>
    <x v="72"/>
    <n v="9288"/>
    <x v="2283"/>
    <n v="1466"/>
    <n v="1488"/>
    <n v="2954"/>
    <n v="1411"/>
  </r>
  <r>
    <n v="92"/>
    <x v="72"/>
    <n v="9289"/>
    <x v="2284"/>
    <n v="1780"/>
    <n v="1457"/>
    <n v="3237"/>
    <n v="1476"/>
  </r>
  <r>
    <n v="92"/>
    <x v="72"/>
    <n v="9290"/>
    <x v="2285"/>
    <n v="1927"/>
    <n v="2049"/>
    <n v="3976"/>
    <n v="1888"/>
  </r>
  <r>
    <n v="92"/>
    <x v="72"/>
    <n v="9291"/>
    <x v="2286"/>
    <n v="619"/>
    <n v="683"/>
    <n v="1302"/>
    <n v="664"/>
  </r>
  <r>
    <n v="92"/>
    <x v="72"/>
    <n v="9292"/>
    <x v="2287"/>
    <n v="1013"/>
    <n v="1068"/>
    <n v="2081"/>
    <n v="790"/>
  </r>
  <r>
    <n v="92"/>
    <x v="72"/>
    <n v="9293"/>
    <x v="2288"/>
    <n v="1096"/>
    <n v="1238"/>
    <n v="2334"/>
    <n v="1117"/>
  </r>
  <r>
    <n v="92"/>
    <x v="72"/>
    <n v="9294"/>
    <x v="456"/>
    <n v="645"/>
    <n v="655"/>
    <n v="1300"/>
    <n v="670"/>
  </r>
  <r>
    <n v="92"/>
    <x v="72"/>
    <n v="9295"/>
    <x v="2289"/>
    <n v="3432"/>
    <n v="3987"/>
    <n v="7419"/>
    <n v="3874"/>
  </r>
  <r>
    <n v="92"/>
    <x v="72"/>
    <n v="9296"/>
    <x v="2290"/>
    <n v="1848"/>
    <n v="2009"/>
    <n v="3857"/>
    <n v="1819"/>
  </r>
  <r>
    <n v="92"/>
    <x v="72"/>
    <n v="9297"/>
    <x v="2291"/>
    <n v="3691"/>
    <n v="4103"/>
    <n v="7794"/>
    <n v="4232"/>
  </r>
  <r>
    <n v="92"/>
    <x v="72"/>
    <n v="9298"/>
    <x v="2292"/>
    <n v="5483"/>
    <n v="5705"/>
    <n v="11188"/>
    <n v="5143"/>
  </r>
  <r>
    <n v="92"/>
    <x v="72"/>
    <n v="9299"/>
    <x v="2293"/>
    <n v="24807"/>
    <n v="29138"/>
    <n v="53945"/>
    <n v="26264"/>
  </r>
  <r>
    <n v="93"/>
    <x v="73"/>
    <n v="9301"/>
    <x v="2294"/>
    <n v="42603"/>
    <n v="46931"/>
    <n v="89534"/>
    <n v="36125"/>
  </r>
  <r>
    <n v="93"/>
    <x v="73"/>
    <n v="9302"/>
    <x v="2295"/>
    <n v="14689"/>
    <n v="14882"/>
    <n v="29571"/>
    <n v="9934"/>
  </r>
  <r>
    <n v="93"/>
    <x v="73"/>
    <n v="9303"/>
    <x v="2296"/>
    <n v="15074"/>
    <n v="15762"/>
    <n v="30836"/>
    <n v="12083"/>
  </r>
  <r>
    <n v="93"/>
    <x v="73"/>
    <n v="9304"/>
    <x v="2297"/>
    <n v="7123"/>
    <n v="7215"/>
    <n v="14338"/>
    <n v="4992"/>
  </r>
  <r>
    <n v="93"/>
    <x v="73"/>
    <n v="9305"/>
    <x v="2298"/>
    <n v="37631"/>
    <n v="40840"/>
    <n v="78471"/>
    <n v="31374"/>
  </r>
  <r>
    <n v="93"/>
    <x v="73"/>
    <n v="9306"/>
    <x v="2299"/>
    <n v="16042"/>
    <n v="16641"/>
    <n v="32683"/>
    <n v="11544"/>
  </r>
  <r>
    <n v="93"/>
    <x v="73"/>
    <n v="9307"/>
    <x v="2300"/>
    <n v="8993"/>
    <n v="9026"/>
    <n v="18019"/>
    <n v="7138"/>
  </r>
  <r>
    <n v="93"/>
    <x v="73"/>
    <n v="9308"/>
    <x v="2301"/>
    <n v="21390"/>
    <n v="21810"/>
    <n v="43200"/>
    <n v="16564"/>
  </r>
  <r>
    <n v="93"/>
    <x v="73"/>
    <n v="9309"/>
    <x v="2302"/>
    <n v="8928"/>
    <n v="9106"/>
    <n v="18034"/>
    <n v="6797"/>
  </r>
  <r>
    <n v="93"/>
    <x v="73"/>
    <n v="9310"/>
    <x v="2303"/>
    <n v="13126"/>
    <n v="13667"/>
    <n v="26793"/>
    <n v="11251"/>
  </r>
  <r>
    <n v="93"/>
    <x v="73"/>
    <n v="9311"/>
    <x v="2304"/>
    <n v="5122"/>
    <n v="5270"/>
    <n v="10392"/>
    <n v="3790"/>
  </r>
  <r>
    <n v="93"/>
    <x v="73"/>
    <n v="9382"/>
    <x v="2305"/>
    <n v="3603"/>
    <n v="3583"/>
    <n v="7186"/>
    <n v="2281"/>
  </r>
  <r>
    <n v="93"/>
    <x v="73"/>
    <n v="9383"/>
    <x v="2306"/>
    <n v="3632"/>
    <n v="3688"/>
    <n v="7320"/>
    <n v="2390"/>
  </r>
  <r>
    <n v="93"/>
    <x v="73"/>
    <n v="9384"/>
    <x v="2307"/>
    <n v="4881"/>
    <n v="5085"/>
    <n v="9966"/>
    <n v="3624"/>
  </r>
  <r>
    <n v="93"/>
    <x v="73"/>
    <n v="9385"/>
    <x v="2308"/>
    <n v="1892"/>
    <n v="1945"/>
    <n v="3837"/>
    <n v="1498"/>
  </r>
  <r>
    <n v="93"/>
    <x v="73"/>
    <n v="9386"/>
    <x v="2309"/>
    <n v="2249"/>
    <n v="2325"/>
    <n v="4574"/>
    <n v="1729"/>
  </r>
  <r>
    <n v="93"/>
    <x v="73"/>
    <n v="9387"/>
    <x v="2310"/>
    <n v="4781"/>
    <n v="4138"/>
    <n v="8919"/>
    <n v="3688"/>
  </r>
  <r>
    <n v="93"/>
    <x v="73"/>
    <n v="9388"/>
    <x v="2227"/>
    <n v="5045"/>
    <n v="5294"/>
    <n v="10339"/>
    <n v="3784"/>
  </r>
  <r>
    <n v="93"/>
    <x v="73"/>
    <n v="9389"/>
    <x v="353"/>
    <n v="3687"/>
    <n v="3782"/>
    <n v="7469"/>
    <n v="3288"/>
  </r>
  <r>
    <n v="93"/>
    <x v="73"/>
    <n v="9390"/>
    <x v="2311"/>
    <n v="4233"/>
    <n v="4459"/>
    <n v="8692"/>
    <n v="3081"/>
  </r>
  <r>
    <n v="93"/>
    <x v="73"/>
    <n v="9391"/>
    <x v="2312"/>
    <n v="1900"/>
    <n v="2090"/>
    <n v="3990"/>
    <n v="1934"/>
  </r>
  <r>
    <n v="93"/>
    <x v="73"/>
    <n v="9392"/>
    <x v="2313"/>
    <n v="2015"/>
    <n v="2087"/>
    <n v="4102"/>
    <n v="1828"/>
  </r>
  <r>
    <n v="93"/>
    <x v="73"/>
    <n v="9393"/>
    <x v="2314"/>
    <n v="1447"/>
    <n v="1610"/>
    <n v="3057"/>
    <n v="1546"/>
  </r>
  <r>
    <n v="93"/>
    <x v="73"/>
    <n v="9394"/>
    <x v="2315"/>
    <n v="1009"/>
    <n v="1153"/>
    <n v="2162"/>
    <n v="811"/>
  </r>
  <r>
    <n v="93"/>
    <x v="73"/>
    <n v="9395"/>
    <x v="2316"/>
    <n v="890"/>
    <n v="1072"/>
    <n v="1962"/>
    <n v="1212"/>
  </r>
  <r>
    <n v="93"/>
    <x v="73"/>
    <n v="9396"/>
    <x v="2317"/>
    <n v="2949"/>
    <n v="3227"/>
    <n v="6176"/>
    <n v="3579"/>
  </r>
  <r>
    <n v="93"/>
    <x v="73"/>
    <n v="9397"/>
    <x v="2318"/>
    <n v="2051"/>
    <n v="2187"/>
    <n v="4238"/>
    <n v="1609"/>
  </r>
  <r>
    <n v="93"/>
    <x v="73"/>
    <n v="9398"/>
    <x v="2319"/>
    <n v="1623"/>
    <n v="1788"/>
    <n v="3411"/>
    <n v="1678"/>
  </r>
  <r>
    <n v="93"/>
    <x v="73"/>
    <n v="9399"/>
    <x v="2320"/>
    <n v="13852"/>
    <n v="16317"/>
    <n v="30169"/>
    <n v="16615"/>
  </r>
  <r>
    <n v="94"/>
    <x v="74"/>
    <n v="9401"/>
    <x v="2321"/>
    <n v="44632"/>
    <n v="46805"/>
    <n v="91437"/>
    <n v="33717"/>
  </r>
  <r>
    <n v="94"/>
    <x v="74"/>
    <n v="9402"/>
    <x v="2322"/>
    <n v="30823"/>
    <n v="32294"/>
    <n v="63117"/>
    <n v="18698"/>
  </r>
  <r>
    <n v="94"/>
    <x v="74"/>
    <n v="9403"/>
    <x v="2323"/>
    <n v="30475"/>
    <n v="30901"/>
    <n v="61376"/>
    <n v="14493"/>
  </r>
  <r>
    <n v="94"/>
    <x v="74"/>
    <n v="9404"/>
    <x v="2324"/>
    <n v="18363"/>
    <n v="19031"/>
    <n v="37394"/>
    <n v="10039"/>
  </r>
  <r>
    <n v="94"/>
    <x v="74"/>
    <n v="9405"/>
    <x v="2325"/>
    <n v="28830"/>
    <n v="29394"/>
    <n v="58224"/>
    <n v="13685"/>
  </r>
  <r>
    <n v="94"/>
    <x v="74"/>
    <n v="9406"/>
    <x v="2326"/>
    <n v="12906"/>
    <n v="13306"/>
    <n v="26212"/>
    <n v="6218"/>
  </r>
  <r>
    <n v="94"/>
    <x v="74"/>
    <n v="9407"/>
    <x v="2327"/>
    <n v="28555"/>
    <n v="29784"/>
    <n v="58339"/>
    <n v="14331"/>
  </r>
  <r>
    <n v="94"/>
    <x v="74"/>
    <n v="9408"/>
    <x v="2328"/>
    <n v="6506"/>
    <n v="6746"/>
    <n v="13252"/>
    <n v="3645"/>
  </r>
  <r>
    <n v="94"/>
    <x v="74"/>
    <n v="9409"/>
    <x v="2329"/>
    <n v="36391"/>
    <n v="36861"/>
    <n v="73252"/>
    <n v="17067"/>
  </r>
  <r>
    <n v="94"/>
    <x v="74"/>
    <n v="9410"/>
    <x v="2330"/>
    <n v="46438"/>
    <n v="46759"/>
    <n v="93197"/>
    <n v="22771"/>
  </r>
  <r>
    <n v="94"/>
    <x v="74"/>
    <n v="9411"/>
    <x v="2331"/>
    <n v="9658"/>
    <n v="9883"/>
    <n v="19541"/>
    <n v="4678"/>
  </r>
  <r>
    <n v="94"/>
    <x v="74"/>
    <n v="9412"/>
    <x v="2332"/>
    <n v="8910"/>
    <n v="9088"/>
    <n v="17998"/>
    <n v="4803"/>
  </r>
  <r>
    <n v="94"/>
    <x v="74"/>
    <n v="9488"/>
    <x v="2333"/>
    <n v="2519"/>
    <n v="2671"/>
    <n v="5190"/>
    <n v="1453"/>
  </r>
  <r>
    <n v="94"/>
    <x v="74"/>
    <n v="9489"/>
    <x v="2334"/>
    <n v="3182"/>
    <n v="3064"/>
    <n v="6246"/>
    <n v="2016"/>
  </r>
  <r>
    <n v="94"/>
    <x v="74"/>
    <n v="9490"/>
    <x v="64"/>
    <n v="5255"/>
    <n v="5356"/>
    <n v="10611"/>
    <n v="2468"/>
  </r>
  <r>
    <n v="94"/>
    <x v="74"/>
    <n v="9491"/>
    <x v="2335"/>
    <n v="1362"/>
    <n v="1541"/>
    <n v="2903"/>
    <n v="759"/>
  </r>
  <r>
    <n v="94"/>
    <x v="74"/>
    <n v="9492"/>
    <x v="2336"/>
    <n v="2500"/>
    <n v="2526"/>
    <n v="5026"/>
    <n v="1308"/>
  </r>
  <r>
    <n v="94"/>
    <x v="74"/>
    <n v="9493"/>
    <x v="2337"/>
    <n v="5517"/>
    <n v="5533"/>
    <n v="11050"/>
    <n v="2915"/>
  </r>
  <r>
    <n v="94"/>
    <x v="74"/>
    <n v="9494"/>
    <x v="2338"/>
    <n v="3112"/>
    <n v="3132"/>
    <n v="6244"/>
    <n v="2101"/>
  </r>
  <r>
    <n v="94"/>
    <x v="74"/>
    <n v="9495"/>
    <x v="317"/>
    <n v="9400"/>
    <n v="6618"/>
    <n v="16018"/>
    <n v="6152"/>
  </r>
  <r>
    <n v="94"/>
    <x v="74"/>
    <n v="9496"/>
    <x v="2339"/>
    <n v="1469"/>
    <n v="1603"/>
    <n v="3072"/>
    <n v="1469"/>
  </r>
  <r>
    <n v="94"/>
    <x v="74"/>
    <n v="9497"/>
    <x v="2340"/>
    <n v="1593"/>
    <n v="1825"/>
    <n v="3418"/>
    <n v="1933"/>
  </r>
  <r>
    <n v="94"/>
    <x v="74"/>
    <n v="9498"/>
    <x v="2341"/>
    <n v="7156"/>
    <n v="7378"/>
    <n v="14534"/>
    <n v="4727"/>
  </r>
  <r>
    <n v="94"/>
    <x v="74"/>
    <n v="9499"/>
    <x v="2342"/>
    <n v="20980"/>
    <n v="22273"/>
    <n v="43253"/>
    <n v="16563"/>
  </r>
  <r>
    <n v="95"/>
    <x v="75"/>
    <n v="9501"/>
    <x v="2343"/>
    <n v="38800"/>
    <n v="39786"/>
    <n v="78586"/>
    <n v="20212"/>
  </r>
  <r>
    <n v="95"/>
    <x v="75"/>
    <n v="9502"/>
    <x v="2344"/>
    <n v="18751"/>
    <n v="17716"/>
    <n v="36467"/>
    <n v="16253"/>
  </r>
  <r>
    <n v="95"/>
    <x v="75"/>
    <n v="9503"/>
    <x v="2345"/>
    <n v="29480"/>
    <n v="28578"/>
    <n v="58058"/>
    <n v="16646"/>
  </r>
  <r>
    <n v="95"/>
    <x v="75"/>
    <n v="9504"/>
    <x v="2346"/>
    <n v="12941"/>
    <n v="11953"/>
    <n v="24894"/>
    <n v="9444"/>
  </r>
  <r>
    <n v="95"/>
    <x v="75"/>
    <n v="9505"/>
    <x v="2347"/>
    <n v="31859"/>
    <n v="31696"/>
    <n v="63555"/>
    <n v="15280"/>
  </r>
  <r>
    <n v="95"/>
    <x v="75"/>
    <n v="9506"/>
    <x v="2348"/>
    <n v="43642"/>
    <n v="44607"/>
    <n v="88249"/>
    <n v="21827"/>
  </r>
  <r>
    <n v="95"/>
    <x v="75"/>
    <n v="9507"/>
    <x v="2349"/>
    <n v="13416"/>
    <n v="12801"/>
    <n v="26217"/>
    <n v="7475"/>
  </r>
  <r>
    <n v="95"/>
    <x v="75"/>
    <n v="9508"/>
    <x v="2350"/>
    <n v="15754"/>
    <n v="15469"/>
    <n v="31223"/>
    <n v="6703"/>
  </r>
  <r>
    <n v="95"/>
    <x v="75"/>
    <n v="9590"/>
    <x v="2351"/>
    <n v="18302"/>
    <n v="19783"/>
    <n v="38085"/>
    <n v="17414"/>
  </r>
  <r>
    <n v="95"/>
    <x v="75"/>
    <n v="9591"/>
    <x v="2352"/>
    <n v="2451"/>
    <n v="2209"/>
    <n v="4660"/>
    <n v="2076"/>
  </r>
  <r>
    <n v="95"/>
    <x v="75"/>
    <n v="9592"/>
    <x v="2353"/>
    <n v="2949"/>
    <n v="3076"/>
    <n v="6025"/>
    <n v="1811"/>
  </r>
  <r>
    <n v="95"/>
    <x v="75"/>
    <n v="9593"/>
    <x v="2354"/>
    <n v="2537"/>
    <n v="2594"/>
    <n v="5131"/>
    <n v="1960"/>
  </r>
  <r>
    <n v="95"/>
    <x v="75"/>
    <n v="9594"/>
    <x v="2355"/>
    <n v="1246"/>
    <n v="1215"/>
    <n v="2461"/>
    <n v="812"/>
  </r>
  <r>
    <n v="95"/>
    <x v="75"/>
    <n v="9595"/>
    <x v="2356"/>
    <n v="719"/>
    <n v="706"/>
    <n v="1425"/>
    <n v="603"/>
  </r>
  <r>
    <n v="95"/>
    <x v="75"/>
    <n v="9596"/>
    <x v="2357"/>
    <n v="1268"/>
    <n v="1275"/>
    <n v="2543"/>
    <n v="1060"/>
  </r>
  <r>
    <n v="95"/>
    <x v="75"/>
    <n v="9597"/>
    <x v="2358"/>
    <n v="514"/>
    <n v="527"/>
    <n v="1041"/>
    <n v="393"/>
  </r>
  <r>
    <n v="95"/>
    <x v="75"/>
    <n v="9598"/>
    <x v="2359"/>
    <n v="12437"/>
    <n v="13467"/>
    <n v="25904"/>
    <n v="11651"/>
  </r>
  <r>
    <n v="95"/>
    <x v="75"/>
    <n v="9599"/>
    <x v="2360"/>
    <n v="27635"/>
    <n v="30815"/>
    <n v="58450"/>
    <n v="29664"/>
  </r>
  <r>
    <n v="96"/>
    <x v="76"/>
    <n v="9601"/>
    <x v="2361"/>
    <n v="44411"/>
    <n v="44203"/>
    <n v="88614"/>
    <n v="28297"/>
  </r>
  <r>
    <n v="96"/>
    <x v="76"/>
    <n v="9602"/>
    <x v="2362"/>
    <n v="27379"/>
    <n v="28121"/>
    <n v="55500"/>
    <n v="12788"/>
  </r>
  <r>
    <n v="96"/>
    <x v="76"/>
    <n v="9603"/>
    <x v="2363"/>
    <n v="20807"/>
    <n v="21493"/>
    <n v="42300"/>
    <n v="9876"/>
  </r>
  <r>
    <n v="96"/>
    <x v="76"/>
    <n v="9604"/>
    <x v="2364"/>
    <n v="22357"/>
    <n v="22972"/>
    <n v="45329"/>
    <n v="11101"/>
  </r>
  <r>
    <n v="96"/>
    <x v="76"/>
    <n v="9605"/>
    <x v="2365"/>
    <n v="39255"/>
    <n v="40607"/>
    <n v="79862"/>
    <n v="18377"/>
  </r>
  <r>
    <n v="96"/>
    <x v="76"/>
    <n v="9606"/>
    <x v="2366"/>
    <n v="34281"/>
    <n v="34309"/>
    <n v="68590"/>
    <n v="16441"/>
  </r>
  <r>
    <n v="96"/>
    <x v="76"/>
    <n v="9607"/>
    <x v="2367"/>
    <n v="19201"/>
    <n v="18678"/>
    <n v="37879"/>
    <n v="10045"/>
  </r>
  <r>
    <n v="96"/>
    <x v="76"/>
    <n v="9608"/>
    <x v="2368"/>
    <n v="22201"/>
    <n v="22633"/>
    <n v="44834"/>
    <n v="10977"/>
  </r>
  <r>
    <n v="96"/>
    <x v="76"/>
    <n v="9609"/>
    <x v="2369"/>
    <n v="11786"/>
    <n v="11357"/>
    <n v="23143"/>
    <n v="7666"/>
  </r>
  <r>
    <n v="96"/>
    <x v="76"/>
    <n v="9610"/>
    <x v="2370"/>
    <n v="19057"/>
    <n v="20215"/>
    <n v="39272"/>
    <n v="11845"/>
  </r>
  <r>
    <n v="96"/>
    <x v="76"/>
    <n v="9611"/>
    <x v="2371"/>
    <n v="24342"/>
    <n v="24998"/>
    <n v="49340"/>
    <n v="12786"/>
  </r>
  <r>
    <n v="96"/>
    <x v="76"/>
    <n v="9612"/>
    <x v="2372"/>
    <n v="20540"/>
    <n v="19989"/>
    <n v="40529"/>
    <n v="10159"/>
  </r>
  <r>
    <n v="96"/>
    <x v="76"/>
    <n v="9613"/>
    <x v="2373"/>
    <n v="20774"/>
    <n v="20945"/>
    <n v="41719"/>
    <n v="10241"/>
  </r>
  <r>
    <n v="96"/>
    <x v="76"/>
    <n v="9686"/>
    <x v="2374"/>
    <n v="3400"/>
    <n v="3578"/>
    <n v="6978"/>
    <n v="2172"/>
  </r>
  <r>
    <n v="96"/>
    <x v="76"/>
    <n v="9687"/>
    <x v="2375"/>
    <n v="1754"/>
    <n v="1685"/>
    <n v="3439"/>
    <n v="1650"/>
  </r>
  <r>
    <n v="96"/>
    <x v="76"/>
    <n v="9688"/>
    <x v="2376"/>
    <n v="2561"/>
    <n v="2708"/>
    <n v="5269"/>
    <n v="1731"/>
  </r>
  <r>
    <n v="96"/>
    <x v="76"/>
    <n v="9689"/>
    <x v="2377"/>
    <n v="2553"/>
    <n v="2716"/>
    <n v="5269"/>
    <n v="1484"/>
  </r>
  <r>
    <n v="96"/>
    <x v="76"/>
    <n v="9690"/>
    <x v="2378"/>
    <n v="2635"/>
    <n v="2565"/>
    <n v="5200"/>
    <n v="1924"/>
  </r>
  <r>
    <n v="96"/>
    <x v="76"/>
    <n v="9691"/>
    <x v="2379"/>
    <n v="3672"/>
    <n v="3817"/>
    <n v="7489"/>
    <n v="3753"/>
  </r>
  <r>
    <n v="96"/>
    <x v="76"/>
    <n v="9692"/>
    <x v="2380"/>
    <n v="4399"/>
    <n v="4280"/>
    <n v="8679"/>
    <n v="1842"/>
  </r>
  <r>
    <n v="96"/>
    <x v="76"/>
    <n v="9693"/>
    <x v="2381"/>
    <n v="3251"/>
    <n v="3501"/>
    <n v="6752"/>
    <n v="3920"/>
  </r>
  <r>
    <n v="96"/>
    <x v="76"/>
    <n v="9694"/>
    <x v="2382"/>
    <n v="1549"/>
    <n v="1538"/>
    <n v="3087"/>
    <n v="1148"/>
  </r>
  <r>
    <n v="96"/>
    <x v="76"/>
    <n v="9695"/>
    <x v="2383"/>
    <n v="4857"/>
    <n v="4863"/>
    <n v="9720"/>
    <n v="2380"/>
  </r>
  <r>
    <n v="96"/>
    <x v="76"/>
    <n v="9696"/>
    <x v="2384"/>
    <n v="2472"/>
    <n v="2696"/>
    <n v="5168"/>
    <n v="1501"/>
  </r>
  <r>
    <n v="96"/>
    <x v="76"/>
    <n v="9697"/>
    <x v="2385"/>
    <n v="9814"/>
    <n v="10377"/>
    <n v="20191"/>
    <n v="6005"/>
  </r>
  <r>
    <n v="96"/>
    <x v="76"/>
    <n v="9698"/>
    <x v="2386"/>
    <n v="18723"/>
    <n v="20858"/>
    <n v="39581"/>
    <n v="15884"/>
  </r>
  <r>
    <n v="96"/>
    <x v="76"/>
    <n v="9699"/>
    <x v="2387"/>
    <n v="19601"/>
    <n v="20662"/>
    <n v="40263"/>
    <n v="166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5455020"/>
    <n v="2544400"/>
    <n v="2910620"/>
    <n v="3304462"/>
    <x v="0"/>
    <n v="53.35672463162372"/>
  </r>
  <r>
    <x v="0"/>
    <x v="1"/>
    <n v="925758"/>
    <n v="443395"/>
    <n v="482363"/>
    <n v="442482"/>
    <x v="1"/>
    <n v="52.104653699995026"/>
  </r>
  <r>
    <x v="0"/>
    <x v="2"/>
    <n v="1317919"/>
    <n v="609722"/>
    <n v="708197"/>
    <n v="768221"/>
    <x v="2"/>
    <n v="53.736003502491428"/>
  </r>
  <r>
    <x v="0"/>
    <x v="3"/>
    <n v="1236471"/>
    <n v="584170"/>
    <n v="652301"/>
    <n v="716096"/>
    <x v="3"/>
    <n v="52.755058549695057"/>
  </r>
  <r>
    <x v="0"/>
    <x v="4"/>
    <n v="1380826"/>
    <n v="654057"/>
    <n v="726769"/>
    <n v="783230"/>
    <x v="4"/>
    <n v="52.632916819353056"/>
  </r>
  <r>
    <x v="0"/>
    <x v="5"/>
    <n v="590867"/>
    <n v="283460"/>
    <n v="307407"/>
    <n v="323332"/>
    <x v="5"/>
    <n v="52.026428959478189"/>
  </r>
  <r>
    <x v="1"/>
    <x v="6"/>
    <n v="700862"/>
    <n v="345166"/>
    <n v="355696"/>
    <n v="291549"/>
    <x v="6"/>
    <n v="50.751217786097691"/>
  </r>
  <r>
    <x v="1"/>
    <x v="7"/>
    <n v="313759"/>
    <n v="150495"/>
    <n v="163264"/>
    <n v="132908"/>
    <x v="7"/>
    <n v="52.034842028435833"/>
  </r>
  <r>
    <x v="1"/>
    <x v="8"/>
    <n v="259770"/>
    <n v="128349"/>
    <n v="131421"/>
    <n v="111246"/>
    <x v="8"/>
    <n v="50.591292297031984"/>
  </r>
  <r>
    <x v="1"/>
    <x v="9"/>
    <n v="1014401"/>
    <n v="493281"/>
    <n v="521120"/>
    <n v="437370"/>
    <x v="9"/>
    <n v="51.372189104703168"/>
  </r>
  <r>
    <x v="1"/>
    <x v="10"/>
    <n v="822720"/>
    <n v="394331"/>
    <n v="428389"/>
    <n v="362285"/>
    <x v="10"/>
    <n v="52.069841501361338"/>
  </r>
  <r>
    <x v="1"/>
    <x v="11"/>
    <n v="517308"/>
    <n v="251787"/>
    <n v="265521"/>
    <n v="206966"/>
    <x v="11"/>
    <n v="51.327449024565638"/>
  </r>
  <r>
    <x v="1"/>
    <x v="12"/>
    <n v="839116"/>
    <n v="409596"/>
    <n v="429520"/>
    <n v="372740"/>
    <x v="12"/>
    <n v="51.18720176948122"/>
  </r>
  <r>
    <x v="1"/>
    <x v="13"/>
    <n v="960718"/>
    <n v="472067"/>
    <n v="488651"/>
    <n v="382224"/>
    <x v="13"/>
    <n v="50.863104469781973"/>
  </r>
  <r>
    <x v="1"/>
    <x v="14"/>
    <n v="725266"/>
    <n v="360040"/>
    <n v="365226"/>
    <n v="306787"/>
    <x v="14"/>
    <n v="50.357523998091736"/>
  </r>
  <r>
    <x v="1"/>
    <x v="15"/>
    <n v="186784"/>
    <n v="89040"/>
    <n v="97744"/>
    <n v="77393"/>
    <x v="15"/>
    <n v="52.329964022614362"/>
  </r>
  <r>
    <x v="1"/>
    <x v="16"/>
    <n v="639165"/>
    <n v="313262"/>
    <n v="325903"/>
    <n v="305526"/>
    <x v="16"/>
    <n v="50.988868289095933"/>
  </r>
  <r>
    <x v="1"/>
    <x v="17"/>
    <n v="199803"/>
    <n v="94895"/>
    <n v="104908"/>
    <n v="81992"/>
    <x v="17"/>
    <n v="52.505718132360379"/>
  </r>
  <r>
    <x v="1"/>
    <x v="18"/>
    <n v="573388"/>
    <n v="277179"/>
    <n v="296209"/>
    <n v="229235"/>
    <x v="18"/>
    <n v="51.659434798077399"/>
  </r>
  <r>
    <x v="1"/>
    <x v="19"/>
    <n v="822211"/>
    <n v="395769"/>
    <n v="426442"/>
    <n v="324002"/>
    <x v="19"/>
    <n v="51.865275458489371"/>
  </r>
  <r>
    <x v="1"/>
    <x v="20"/>
    <n v="268875"/>
    <n v="128445"/>
    <n v="140430"/>
    <n v="105354"/>
    <x v="20"/>
    <n v="52.228730822873082"/>
  </r>
  <r>
    <x v="1"/>
    <x v="21"/>
    <n v="320445"/>
    <n v="156311"/>
    <n v="164134"/>
    <n v="132050"/>
    <x v="21"/>
    <n v="51.2206462887547"/>
  </r>
  <r>
    <x v="2"/>
    <x v="22"/>
    <n v="896351"/>
    <n v="447653"/>
    <n v="448698"/>
    <n v="370344"/>
    <x v="22"/>
    <n v="50.058291896812747"/>
  </r>
  <r>
    <x v="2"/>
    <x v="23"/>
    <n v="698597"/>
    <n v="352933"/>
    <n v="345664"/>
    <n v="241517"/>
    <x v="23"/>
    <n v="49.479742970553836"/>
  </r>
  <r>
    <x v="2"/>
    <x v="24"/>
    <n v="551769"/>
    <n v="270215"/>
    <n v="281554"/>
    <n v="293330"/>
    <x v="24"/>
    <n v="51.027513325322737"/>
  </r>
  <r>
    <x v="2"/>
    <x v="25"/>
    <n v="484145"/>
    <n v="232930"/>
    <n v="251215"/>
    <n v="237512"/>
    <x v="25"/>
    <n v="51.888380547150128"/>
  </r>
  <r>
    <x v="2"/>
    <x v="26"/>
    <n v="864037"/>
    <n v="418947"/>
    <n v="445090"/>
    <n v="350718"/>
    <x v="26"/>
    <n v="51.512840306607245"/>
  </r>
  <r>
    <x v="2"/>
    <x v="27"/>
    <n v="782171"/>
    <n v="382979"/>
    <n v="399192"/>
    <n v="578414"/>
    <x v="27"/>
    <n v="51.036410196747262"/>
  </r>
  <r>
    <x v="3"/>
    <x v="28"/>
    <n v="536388"/>
    <n v="261555"/>
    <n v="274833"/>
    <n v="261649"/>
    <x v="28"/>
    <n v="51.237723439003112"/>
  </r>
  <r>
    <x v="3"/>
    <x v="29"/>
    <n v="733131"/>
    <n v="358556"/>
    <n v="374575"/>
    <n v="345381"/>
    <x v="29"/>
    <n v="51.092505977785684"/>
  </r>
  <r>
    <x v="3"/>
    <x v="30"/>
    <n v="1635525"/>
    <n v="794783"/>
    <n v="840742"/>
    <n v="1172425"/>
    <x v="30"/>
    <n v="51.405022851989422"/>
  </r>
  <r>
    <x v="3"/>
    <x v="31"/>
    <n v="226517"/>
    <n v="111893"/>
    <n v="114624"/>
    <n v="114393"/>
    <x v="31"/>
    <n v="50.602824512067521"/>
  </r>
  <r>
    <x v="3"/>
    <x v="32"/>
    <n v="500607"/>
    <n v="246835"/>
    <n v="253772"/>
    <n v="242594"/>
    <x v="32"/>
    <n v="50.692858869332639"/>
  </r>
  <r>
    <x v="3"/>
    <x v="33"/>
    <n v="562242"/>
    <n v="280641"/>
    <n v="281601"/>
    <n v="233852"/>
    <x v="33"/>
    <n v="50.085372490849132"/>
  </r>
  <r>
    <x v="4"/>
    <x v="34"/>
    <n v="962444"/>
    <n v="474533"/>
    <n v="487911"/>
    <n v="331891"/>
    <x v="34"/>
    <n v="50.695001475410514"/>
  </r>
  <r>
    <x v="4"/>
    <x v="35"/>
    <n v="1772381"/>
    <n v="868299"/>
    <n v="904082"/>
    <n v="692088"/>
    <x v="35"/>
    <n v="51.009461284001581"/>
  </r>
  <r>
    <x v="4"/>
    <x v="36"/>
    <n v="1106404"/>
    <n v="544954"/>
    <n v="561450"/>
    <n v="424219"/>
    <x v="36"/>
    <n v="50.745478143607578"/>
  </r>
  <r>
    <x v="4"/>
    <x v="37"/>
    <n v="710740"/>
    <n v="353531"/>
    <n v="357209"/>
    <n v="246183"/>
    <x v="37"/>
    <n v="50.258744407237529"/>
  </r>
  <r>
    <x v="4"/>
    <x v="38"/>
    <n v="2620172"/>
    <n v="1282763"/>
    <n v="1337409"/>
    <n v="1079582"/>
    <x v="38"/>
    <n v="51.042794137178781"/>
  </r>
  <r>
    <x v="4"/>
    <x v="39"/>
    <n v="418733"/>
    <n v="209459"/>
    <n v="209274"/>
    <n v="147459"/>
    <x v="39"/>
    <n v="49.977909550954905"/>
  </r>
  <r>
    <x v="4"/>
    <x v="40"/>
    <n v="1566308"/>
    <n v="775230"/>
    <n v="791078"/>
    <n v="504266"/>
    <x v="40"/>
    <n v="50.505903053550128"/>
  </r>
  <r>
    <x v="4"/>
    <x v="41"/>
    <n v="929952"/>
    <n v="456246"/>
    <n v="473706"/>
    <n v="321366"/>
    <x v="41"/>
    <n v="50.938758129451841"/>
  </r>
  <r>
    <x v="4"/>
    <x v="42"/>
    <n v="350510"/>
    <n v="174977"/>
    <n v="175533"/>
    <n v="126326"/>
    <x v="42"/>
    <n v="50.079313001055603"/>
  </r>
  <r>
    <x v="4"/>
    <x v="43"/>
    <n v="525325"/>
    <n v="261204"/>
    <n v="264121"/>
    <n v="189342"/>
    <x v="43"/>
    <n v="50.277637652881545"/>
  </r>
  <r>
    <x v="4"/>
    <x v="44"/>
    <n v="1275519"/>
    <n v="629825"/>
    <n v="645694"/>
    <n v="417865"/>
    <x v="44"/>
    <n v="50.622060510270714"/>
  </r>
  <r>
    <x v="4"/>
    <x v="45"/>
    <n v="632187"/>
    <n v="315871"/>
    <n v="316316"/>
    <n v="240382"/>
    <x v="45"/>
    <n v="50.03519528240853"/>
  </r>
  <r>
    <x v="4"/>
    <x v="46"/>
    <n v="1442013"/>
    <n v="717079"/>
    <n v="724934"/>
    <n v="420976"/>
    <x v="46"/>
    <n v="50.272362315735023"/>
  </r>
  <r>
    <x v="4"/>
    <x v="47"/>
    <n v="1137772"/>
    <n v="564205"/>
    <n v="573567"/>
    <n v="411116"/>
    <x v="47"/>
    <n v="50.41141810485756"/>
  </r>
  <r>
    <x v="4"/>
    <x v="48"/>
    <n v="1360245"/>
    <n v="675268"/>
    <n v="684977"/>
    <n v="426326"/>
    <x v="48"/>
    <n v="50.356884237765989"/>
  </r>
  <r>
    <x v="4"/>
    <x v="49"/>
    <n v="511706"/>
    <n v="253194"/>
    <n v="258512"/>
    <n v="190025"/>
    <x v="49"/>
    <n v="50.519634321270409"/>
  </r>
  <r>
    <x v="4"/>
    <x v="50"/>
    <n v="504379"/>
    <n v="250862"/>
    <n v="253517"/>
    <n v="161989"/>
    <x v="50"/>
    <n v="50.263194938726627"/>
  </r>
  <r>
    <x v="4"/>
    <x v="51"/>
    <n v="372183"/>
    <n v="184783"/>
    <n v="187400"/>
    <n v="128559"/>
    <x v="51"/>
    <n v="50.351574359925088"/>
  </r>
  <r>
    <x v="4"/>
    <x v="52"/>
    <n v="1552135"/>
    <n v="765475"/>
    <n v="786660"/>
    <n v="565876"/>
    <x v="52"/>
    <n v="50.68244708095623"/>
  </r>
  <r>
    <x v="4"/>
    <x v="53"/>
    <n v="1867942"/>
    <n v="929772"/>
    <n v="938170"/>
    <n v="661003"/>
    <x v="53"/>
    <n v="50.224792846887112"/>
  </r>
  <r>
    <x v="5"/>
    <x v="54"/>
    <n v="483855"/>
    <n v="240313"/>
    <n v="243542"/>
    <n v="208232"/>
    <x v="54"/>
    <n v="50.333674344586711"/>
  </r>
  <r>
    <x v="5"/>
    <x v="55"/>
    <n v="508053"/>
    <n v="250267"/>
    <n v="257786"/>
    <n v="256148"/>
    <x v="55"/>
    <n v="50.739981852287066"/>
  </r>
  <r>
    <x v="5"/>
    <x v="56"/>
    <n v="634959"/>
    <n v="310045"/>
    <n v="324914"/>
    <n v="246853"/>
    <x v="56"/>
    <n v="51.170863000603184"/>
  </r>
  <r>
    <x v="5"/>
    <x v="57"/>
    <n v="1534653"/>
    <n v="757539"/>
    <n v="777114"/>
    <n v="616268"/>
    <x v="57"/>
    <n v="50.637766322419466"/>
  </r>
  <r>
    <x v="5"/>
    <x v="58"/>
    <n v="823996"/>
    <n v="407632"/>
    <n v="416364"/>
    <n v="232664"/>
    <x v="58"/>
    <n v="50.529856941053112"/>
  </r>
  <r>
    <x v="5"/>
    <x v="59"/>
    <n v="740904"/>
    <n v="366532"/>
    <n v="374372"/>
    <n v="208009"/>
    <x v="59"/>
    <n v="50.529083390020837"/>
  </r>
  <r>
    <x v="5"/>
    <x v="60"/>
    <n v="266296"/>
    <n v="132910"/>
    <n v="133386"/>
    <n v="125443"/>
    <x v="60"/>
    <n v="50.089374230179949"/>
  </r>
  <r>
    <x v="5"/>
    <x v="61"/>
    <n v="519440"/>
    <n v="252460"/>
    <n v="266980"/>
    <n v="207767"/>
    <x v="61"/>
    <n v="51.397659017403349"/>
  </r>
  <r>
    <x v="5"/>
    <x v="62"/>
    <n v="429583"/>
    <n v="201988"/>
    <n v="227595"/>
    <n v="294383"/>
    <x v="62"/>
    <n v="52.980448481434316"/>
  </r>
  <r>
    <x v="5"/>
    <x v="63"/>
    <n v="552974"/>
    <n v="274701"/>
    <n v="278273"/>
    <n v="181284"/>
    <x v="63"/>
    <n v="50.322980827308342"/>
  </r>
  <r>
    <x v="5"/>
    <x v="64"/>
    <n v="192927"/>
    <n v="96944"/>
    <n v="95983"/>
    <n v="98370"/>
    <x v="64"/>
    <n v="49.750942066170104"/>
  </r>
  <r>
    <x v="5"/>
    <x v="65"/>
    <n v="1431107"/>
    <n v="695802"/>
    <n v="735305"/>
    <n v="593923"/>
    <x v="65"/>
    <n v="51.38015536224755"/>
  </r>
  <r>
    <x v="5"/>
    <x v="66"/>
    <n v="324879"/>
    <n v="161667"/>
    <n v="163212"/>
    <n v="111775"/>
    <x v="66"/>
    <n v="50.237780835326383"/>
  </r>
  <r>
    <x v="5"/>
    <x v="67"/>
    <n v="1076666"/>
    <n v="529077"/>
    <n v="547589"/>
    <n v="550373"/>
    <x v="67"/>
    <n v="50.859690934793143"/>
  </r>
  <r>
    <x v="6"/>
    <x v="68"/>
    <n v="1297657"/>
    <n v="628811"/>
    <n v="668846"/>
    <n v="594808"/>
    <x v="68"/>
    <n v="51.542587910364603"/>
  </r>
  <r>
    <x v="6"/>
    <x v="69"/>
    <n v="1799019"/>
    <n v="865486"/>
    <n v="933533"/>
    <n v="900484"/>
    <x v="69"/>
    <n v="51.891225162157816"/>
  </r>
  <r>
    <x v="6"/>
    <x v="70"/>
    <n v="470507"/>
    <n v="234647"/>
    <n v="235860"/>
    <n v="180461"/>
    <x v="70"/>
    <n v="50.128903501967024"/>
  </r>
  <r>
    <x v="6"/>
    <x v="71"/>
    <n v="454764"/>
    <n v="220378"/>
    <n v="234386"/>
    <n v="204387"/>
    <x v="71"/>
    <n v="51.54013950092795"/>
  </r>
  <r>
    <x v="6"/>
    <x v="72"/>
    <n v="421745"/>
    <n v="202378"/>
    <n v="219367"/>
    <n v="185874"/>
    <x v="72"/>
    <n v="52.014131762083728"/>
  </r>
  <r>
    <x v="6"/>
    <x v="73"/>
    <n v="288082"/>
    <n v="145723"/>
    <n v="142359"/>
    <n v="123826"/>
    <x v="73"/>
    <n v="49.416138460577194"/>
  </r>
  <r>
    <x v="6"/>
    <x v="74"/>
    <n v="704126"/>
    <n v="341663"/>
    <n v="362463"/>
    <n v="307969"/>
    <x v="74"/>
    <n v="51.477008376341736"/>
  </r>
  <r>
    <x v="6"/>
    <x v="75"/>
    <n v="396753"/>
    <n v="189647"/>
    <n v="207106"/>
    <n v="193492"/>
    <x v="75"/>
    <n v="52.200235410948373"/>
  </r>
  <r>
    <x v="6"/>
    <x v="76"/>
    <n v="436283"/>
    <n v="212005"/>
    <n v="224278"/>
    <n v="179308"/>
    <x v="76"/>
    <n v="51.4065411670865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E9AF6-22E0-4188-BCBE-6915FDA2FBE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81" firstHeaderRow="0" firstDataRow="1" firstDataCol="1"/>
  <pivotFields count="8">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pivotField dataField="1" showAll="0"/>
    <pivotField dataField="1" showAll="0"/>
    <pivotField dataField="1" showAll="0"/>
    <pivotField dataField="1" showAll="0"/>
  </pivotFields>
  <rowFields count="1">
    <field x="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4">
    <i>
      <x/>
    </i>
    <i i="1">
      <x v="1"/>
    </i>
    <i i="2">
      <x v="2"/>
    </i>
    <i i="3">
      <x v="3"/>
    </i>
  </colItems>
  <dataFields count="4">
    <dataField name="Sum of จำนวนประชากรทั้งหมด" fld="6" baseField="0" baseItem="0"/>
    <dataField name="Sum of จำนวนประชากรชาย" fld="4" baseField="0" baseItem="0"/>
    <dataField name="Sum of จำนวนประชากรหญิง" fld="5" baseField="0" baseItem="0"/>
    <dataField name="Sum of จำนวนบ้าน (หลังคาเรือน)"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93A15C-E018-4589-8879-1A1307A8F88F}" name="PivotTable8"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55:B59" firstHeaderRow="1" firstDataRow="1" firstDataCol="1"/>
  <pivotFields count="8">
    <pivotField showAll="0">
      <items count="8">
        <item h="1" x="0"/>
        <item h="1" x="1"/>
        <item h="1" x="2"/>
        <item h="1" x="3"/>
        <item h="1" x="4"/>
        <item h="1" x="5"/>
        <item x="6"/>
        <item t="default"/>
      </items>
    </pivotField>
    <pivotField showAll="0">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pivotField>
    <pivotField dataField="1" numFmtId="3" showAll="0"/>
    <pivotField dataField="1" numFmtId="3" showAll="0"/>
    <pivotField dataField="1" numFmtId="3" showAll="0"/>
    <pivotField dataField="1" numFmtId="3" showAll="0"/>
    <pivotField numFmtId="2" showAll="0"/>
    <pivotField numFmtId="2" showAll="0"/>
  </pivotFields>
  <rowFields count="1">
    <field x="-2"/>
  </rowFields>
  <rowItems count="4">
    <i>
      <x/>
    </i>
    <i i="1">
      <x v="1"/>
    </i>
    <i i="2">
      <x v="2"/>
    </i>
    <i i="3">
      <x v="3"/>
    </i>
  </rowItems>
  <colItems count="1">
    <i/>
  </colItems>
  <dataFields count="4">
    <dataField name="Sum of จำนวนประชากรทั้งหมด" fld="2" baseField="0" baseItem="0"/>
    <dataField name="Sum of จำนวนประชากรชาย" fld="3" baseField="0" baseItem="0"/>
    <dataField name="Sum of จำนวนประชากรหญิง" fld="4" baseField="0" baseItem="0"/>
    <dataField name="Sum of จำนวนบ้าน (หลังคาเรือน)" fld="5" baseField="0" baseItem="0"/>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4327A-BA2C-4757-81E0-4DD3A49BE248}"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
  <location ref="D14:F31" firstHeaderRow="1" firstDataRow="1" firstDataCol="0"/>
  <pivotFields count="8">
    <pivotField showAll="0">
      <items count="8">
        <item h="1" x="0"/>
        <item h="1" x="1"/>
        <item h="1" x="2"/>
        <item h="1" x="3"/>
        <item h="1" x="4"/>
        <item h="1" x="5"/>
        <item x="6"/>
        <item t="default"/>
      </items>
    </pivotField>
    <pivotField showAll="0"/>
    <pivotField numFmtId="3" showAll="0"/>
    <pivotField numFmtId="3" showAll="0"/>
    <pivotField numFmtId="3" showAll="0"/>
    <pivotField numFmtId="3" showAll="0"/>
    <pivotField numFmtId="2" showAll="0"/>
    <pivotField numFmtId="2" showAll="0"/>
  </pivotFields>
  <formats count="6">
    <format dxfId="115">
      <pivotArea outline="0" collapsedLevelsAreSubtotals="1" fieldPosition="0"/>
    </format>
    <format dxfId="114">
      <pivotArea type="all" dataOnly="0" outline="0" fieldPosition="0"/>
    </format>
    <format dxfId="113">
      <pivotArea outline="0" collapsedLevelsAreSubtotals="1" fieldPosition="0"/>
    </format>
    <format dxfId="112">
      <pivotArea field="0" type="button" dataOnly="0" labelOnly="1" outline="0"/>
    </format>
    <format dxfId="111">
      <pivotArea dataOnly="0" labelOnly="1" grandRow="1" outline="0" fieldPosition="0"/>
    </format>
    <format dxfId="1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8B48C3-9063-48E6-968A-BD578DEDD997}"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D3:E11" firstHeaderRow="1" firstDataRow="1" firstDataCol="1"/>
  <pivotFields count="8">
    <pivotField axis="axisRow" showAll="0">
      <items count="8">
        <item x="0"/>
        <item x="1"/>
        <item x="2"/>
        <item x="3"/>
        <item x="4"/>
        <item x="5"/>
        <item x="6"/>
        <item t="default"/>
      </items>
    </pivotField>
    <pivotField showAll="0"/>
    <pivotField numFmtId="3" showAll="0"/>
    <pivotField numFmtId="3" showAll="0"/>
    <pivotField numFmtId="3" showAll="0"/>
    <pivotField dataField="1" numFmtId="3" showAll="0"/>
    <pivotField numFmtId="2" showAll="0"/>
    <pivotField numFmtId="2" showAll="0"/>
  </pivotFields>
  <rowFields count="1">
    <field x="0"/>
  </rowFields>
  <rowItems count="8">
    <i>
      <x/>
    </i>
    <i>
      <x v="1"/>
    </i>
    <i>
      <x v="2"/>
    </i>
    <i>
      <x v="3"/>
    </i>
    <i>
      <x v="4"/>
    </i>
    <i>
      <x v="5"/>
    </i>
    <i>
      <x v="6"/>
    </i>
    <i t="grand">
      <x/>
    </i>
  </rowItems>
  <colItems count="1">
    <i/>
  </colItems>
  <dataFields count="1">
    <dataField name="Sum of จำนวนบ้าน (หลังคาเรือน)" fld="5" baseField="0" baseItem="0"/>
  </dataFields>
  <formats count="1">
    <format dxfId="116">
      <pivotArea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4EB7AF-EC96-4DEA-8113-8C3A4A48CF4E}" name="ภาค"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8">
    <pivotField axis="axisRow" showAll="0">
      <items count="8">
        <item x="0"/>
        <item x="1"/>
        <item x="2"/>
        <item x="3"/>
        <item x="4"/>
        <item x="5"/>
        <item x="6"/>
        <item t="default"/>
      </items>
    </pivotField>
    <pivotField showAll="0"/>
    <pivotField dataField="1" numFmtId="3" showAll="0"/>
    <pivotField numFmtId="3" showAll="0"/>
    <pivotField numFmtId="3" showAll="0"/>
    <pivotField numFmtId="3" showAll="0"/>
    <pivotField numFmtId="2" showAll="0"/>
    <pivotField numFmtId="2" showAll="0"/>
  </pivotFields>
  <rowFields count="1">
    <field x="0"/>
  </rowFields>
  <rowItems count="8">
    <i>
      <x/>
    </i>
    <i>
      <x v="1"/>
    </i>
    <i>
      <x v="2"/>
    </i>
    <i>
      <x v="3"/>
    </i>
    <i>
      <x v="4"/>
    </i>
    <i>
      <x v="5"/>
    </i>
    <i>
      <x v="6"/>
    </i>
    <i t="grand">
      <x/>
    </i>
  </rowItems>
  <colItems count="1">
    <i/>
  </colItems>
  <dataFields count="1">
    <dataField name="Sum of จำนวนประชากรทั้งหมด" fld="2" baseField="0" baseItem="0" numFmtId="3"/>
  </dataFields>
  <formats count="1">
    <format dxfId="117">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0"/>
          </reference>
          <reference field="0" count="1" selected="0">
            <x v="2"/>
          </reference>
        </references>
      </pivotArea>
    </chartFormat>
    <chartFormat chart="2" format="13">
      <pivotArea type="data" outline="0" fieldPosition="0">
        <references count="2">
          <reference field="4294967294" count="1" selected="0">
            <x v="0"/>
          </reference>
          <reference field="0" count="1" selected="0">
            <x v="3"/>
          </reference>
        </references>
      </pivotArea>
    </chartFormat>
    <chartFormat chart="2" format="14">
      <pivotArea type="data" outline="0" fieldPosition="0">
        <references count="2">
          <reference field="4294967294" count="1" selected="0">
            <x v="0"/>
          </reference>
          <reference field="0" count="1" selected="0">
            <x v="4"/>
          </reference>
        </references>
      </pivotArea>
    </chartFormat>
    <chartFormat chart="2" format="15">
      <pivotArea type="data" outline="0" fieldPosition="0">
        <references count="2">
          <reference field="4294967294" count="1" selected="0">
            <x v="0"/>
          </reference>
          <reference field="0" count="1" selected="0">
            <x v="5"/>
          </reference>
        </references>
      </pivotArea>
    </chartFormat>
    <chartFormat chart="2"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54BE4-7FBB-42E1-93A6-6B8E28C7F35C}" name="ชาย"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8:B44" firstHeaderRow="1" firstDataRow="1" firstDataCol="1"/>
  <pivotFields count="8">
    <pivotField showAll="0">
      <items count="8">
        <item h="1" x="0"/>
        <item h="1" x="1"/>
        <item h="1" x="2"/>
        <item h="1" x="3"/>
        <item h="1" x="4"/>
        <item h="1" x="5"/>
        <item x="6"/>
        <item t="default"/>
      </items>
    </pivotField>
    <pivotField axis="axisRow" showAll="0" measureFilter="1" sortType="ascending">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autoSortScope>
        <pivotArea dataOnly="0" outline="0" fieldPosition="0">
          <references count="1">
            <reference field="4294967294" count="1" selected="0">
              <x v="0"/>
            </reference>
          </references>
        </pivotArea>
      </autoSortScope>
    </pivotField>
    <pivotField numFmtId="3" showAll="0"/>
    <pivotField dataField="1" numFmtId="3" showAll="0"/>
    <pivotField numFmtId="3" showAll="0"/>
    <pivotField numFmtId="3" showAll="0"/>
    <pivotField numFmtId="2" showAll="0"/>
    <pivotField numFmtId="2" showAll="0"/>
  </pivotFields>
  <rowFields count="1">
    <field x="1"/>
  </rowFields>
  <rowItems count="6">
    <i>
      <x v="33"/>
    </i>
    <i>
      <x v="25"/>
    </i>
    <i>
      <x v="52"/>
    </i>
    <i>
      <x v="12"/>
    </i>
    <i>
      <x v="13"/>
    </i>
    <i t="grand">
      <x/>
    </i>
  </rowItems>
  <colItems count="1">
    <i/>
  </colItems>
  <dataFields count="1">
    <dataField name="Sum of จำนวนประชากรชาย" fld="3" baseField="0" baseItem="0"/>
  </dataFields>
  <formats count="1">
    <format dxfId="118">
      <pivotArea outline="0" collapsedLevelsAreSubtotals="1" fieldPosition="0"/>
    </format>
  </formats>
  <chartFormats count="36">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0"/>
          </reference>
        </references>
      </pivotArea>
    </chartFormat>
    <chartFormat chart="14" format="4">
      <pivotArea type="data" outline="0" fieldPosition="0">
        <references count="2">
          <reference field="4294967294" count="1" selected="0">
            <x v="0"/>
          </reference>
          <reference field="1" count="1" selected="0">
            <x v="5"/>
          </reference>
        </references>
      </pivotArea>
    </chartFormat>
    <chartFormat chart="14" format="5">
      <pivotArea type="data" outline="0" fieldPosition="0">
        <references count="2">
          <reference field="4294967294" count="1" selected="0">
            <x v="0"/>
          </reference>
          <reference field="1" count="1" selected="0">
            <x v="13"/>
          </reference>
        </references>
      </pivotArea>
    </chartFormat>
    <chartFormat chart="14" format="6">
      <pivotArea type="data" outline="0" fieldPosition="0">
        <references count="2">
          <reference field="4294967294" count="1" selected="0">
            <x v="0"/>
          </reference>
          <reference field="1" count="1" selected="0">
            <x v="20"/>
          </reference>
        </references>
      </pivotArea>
    </chartFormat>
    <chartFormat chart="14" format="7">
      <pivotArea type="data" outline="0" fieldPosition="0">
        <references count="2">
          <reference field="4294967294" count="1" selected="0">
            <x v="0"/>
          </reference>
          <reference field="1" count="1" selected="0">
            <x v="76"/>
          </reference>
        </references>
      </pivotArea>
    </chartFormat>
    <chartFormat chart="14" format="8">
      <pivotArea type="data" outline="0" fieldPosition="0">
        <references count="2">
          <reference field="4294967294" count="1" selected="0">
            <x v="0"/>
          </reference>
          <reference field="1" count="1" selected="0">
            <x v="12"/>
          </reference>
        </references>
      </pivotArea>
    </chartFormat>
    <chartFormat chart="14" format="9">
      <pivotArea type="data" outline="0" fieldPosition="0">
        <references count="2">
          <reference field="4294967294" count="1" selected="0">
            <x v="0"/>
          </reference>
          <reference field="1" count="1" selected="0">
            <x v="52"/>
          </reference>
        </references>
      </pivotArea>
    </chartFormat>
    <chartFormat chart="14" format="10">
      <pivotArea type="data" outline="0" fieldPosition="0">
        <references count="2">
          <reference field="4294967294" count="1" selected="0">
            <x v="0"/>
          </reference>
          <reference field="1" count="1" selected="0">
            <x v="25"/>
          </reference>
        </references>
      </pivotArea>
    </chartFormat>
    <chartFormat chart="14" format="11">
      <pivotArea type="data" outline="0" fieldPosition="0">
        <references count="2">
          <reference field="4294967294" count="1" selected="0">
            <x v="0"/>
          </reference>
          <reference field="1" count="1" selected="0">
            <x v="33"/>
          </reference>
        </references>
      </pivotArea>
    </chartFormat>
    <chartFormat chart="14" format="12">
      <pivotArea type="data" outline="0" fieldPosition="0">
        <references count="2">
          <reference field="4294967294" count="1" selected="0">
            <x v="0"/>
          </reference>
          <reference field="1" count="1" selected="0">
            <x v="21"/>
          </reference>
        </references>
      </pivotArea>
    </chartFormat>
    <chartFormat chart="14" format="13">
      <pivotArea type="data" outline="0" fieldPosition="0">
        <references count="2">
          <reference field="4294967294" count="1" selected="0">
            <x v="0"/>
          </reference>
          <reference field="1" count="1" selected="0">
            <x v="57"/>
          </reference>
        </references>
      </pivotArea>
    </chartFormat>
    <chartFormat chart="14" format="14">
      <pivotArea type="data" outline="0" fieldPosition="0">
        <references count="2">
          <reference field="4294967294" count="1" selected="0">
            <x v="0"/>
          </reference>
          <reference field="1" count="1" selected="0">
            <x v="67"/>
          </reference>
        </references>
      </pivotArea>
    </chartFormat>
    <chartFormat chart="14" format="15">
      <pivotArea type="data" outline="0" fieldPosition="0">
        <references count="2">
          <reference field="4294967294" count="1" selected="0">
            <x v="0"/>
          </reference>
          <reference field="1" count="1" selected="0">
            <x v="24"/>
          </reference>
        </references>
      </pivotArea>
    </chartFormat>
    <chartFormat chart="14" format="16">
      <pivotArea type="data" outline="0" fieldPosition="0">
        <references count="2">
          <reference field="4294967294" count="1" selected="0">
            <x v="0"/>
          </reference>
          <reference field="1" count="1" selected="0">
            <x v="31"/>
          </reference>
        </references>
      </pivotArea>
    </chartFormat>
    <chartFormat chart="14" format="17">
      <pivotArea type="data" outline="0" fieldPosition="0">
        <references count="2">
          <reference field="4294967294" count="1" selected="0">
            <x v="0"/>
          </reference>
          <reference field="1" count="1" selected="0">
            <x v="73"/>
          </reference>
        </references>
      </pivotArea>
    </chartFormat>
    <chartFormat chart="14" format="18">
      <pivotArea type="data" outline="0" fieldPosition="0">
        <references count="2">
          <reference field="4294967294" count="1" selected="0">
            <x v="0"/>
          </reference>
          <reference field="1" count="1" selected="0">
            <x v="27"/>
          </reference>
        </references>
      </pivotArea>
    </chartFormat>
    <chartFormat chart="14" format="19">
      <pivotArea type="data" outline="0" fieldPosition="0">
        <references count="2">
          <reference field="4294967294" count="1" selected="0">
            <x v="0"/>
          </reference>
          <reference field="1" count="1" selected="0">
            <x v="30"/>
          </reference>
        </references>
      </pivotArea>
    </chartFormat>
    <chartFormat chart="14" format="20">
      <pivotArea type="data" outline="0" fieldPosition="0">
        <references count="2">
          <reference field="4294967294" count="1" selected="0">
            <x v="0"/>
          </reference>
          <reference field="1" count="1" selected="0">
            <x v="6"/>
          </reference>
        </references>
      </pivotArea>
    </chartFormat>
    <chartFormat chart="14" format="21">
      <pivotArea type="data" outline="0" fieldPosition="0">
        <references count="2">
          <reference field="4294967294" count="1" selected="0">
            <x v="0"/>
          </reference>
          <reference field="1" count="1" selected="0">
            <x v="62"/>
          </reference>
        </references>
      </pivotArea>
    </chartFormat>
    <chartFormat chart="14" format="22">
      <pivotArea type="data" outline="0" fieldPosition="0">
        <references count="2">
          <reference field="4294967294" count="1" selected="0">
            <x v="0"/>
          </reference>
          <reference field="1" count="1" selected="0">
            <x v="7"/>
          </reference>
        </references>
      </pivotArea>
    </chartFormat>
    <chartFormat chart="14" format="23">
      <pivotArea type="data" outline="0" fieldPosition="0">
        <references count="2">
          <reference field="4294967294" count="1" selected="0">
            <x v="0"/>
          </reference>
          <reference field="1" count="1" selected="0">
            <x v="8"/>
          </reference>
        </references>
      </pivotArea>
    </chartFormat>
    <chartFormat chart="14" format="24">
      <pivotArea type="data" outline="0" fieldPosition="0">
        <references count="2">
          <reference field="4294967294" count="1" selected="0">
            <x v="0"/>
          </reference>
          <reference field="1" count="1" selected="0">
            <x v="29"/>
          </reference>
        </references>
      </pivotArea>
    </chartFormat>
    <chartFormat chart="14" format="25">
      <pivotArea type="data" outline="0" fieldPosition="0">
        <references count="2">
          <reference field="4294967294" count="1" selected="0">
            <x v="0"/>
          </reference>
          <reference field="1" count="1" selected="0">
            <x v="16"/>
          </reference>
        </references>
      </pivotArea>
    </chartFormat>
    <chartFormat chart="14" format="26">
      <pivotArea type="data" outline="0" fieldPosition="0">
        <references count="2">
          <reference field="4294967294" count="1" selected="0">
            <x v="0"/>
          </reference>
          <reference field="1" count="1" selected="0">
            <x v="49"/>
          </reference>
        </references>
      </pivotArea>
    </chartFormat>
    <chartFormat chart="14" format="27">
      <pivotArea type="data" outline="0" fieldPosition="0">
        <references count="2">
          <reference field="4294967294" count="1" selected="0">
            <x v="0"/>
          </reference>
          <reference field="1" count="1" selected="0">
            <x v="50"/>
          </reference>
        </references>
      </pivotArea>
    </chartFormat>
    <chartFormat chart="14" format="28">
      <pivotArea type="data" outline="0" fieldPosition="0">
        <references count="2">
          <reference field="4294967294" count="1" selected="0">
            <x v="0"/>
          </reference>
          <reference field="1" count="1" selected="0">
            <x v="2"/>
          </reference>
        </references>
      </pivotArea>
    </chartFormat>
    <chartFormat chart="14" format="29">
      <pivotArea type="data" outline="0" fieldPosition="0">
        <references count="2">
          <reference field="4294967294" count="1" selected="0">
            <x v="0"/>
          </reference>
          <reference field="1" count="1" selected="0">
            <x v="32"/>
          </reference>
        </references>
      </pivotArea>
    </chartFormat>
    <chartFormat chart="14" format="30">
      <pivotArea type="data" outline="0" fieldPosition="0">
        <references count="2">
          <reference field="4294967294" count="1" selected="0">
            <x v="0"/>
          </reference>
          <reference field="1" count="1" selected="0">
            <x v="66"/>
          </reference>
        </references>
      </pivotArea>
    </chartFormat>
    <chartFormat chart="14" format="31">
      <pivotArea type="data" outline="0" fieldPosition="0">
        <references count="2">
          <reference field="4294967294" count="1" selected="0">
            <x v="0"/>
          </reference>
          <reference field="1" count="1" selected="0">
            <x v="37"/>
          </reference>
        </references>
      </pivotArea>
    </chartFormat>
    <chartFormat chart="14" format="32">
      <pivotArea type="data" outline="0" fieldPosition="0">
        <references count="2">
          <reference field="4294967294" count="1" selected="0">
            <x v="0"/>
          </reference>
          <reference field="1" count="1" selected="0">
            <x v="39"/>
          </reference>
        </references>
      </pivotArea>
    </chartFormat>
    <chartFormat chart="14" format="33">
      <pivotArea type="data" outline="0" fieldPosition="0">
        <references count="2">
          <reference field="4294967294" count="1" selected="0">
            <x v="0"/>
          </reference>
          <reference field="1" count="1" selected="0">
            <x v="22"/>
          </reference>
        </references>
      </pivotArea>
    </chartFormat>
    <chartFormat chart="14" format="34">
      <pivotArea type="data" outline="0" fieldPosition="0">
        <references count="2">
          <reference field="4294967294" count="1" selected="0">
            <x v="0"/>
          </reference>
          <reference field="1" count="1" selected="0">
            <x v="59"/>
          </reference>
        </references>
      </pivotArea>
    </chartFormat>
    <chartFormat chart="14" format="35">
      <pivotArea type="data" outline="0" fieldPosition="0">
        <references count="2">
          <reference field="4294967294" count="1" selected="0">
            <x v="0"/>
          </reference>
          <reference field="1" count="1" selected="0">
            <x v="23"/>
          </reference>
        </references>
      </pivotArea>
    </chartFormat>
    <chartFormat chart="14" format="36">
      <pivotArea type="data" outline="0" fieldPosition="0">
        <references count="2">
          <reference field="4294967294" count="1" selected="0">
            <x v="0"/>
          </reference>
          <reference field="1" count="1" selected="0">
            <x v="28"/>
          </reference>
        </references>
      </pivotArea>
    </chartFormat>
    <chartFormat chart="14" format="37">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F7D032-7123-46C8-80E9-BEF6E9E6D0ED}" name="จังหวัดประชากรทั้งหมด"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4:B20" firstHeaderRow="1" firstDataRow="1" firstDataCol="1"/>
  <pivotFields count="8">
    <pivotField showAll="0">
      <items count="8">
        <item h="1" x="0"/>
        <item h="1" x="1"/>
        <item h="1" x="2"/>
        <item h="1" x="3"/>
        <item h="1" x="4"/>
        <item h="1" x="5"/>
        <item x="6"/>
        <item t="default"/>
      </items>
    </pivotField>
    <pivotField axis="axisRow" showAll="0" measureFilter="1" sortType="ascending">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3" showAll="0"/>
    <pivotField numFmtId="3" showAll="0"/>
    <pivotField numFmtId="2" showAll="0"/>
    <pivotField numFmtId="2" showAll="0"/>
  </pivotFields>
  <rowFields count="1">
    <field x="1"/>
  </rowFields>
  <rowItems count="6">
    <i>
      <x v="33"/>
    </i>
    <i>
      <x v="25"/>
    </i>
    <i>
      <x v="52"/>
    </i>
    <i>
      <x v="12"/>
    </i>
    <i>
      <x v="13"/>
    </i>
    <i t="grand">
      <x/>
    </i>
  </rowItems>
  <colItems count="1">
    <i/>
  </colItems>
  <dataFields count="1">
    <dataField name="Sum of จำนวนประชากรทั้งหมด" fld="2" baseField="0" baseItem="0" numFmtId="3"/>
  </dataFields>
  <formats count="1">
    <format dxfId="1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1F579B-4D81-4A50-9A92-1A3540C4ACEB}" name="บ้าน"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0:B36" firstHeaderRow="1" firstDataRow="1" firstDataCol="1"/>
  <pivotFields count="8">
    <pivotField showAll="0">
      <items count="8">
        <item h="1" x="0"/>
        <item h="1" x="1"/>
        <item h="1" x="2"/>
        <item h="1" x="3"/>
        <item h="1" x="4"/>
        <item h="1" x="5"/>
        <item x="6"/>
        <item t="default"/>
      </items>
    </pivotField>
    <pivotField axis="axisRow" showAll="0" measureFilter="1">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pivotField>
    <pivotField numFmtId="3" showAll="0"/>
    <pivotField numFmtId="3" showAll="0"/>
    <pivotField numFmtId="3" showAll="0"/>
    <pivotField dataField="1" numFmtId="3" showAll="0"/>
    <pivotField numFmtId="2" showAll="0"/>
    <pivotField numFmtId="2" showAll="0"/>
  </pivotFields>
  <rowFields count="1">
    <field x="1"/>
  </rowFields>
  <rowItems count="6">
    <i>
      <x v="12"/>
    </i>
    <i>
      <x v="13"/>
    </i>
    <i>
      <x v="33"/>
    </i>
    <i>
      <x v="52"/>
    </i>
    <i>
      <x v="53"/>
    </i>
    <i t="grand">
      <x/>
    </i>
  </rowItems>
  <colItems count="1">
    <i/>
  </colItems>
  <dataFields count="1">
    <dataField name="Sum of จำนวนบ้าน (หลังคาเรือน)" fld="5" baseField="0" baseItem="0"/>
  </dataFields>
  <formats count="1">
    <format dxfId="120">
      <pivotArea outline="0" collapsedLevelsAreSubtotals="1" fieldPosition="0"/>
    </format>
  </formats>
  <chartFormats count="28">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 count="1" selected="0">
            <x v="0"/>
          </reference>
        </references>
      </pivotArea>
    </chartFormat>
    <chartFormat chart="11" format="9">
      <pivotArea type="data" outline="0" fieldPosition="0">
        <references count="2">
          <reference field="4294967294" count="1" selected="0">
            <x v="0"/>
          </reference>
          <reference field="1" count="1" selected="0">
            <x v="8"/>
          </reference>
        </references>
      </pivotArea>
    </chartFormat>
    <chartFormat chart="11" format="10">
      <pivotArea type="data" outline="0" fieldPosition="0">
        <references count="2">
          <reference field="4294967294" count="1" selected="0">
            <x v="0"/>
          </reference>
          <reference field="1" count="1" selected="0">
            <x v="13"/>
          </reference>
        </references>
      </pivotArea>
    </chartFormat>
    <chartFormat chart="11" format="11">
      <pivotArea type="data" outline="0" fieldPosition="0">
        <references count="2">
          <reference field="4294967294" count="1" selected="0">
            <x v="0"/>
          </reference>
          <reference field="1" count="1" selected="0">
            <x v="20"/>
          </reference>
        </references>
      </pivotArea>
    </chartFormat>
    <chartFormat chart="11" format="12">
      <pivotArea type="data" outline="0" fieldPosition="0">
        <references count="2">
          <reference field="4294967294" count="1" selected="0">
            <x v="0"/>
          </reference>
          <reference field="1" count="1" selected="0">
            <x v="59"/>
          </reference>
        </references>
      </pivotArea>
    </chartFormat>
    <chartFormat chart="11" format="13">
      <pivotArea type="data" outline="0" fieldPosition="0">
        <references count="2">
          <reference field="4294967294" count="1" selected="0">
            <x v="0"/>
          </reference>
          <reference field="1" count="1" selected="0">
            <x v="18"/>
          </reference>
        </references>
      </pivotArea>
    </chartFormat>
    <chartFormat chart="11" format="14">
      <pivotArea type="data" outline="0" fieldPosition="0">
        <references count="2">
          <reference field="4294967294" count="1" selected="0">
            <x v="0"/>
          </reference>
          <reference field="1" count="1" selected="0">
            <x v="22"/>
          </reference>
        </references>
      </pivotArea>
    </chartFormat>
    <chartFormat chart="11" format="15">
      <pivotArea type="data" outline="0" fieldPosition="0">
        <references count="2">
          <reference field="4294967294" count="1" selected="0">
            <x v="0"/>
          </reference>
          <reference field="1" count="1" selected="0">
            <x v="66"/>
          </reference>
        </references>
      </pivotArea>
    </chartFormat>
    <chartFormat chart="11" format="16">
      <pivotArea type="data" outline="0" fieldPosition="0">
        <references count="2">
          <reference field="4294967294" count="1" selected="0">
            <x v="0"/>
          </reference>
          <reference field="1" count="1" selected="0">
            <x v="50"/>
          </reference>
        </references>
      </pivotArea>
    </chartFormat>
    <chartFormat chart="11" format="17">
      <pivotArea type="data" outline="0" fieldPosition="0">
        <references count="2">
          <reference field="4294967294" count="1" selected="0">
            <x v="0"/>
          </reference>
          <reference field="1" count="1" selected="0">
            <x v="2"/>
          </reference>
        </references>
      </pivotArea>
    </chartFormat>
    <chartFormat chart="11" format="18">
      <pivotArea type="data" outline="0" fieldPosition="0">
        <references count="2">
          <reference field="4294967294" count="1" selected="0">
            <x v="0"/>
          </reference>
          <reference field="1" count="1" selected="0">
            <x v="16"/>
          </reference>
        </references>
      </pivotArea>
    </chartFormat>
    <chartFormat chart="11" format="19">
      <pivotArea type="data" outline="0" fieldPosition="0">
        <references count="2">
          <reference field="4294967294" count="1" selected="0">
            <x v="0"/>
          </reference>
          <reference field="1" count="1" selected="0">
            <x v="29"/>
          </reference>
        </references>
      </pivotArea>
    </chartFormat>
    <chartFormat chart="11" format="20">
      <pivotArea type="data" outline="0" fieldPosition="0">
        <references count="2">
          <reference field="4294967294" count="1" selected="0">
            <x v="0"/>
          </reference>
          <reference field="1" count="1" selected="0">
            <x v="49"/>
          </reference>
        </references>
      </pivotArea>
    </chartFormat>
    <chartFormat chart="11" format="21">
      <pivotArea type="data" outline="0" fieldPosition="0">
        <references count="2">
          <reference field="4294967294" count="1" selected="0">
            <x v="0"/>
          </reference>
          <reference field="1" count="1" selected="0">
            <x v="62"/>
          </reference>
        </references>
      </pivotArea>
    </chartFormat>
    <chartFormat chart="11" format="22">
      <pivotArea type="data" outline="0" fieldPosition="0">
        <references count="2">
          <reference field="4294967294" count="1" selected="0">
            <x v="0"/>
          </reference>
          <reference field="1" count="1" selected="0">
            <x v="6"/>
          </reference>
        </references>
      </pivotArea>
    </chartFormat>
    <chartFormat chart="11" format="23">
      <pivotArea type="data" outline="0" fieldPosition="0">
        <references count="2">
          <reference field="4294967294" count="1" selected="0">
            <x v="0"/>
          </reference>
          <reference field="1" count="1" selected="0">
            <x v="7"/>
          </reference>
        </references>
      </pivotArea>
    </chartFormat>
    <chartFormat chart="11" format="24">
      <pivotArea type="data" outline="0" fieldPosition="0">
        <references count="2">
          <reference field="4294967294" count="1" selected="0">
            <x v="0"/>
          </reference>
          <reference field="1" count="1" selected="0">
            <x v="27"/>
          </reference>
        </references>
      </pivotArea>
    </chartFormat>
    <chartFormat chart="11" format="24">
      <pivotArea type="data" outline="0" fieldPosition="0">
        <references count="2">
          <reference field="4294967294" count="1" selected="0">
            <x v="0"/>
          </reference>
          <reference field="1" count="1" selected="0">
            <x v="5"/>
          </reference>
        </references>
      </pivotArea>
    </chartFormat>
    <chartFormat chart="11" format="25">
      <pivotArea type="data" outline="0" fieldPosition="0">
        <references count="2">
          <reference field="4294967294" count="1" selected="0">
            <x v="0"/>
          </reference>
          <reference field="1" count="1" selected="0">
            <x v="73"/>
          </reference>
        </references>
      </pivotArea>
    </chartFormat>
    <chartFormat chart="11" format="26">
      <pivotArea type="data" outline="0" fieldPosition="0">
        <references count="2">
          <reference field="4294967294" count="1" selected="0">
            <x v="0"/>
          </reference>
          <reference field="1" count="1" selected="0">
            <x v="11"/>
          </reference>
        </references>
      </pivotArea>
    </chartFormat>
    <chartFormat chart="11" format="27">
      <pivotArea type="data" outline="0" fieldPosition="0">
        <references count="2">
          <reference field="4294967294" count="1" selected="0">
            <x v="0"/>
          </reference>
          <reference field="1" count="1" selected="0">
            <x v="67"/>
          </reference>
        </references>
      </pivotArea>
    </chartFormat>
    <chartFormat chart="11" format="28">
      <pivotArea type="data" outline="0" fieldPosition="0">
        <references count="2">
          <reference field="4294967294" count="1" selected="0">
            <x v="0"/>
          </reference>
          <reference field="1" count="1" selected="0">
            <x v="57"/>
          </reference>
        </references>
      </pivotArea>
    </chartFormat>
    <chartFormat chart="11" format="29">
      <pivotArea type="data" outline="0" fieldPosition="0">
        <references count="2">
          <reference field="4294967294" count="1" selected="0">
            <x v="0"/>
          </reference>
          <reference field="1" count="1" selected="0">
            <x v="41"/>
          </reference>
        </references>
      </pivotArea>
    </chartFormat>
    <chartFormat chart="11" format="30">
      <pivotArea type="data" outline="0" fieldPosition="0">
        <references count="2">
          <reference field="4294967294" count="1" selected="0">
            <x v="0"/>
          </reference>
          <reference field="1" count="1" selected="0">
            <x v="53"/>
          </reference>
        </references>
      </pivotArea>
    </chartFormat>
    <chartFormat chart="11" format="31">
      <pivotArea type="data" outline="0" fieldPosition="0">
        <references count="2">
          <reference field="4294967294" count="1" selected="0">
            <x v="0"/>
          </reference>
          <reference field="1" count="1" selected="0">
            <x v="12"/>
          </reference>
        </references>
      </pivotArea>
    </chartFormat>
    <chartFormat chart="11" format="32">
      <pivotArea type="data" outline="0" fieldPosition="0">
        <references count="2">
          <reference field="4294967294" count="1" selected="0">
            <x v="0"/>
          </reference>
          <reference field="1" count="1" selected="0">
            <x v="33"/>
          </reference>
        </references>
      </pivotArea>
    </chartFormat>
    <chartFormat chart="11" format="33">
      <pivotArea type="data" outline="0" fieldPosition="0">
        <references count="2">
          <reference field="4294967294" count="1" selected="0">
            <x v="0"/>
          </reference>
          <reference field="1" count="1" selected="0">
            <x v="52"/>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9470D6-208E-491A-801F-DFB06F79DB0E}"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46:B52" firstHeaderRow="1" firstDataRow="1" firstDataCol="1"/>
  <pivotFields count="8">
    <pivotField showAll="0">
      <items count="8">
        <item h="1" x="0"/>
        <item h="1" x="1"/>
        <item h="1" x="2"/>
        <item h="1" x="3"/>
        <item h="1" x="4"/>
        <item h="1" x="5"/>
        <item x="6"/>
        <item t="default"/>
      </items>
    </pivotField>
    <pivotField axis="axisRow" showAll="0" measureFilter="1" sortType="ascending">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autoSortScope>
        <pivotArea dataOnly="0" outline="0" fieldPosition="0">
          <references count="1">
            <reference field="4294967294" count="1" selected="0">
              <x v="0"/>
            </reference>
          </references>
        </pivotArea>
      </autoSortScope>
    </pivotField>
    <pivotField numFmtId="3" showAll="0"/>
    <pivotField numFmtId="3" showAll="0"/>
    <pivotField dataField="1" numFmtId="3" showAll="0"/>
    <pivotField numFmtId="3" showAll="0"/>
    <pivotField numFmtId="2" showAll="0"/>
    <pivotField numFmtId="2" showAll="0"/>
  </pivotFields>
  <rowFields count="1">
    <field x="1"/>
  </rowFields>
  <rowItems count="6">
    <i>
      <x v="33"/>
    </i>
    <i>
      <x v="25"/>
    </i>
    <i>
      <x v="52"/>
    </i>
    <i>
      <x v="12"/>
    </i>
    <i>
      <x v="13"/>
    </i>
    <i t="grand">
      <x/>
    </i>
  </rowItems>
  <colItems count="1">
    <i/>
  </colItems>
  <dataFields count="1">
    <dataField name="Sum of จำนวนประชากรหญิง" fld="4" baseField="0" baseItem="0"/>
  </dataFields>
  <formats count="1">
    <format dxfId="121">
      <pivotArea outline="0" collapsedLevelsAreSubtotals="1" fieldPosition="0"/>
    </format>
  </formats>
  <chartFormats count="36">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 count="1" selected="0">
            <x v="5"/>
          </reference>
        </references>
      </pivotArea>
    </chartFormat>
    <chartFormat chart="17" format="14">
      <pivotArea type="data" outline="0" fieldPosition="0">
        <references count="2">
          <reference field="4294967294" count="1" selected="0">
            <x v="0"/>
          </reference>
          <reference field="1" count="1" selected="0">
            <x v="13"/>
          </reference>
        </references>
      </pivotArea>
    </chartFormat>
    <chartFormat chart="17" format="15">
      <pivotArea type="data" outline="0" fieldPosition="0">
        <references count="2">
          <reference field="4294967294" count="1" selected="0">
            <x v="0"/>
          </reference>
          <reference field="1" count="1" selected="0">
            <x v="76"/>
          </reference>
        </references>
      </pivotArea>
    </chartFormat>
    <chartFormat chart="17" format="16">
      <pivotArea type="data" outline="0" fieldPosition="0">
        <references count="2">
          <reference field="4294967294" count="1" selected="0">
            <x v="0"/>
          </reference>
          <reference field="1" count="1" selected="0">
            <x v="20"/>
          </reference>
        </references>
      </pivotArea>
    </chartFormat>
    <chartFormat chart="17" format="17">
      <pivotArea type="data" outline="0" fieldPosition="0">
        <references count="2">
          <reference field="4294967294" count="1" selected="0">
            <x v="0"/>
          </reference>
          <reference field="1" count="1" selected="0">
            <x v="0"/>
          </reference>
        </references>
      </pivotArea>
    </chartFormat>
    <chartFormat chart="17" format="18">
      <pivotArea type="data" outline="0" fieldPosition="0">
        <references count="2">
          <reference field="4294967294" count="1" selected="0">
            <x v="0"/>
          </reference>
          <reference field="1" count="1" selected="0">
            <x v="12"/>
          </reference>
        </references>
      </pivotArea>
    </chartFormat>
    <chartFormat chart="17" format="19">
      <pivotArea type="data" outline="0" fieldPosition="0">
        <references count="2">
          <reference field="4294967294" count="1" selected="0">
            <x v="0"/>
          </reference>
          <reference field="1" count="1" selected="0">
            <x v="52"/>
          </reference>
        </references>
      </pivotArea>
    </chartFormat>
    <chartFormat chart="17" format="20">
      <pivotArea type="data" outline="0" fieldPosition="0">
        <references count="2">
          <reference field="4294967294" count="1" selected="0">
            <x v="0"/>
          </reference>
          <reference field="1" count="1" selected="0">
            <x v="25"/>
          </reference>
        </references>
      </pivotArea>
    </chartFormat>
    <chartFormat chart="17" format="21">
      <pivotArea type="data" outline="0" fieldPosition="0">
        <references count="2">
          <reference field="4294967294" count="1" selected="0">
            <x v="0"/>
          </reference>
          <reference field="1" count="1" selected="0">
            <x v="33"/>
          </reference>
        </references>
      </pivotArea>
    </chartFormat>
    <chartFormat chart="17" format="22">
      <pivotArea type="data" outline="0" fieldPosition="0">
        <references count="2">
          <reference field="4294967294" count="1" selected="0">
            <x v="0"/>
          </reference>
          <reference field="1" count="1" selected="0">
            <x v="31"/>
          </reference>
        </references>
      </pivotArea>
    </chartFormat>
    <chartFormat chart="17" format="23">
      <pivotArea type="data" outline="0" fieldPosition="0">
        <references count="2">
          <reference field="4294967294" count="1" selected="0">
            <x v="0"/>
          </reference>
          <reference field="1" count="1" selected="0">
            <x v="24"/>
          </reference>
        </references>
      </pivotArea>
    </chartFormat>
    <chartFormat chart="17" format="24">
      <pivotArea type="data" outline="0" fieldPosition="0">
        <references count="2">
          <reference field="4294967294" count="1" selected="0">
            <x v="0"/>
          </reference>
          <reference field="1" count="1" selected="0">
            <x v="67"/>
          </reference>
        </references>
      </pivotArea>
    </chartFormat>
    <chartFormat chart="17" format="25">
      <pivotArea type="data" outline="0" fieldPosition="0">
        <references count="2">
          <reference field="4294967294" count="1" selected="0">
            <x v="0"/>
          </reference>
          <reference field="1" count="1" selected="0">
            <x v="57"/>
          </reference>
        </references>
      </pivotArea>
    </chartFormat>
    <chartFormat chart="17" format="26">
      <pivotArea type="data" outline="0" fieldPosition="0">
        <references count="2">
          <reference field="4294967294" count="1" selected="0">
            <x v="0"/>
          </reference>
          <reference field="1" count="1" selected="0">
            <x v="21"/>
          </reference>
        </references>
      </pivotArea>
    </chartFormat>
    <chartFormat chart="17" format="27">
      <pivotArea type="data" outline="0" fieldPosition="0">
        <references count="2">
          <reference field="4294967294" count="1" selected="0">
            <x v="0"/>
          </reference>
          <reference field="1" count="1" selected="0">
            <x v="27"/>
          </reference>
        </references>
      </pivotArea>
    </chartFormat>
    <chartFormat chart="17" format="28">
      <pivotArea type="data" outline="0" fieldPosition="0">
        <references count="2">
          <reference field="4294967294" count="1" selected="0">
            <x v="0"/>
          </reference>
          <reference field="1" count="1" selected="0">
            <x v="73"/>
          </reference>
        </references>
      </pivotArea>
    </chartFormat>
    <chartFormat chart="17" format="29">
      <pivotArea type="data" outline="0" fieldPosition="0">
        <references count="2">
          <reference field="4294967294" count="1" selected="0">
            <x v="0"/>
          </reference>
          <reference field="1" count="1" selected="0">
            <x v="8"/>
          </reference>
        </references>
      </pivotArea>
    </chartFormat>
    <chartFormat chart="17" format="30">
      <pivotArea type="data" outline="0" fieldPosition="0">
        <references count="2">
          <reference field="4294967294" count="1" selected="0">
            <x v="0"/>
          </reference>
          <reference field="1" count="1" selected="0">
            <x v="7"/>
          </reference>
        </references>
      </pivotArea>
    </chartFormat>
    <chartFormat chart="17" format="31">
      <pivotArea type="data" outline="0" fieldPosition="0">
        <references count="2">
          <reference field="4294967294" count="1" selected="0">
            <x v="0"/>
          </reference>
          <reference field="1" count="1" selected="0">
            <x v="62"/>
          </reference>
        </references>
      </pivotArea>
    </chartFormat>
    <chartFormat chart="17" format="32">
      <pivotArea type="data" outline="0" fieldPosition="0">
        <references count="2">
          <reference field="4294967294" count="1" selected="0">
            <x v="0"/>
          </reference>
          <reference field="1" count="1" selected="0">
            <x v="6"/>
          </reference>
        </references>
      </pivotArea>
    </chartFormat>
    <chartFormat chart="17" format="33">
      <pivotArea type="data" outline="0" fieldPosition="0">
        <references count="2">
          <reference field="4294967294" count="1" selected="0">
            <x v="0"/>
          </reference>
          <reference field="1" count="1" selected="0">
            <x v="30"/>
          </reference>
        </references>
      </pivotArea>
    </chartFormat>
    <chartFormat chart="17" format="34">
      <pivotArea type="data" outline="0" fieldPosition="0">
        <references count="2">
          <reference field="4294967294" count="1" selected="0">
            <x v="0"/>
          </reference>
          <reference field="1" count="1" selected="0">
            <x v="2"/>
          </reference>
        </references>
      </pivotArea>
    </chartFormat>
    <chartFormat chart="17" format="35">
      <pivotArea type="data" outline="0" fieldPosition="0">
        <references count="2">
          <reference field="4294967294" count="1" selected="0">
            <x v="0"/>
          </reference>
          <reference field="1" count="1" selected="0">
            <x v="50"/>
          </reference>
        </references>
      </pivotArea>
    </chartFormat>
    <chartFormat chart="17" format="36">
      <pivotArea type="data" outline="0" fieldPosition="0">
        <references count="2">
          <reference field="4294967294" count="1" selected="0">
            <x v="0"/>
          </reference>
          <reference field="1" count="1" selected="0">
            <x v="49"/>
          </reference>
        </references>
      </pivotArea>
    </chartFormat>
    <chartFormat chart="17" format="37">
      <pivotArea type="data" outline="0" fieldPosition="0">
        <references count="2">
          <reference field="4294967294" count="1" selected="0">
            <x v="0"/>
          </reference>
          <reference field="1" count="1" selected="0">
            <x v="16"/>
          </reference>
        </references>
      </pivotArea>
    </chartFormat>
    <chartFormat chart="17" format="38">
      <pivotArea type="data" outline="0" fieldPosition="0">
        <references count="2">
          <reference field="4294967294" count="1" selected="0">
            <x v="0"/>
          </reference>
          <reference field="1" count="1" selected="0">
            <x v="29"/>
          </reference>
        </references>
      </pivotArea>
    </chartFormat>
    <chartFormat chart="17" format="39">
      <pivotArea type="data" outline="0" fieldPosition="0">
        <references count="2">
          <reference field="4294967294" count="1" selected="0">
            <x v="0"/>
          </reference>
          <reference field="1" count="1" selected="0">
            <x v="22"/>
          </reference>
        </references>
      </pivotArea>
    </chartFormat>
    <chartFormat chart="17" format="40">
      <pivotArea type="data" outline="0" fieldPosition="0">
        <references count="2">
          <reference field="4294967294" count="1" selected="0">
            <x v="0"/>
          </reference>
          <reference field="1" count="1" selected="0">
            <x v="39"/>
          </reference>
        </references>
      </pivotArea>
    </chartFormat>
    <chartFormat chart="17" format="41">
      <pivotArea type="data" outline="0" fieldPosition="0">
        <references count="2">
          <reference field="4294967294" count="1" selected="0">
            <x v="0"/>
          </reference>
          <reference field="1" count="1" selected="0">
            <x v="37"/>
          </reference>
        </references>
      </pivotArea>
    </chartFormat>
    <chartFormat chart="17" format="42">
      <pivotArea type="data" outline="0" fieldPosition="0">
        <references count="2">
          <reference field="4294967294" count="1" selected="0">
            <x v="0"/>
          </reference>
          <reference field="1" count="1" selected="0">
            <x v="32"/>
          </reference>
        </references>
      </pivotArea>
    </chartFormat>
    <chartFormat chart="17" format="43">
      <pivotArea type="data" outline="0" fieldPosition="0">
        <references count="2">
          <reference field="4294967294" count="1" selected="0">
            <x v="0"/>
          </reference>
          <reference field="1" count="1" selected="0">
            <x v="66"/>
          </reference>
        </references>
      </pivotArea>
    </chartFormat>
    <chartFormat chart="17" format="44">
      <pivotArea type="data" outline="0" fieldPosition="0">
        <references count="2">
          <reference field="4294967294" count="1" selected="0">
            <x v="0"/>
          </reference>
          <reference field="1" count="1" selected="0">
            <x v="59"/>
          </reference>
        </references>
      </pivotArea>
    </chartFormat>
    <chartFormat chart="17" format="45">
      <pivotArea type="data" outline="0" fieldPosition="0">
        <references count="2">
          <reference field="4294967294" count="1" selected="0">
            <x v="0"/>
          </reference>
          <reference field="1" count="1" selected="0">
            <x v="23"/>
          </reference>
        </references>
      </pivotArea>
    </chartFormat>
    <chartFormat chart="17" format="46">
      <pivotArea type="data" outline="0" fieldPosition="0">
        <references count="2">
          <reference field="4294967294" count="1" selected="0">
            <x v="0"/>
          </reference>
          <reference field="1" count="1" selected="0">
            <x v="28"/>
          </reference>
        </references>
      </pivotArea>
    </chartFormat>
    <chartFormat chart="17" format="47">
      <pivotArea type="data" outline="0" fieldPosition="0">
        <references count="2">
          <reference field="4294967294" count="1" selected="0">
            <x v="0"/>
          </reference>
          <reference field="1" count="1" selected="0">
            <x v="18"/>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05BEB-6FAF-476A-98C3-CF391F147490}" name="จังหวัดประชารกรน้อย"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2:B28" firstHeaderRow="1" firstDataRow="1" firstDataCol="1"/>
  <pivotFields count="8">
    <pivotField showAll="0">
      <items count="8">
        <item h="1" x="0"/>
        <item h="1" x="1"/>
        <item h="1" x="2"/>
        <item h="1" x="3"/>
        <item h="1" x="4"/>
        <item h="1" x="5"/>
        <item x="6"/>
        <item t="default"/>
      </items>
    </pivotField>
    <pivotField axis="axisRow" showAll="0" measureFilter="1" sortType="descending">
      <items count="78">
        <item x="0"/>
        <item x="54"/>
        <item x="22"/>
        <item x="34"/>
        <item x="6"/>
        <item x="35"/>
        <item x="28"/>
        <item x="29"/>
        <item x="30"/>
        <item x="7"/>
        <item x="36"/>
        <item x="55"/>
        <item x="68"/>
        <item x="69"/>
        <item x="56"/>
        <item x="31"/>
        <item x="23"/>
        <item x="8"/>
        <item x="1"/>
        <item x="37"/>
        <item x="38"/>
        <item x="57"/>
        <item x="9"/>
        <item x="2"/>
        <item x="58"/>
        <item x="70"/>
        <item x="39"/>
        <item x="40"/>
        <item x="3"/>
        <item x="24"/>
        <item x="32"/>
        <item x="59"/>
        <item x="10"/>
        <item x="71"/>
        <item x="60"/>
        <item x="61"/>
        <item x="11"/>
        <item x="12"/>
        <item x="25"/>
        <item x="13"/>
        <item x="72"/>
        <item x="62"/>
        <item x="41"/>
        <item x="42"/>
        <item x="73"/>
        <item x="43"/>
        <item x="63"/>
        <item x="44"/>
        <item x="64"/>
        <item x="27"/>
        <item x="26"/>
        <item x="14"/>
        <item x="74"/>
        <item x="75"/>
        <item x="45"/>
        <item x="46"/>
        <item x="47"/>
        <item x="65"/>
        <item x="66"/>
        <item x="4"/>
        <item x="15"/>
        <item x="5"/>
        <item x="33"/>
        <item x="16"/>
        <item x="17"/>
        <item x="18"/>
        <item x="19"/>
        <item x="67"/>
        <item x="48"/>
        <item x="49"/>
        <item x="50"/>
        <item x="20"/>
        <item x="51"/>
        <item x="52"/>
        <item x="76"/>
        <item x="21"/>
        <item x="53"/>
        <item t="default"/>
      </items>
      <autoSortScope>
        <pivotArea dataOnly="0" outline="0" fieldPosition="0">
          <references count="1">
            <reference field="4294967294" count="1" selected="0">
              <x v="0"/>
            </reference>
          </references>
        </pivotArea>
      </autoSortScope>
    </pivotField>
    <pivotField dataField="1" numFmtId="3" showAll="0"/>
    <pivotField numFmtId="3" showAll="0"/>
    <pivotField numFmtId="3" showAll="0"/>
    <pivotField numFmtId="3" showAll="0"/>
    <pivotField numFmtId="2" showAll="0"/>
    <pivotField numFmtId="2" showAll="0"/>
  </pivotFields>
  <rowFields count="1">
    <field x="1"/>
  </rowFields>
  <rowItems count="6">
    <i>
      <x v="33"/>
    </i>
    <i>
      <x v="74"/>
    </i>
    <i>
      <x v="40"/>
    </i>
    <i>
      <x v="53"/>
    </i>
    <i>
      <x v="44"/>
    </i>
    <i t="grand">
      <x/>
    </i>
  </rowItems>
  <colItems count="1">
    <i/>
  </colItems>
  <dataFields count="1">
    <dataField name="Sum of จำนวนประชากรทั้งหมด" fld="2" baseField="0" baseItem="0" numFmtId="3"/>
  </dataFields>
  <formats count="1">
    <format dxfId="12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7EF3BB2-356D-4583-BFA0-92E2CCCECC0B}" autoFormatId="16" applyNumberFormats="0" applyBorderFormats="0" applyFontFormats="0" applyPatternFormats="0" applyAlignmentFormats="0" applyWidthHeightFormats="0">
  <queryTableRefresh nextId="15">
    <queryTableFields count="7">
      <queryTableField id="1" name="Column1" tableColumnId="1"/>
      <queryTableField id="2" name="Column2" tableColumnId="2"/>
      <queryTableField id="3" name="Column3" tableColumnId="3"/>
      <queryTableField id="10" name="Column10" tableColumnId="10"/>
      <queryTableField id="11" name="Column11" tableColumnId="11"/>
      <queryTableField id="12" name="Column12" tableColumnId="12"/>
      <queryTableField id="13" name="Column13" tableColumnId="13"/>
    </queryTableFields>
    <queryTableDeletedFields count="7">
      <deletedField name="Column4"/>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1" xr10:uid="{BF5BCD52-0180-478D-829E-118B1C876E94}" sourceName="ภูมิภาค">
  <pivotTables>
    <pivotTable tabId="35" name="จังหวัดประชากรทั้งหมด"/>
    <pivotTable tabId="35" name="PivotTable3"/>
    <pivotTable tabId="35" name="PivotTable7"/>
    <pivotTable tabId="35" name="จังหวัดประชารกรน้อย"/>
    <pivotTable tabId="35" name="ชาย"/>
    <pivotTable tabId="35" name="บ้าน"/>
    <pivotTable tabId="35" name="PivotTable8"/>
  </pivotTables>
  <data>
    <tabular pivotCacheId="1082135647">
      <items count="7">
        <i x="0"/>
        <i x="1"/>
        <i x="2"/>
        <i x="3"/>
        <i x="4"/>
        <i x="5"/>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1" xr10:uid="{525685CD-CA5A-4B98-BAF4-B0BA574608FF}" cache="Slicer_ภูมิภาค1" caption="ภูมิภาค"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6923AD-8654-462D-A6C1-CF6E6AF09F7B}" name="population_2568A" displayName="population_2568A" ref="A1:G80" tableType="queryTable" totalsRowShown="0">
  <tableColumns count="7">
    <tableColumn id="1" xr3:uid="{D826D57C-7AB0-4C5A-8518-6C01C2650C3D}" uniqueName="1" name="Column1" queryTableFieldId="1"/>
    <tableColumn id="2" xr3:uid="{3331A8D3-48DB-492C-A1E6-5DA109AC5774}" uniqueName="2" name="Column2" queryTableFieldId="2"/>
    <tableColumn id="3" xr3:uid="{46BB42D4-EC07-4746-8C1B-5682A5F106BA}" uniqueName="3" name="Column3" queryTableFieldId="3" dataDxfId="108"/>
    <tableColumn id="10" xr3:uid="{3A1AA80C-E268-44A7-A514-F0C35D361B84}" uniqueName="10" name="Column10" queryTableFieldId="10"/>
    <tableColumn id="11" xr3:uid="{AD06883A-E440-424B-BB45-6C57AD5F0B2D}" uniqueName="11" name="Column11" queryTableFieldId="11"/>
    <tableColumn id="12" xr3:uid="{EB4392E1-67F2-4AA5-9949-3ABD3A726FE6}" uniqueName="12" name="Column12" queryTableFieldId="12"/>
    <tableColumn id="13" xr3:uid="{E3BA77E3-2429-49D6-B139-1C3EB448443C}" uniqueName="13" name="Column13"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F1" sqref="F1"/>
    </sheetView>
  </sheetViews>
  <sheetFormatPr defaultRowHeight="14.25" x14ac:dyDescent="0.2"/>
  <cols>
    <col min="2" max="2" width="17.875" customWidth="1"/>
    <col min="3" max="3" width="19.25" bestFit="1" customWidth="1"/>
    <col min="4" max="4" width="20.25" bestFit="1" customWidth="1"/>
    <col min="5" max="5" width="6" bestFit="1" customWidth="1"/>
  </cols>
  <sheetData>
    <row r="1" spans="1:5" x14ac:dyDescent="0.2">
      <c r="A1" t="s">
        <v>13</v>
      </c>
      <c r="B1" t="s">
        <v>14</v>
      </c>
      <c r="C1" t="s">
        <v>15</v>
      </c>
      <c r="D1" t="s">
        <v>16</v>
      </c>
      <c r="E1" t="s">
        <v>17</v>
      </c>
    </row>
    <row r="2" spans="1:5" x14ac:dyDescent="0.2">
      <c r="A2" s="8" t="s">
        <v>18</v>
      </c>
      <c r="B2" s="8" t="s">
        <v>19</v>
      </c>
      <c r="C2" s="8" t="s">
        <v>20</v>
      </c>
      <c r="D2" s="8" t="s">
        <v>21</v>
      </c>
      <c r="E2" s="8" t="s">
        <v>22</v>
      </c>
    </row>
    <row r="3" spans="1:5" x14ac:dyDescent="0.2">
      <c r="A3" s="8" t="s">
        <v>23</v>
      </c>
      <c r="B3" s="8" t="s">
        <v>24</v>
      </c>
      <c r="C3" s="8" t="s">
        <v>25</v>
      </c>
      <c r="D3" s="8" t="s">
        <v>26</v>
      </c>
      <c r="E3" s="8" t="s">
        <v>22</v>
      </c>
    </row>
    <row r="4" spans="1:5" x14ac:dyDescent="0.2">
      <c r="A4" s="8" t="s">
        <v>27</v>
      </c>
      <c r="B4" s="8" t="s">
        <v>28</v>
      </c>
      <c r="C4" s="8" t="s">
        <v>29</v>
      </c>
      <c r="D4" s="8" t="s">
        <v>30</v>
      </c>
      <c r="E4" s="8" t="s">
        <v>22</v>
      </c>
    </row>
    <row r="5" spans="1:5" x14ac:dyDescent="0.2">
      <c r="A5" s="8" t="s">
        <v>31</v>
      </c>
      <c r="B5" s="8" t="s">
        <v>32</v>
      </c>
      <c r="C5" s="8" t="s">
        <v>33</v>
      </c>
      <c r="D5" s="8" t="s">
        <v>34</v>
      </c>
      <c r="E5" s="8" t="s">
        <v>22</v>
      </c>
    </row>
    <row r="6" spans="1:5" x14ac:dyDescent="0.2">
      <c r="A6" s="8" t="s">
        <v>35</v>
      </c>
      <c r="B6" s="8" t="s">
        <v>36</v>
      </c>
      <c r="C6" s="8" t="s">
        <v>37</v>
      </c>
      <c r="D6" s="8" t="s">
        <v>38</v>
      </c>
      <c r="E6" s="8" t="s">
        <v>22</v>
      </c>
    </row>
    <row r="7" spans="1:5" x14ac:dyDescent="0.2">
      <c r="A7" s="8" t="s">
        <v>39</v>
      </c>
      <c r="B7" s="8" t="s">
        <v>40</v>
      </c>
      <c r="C7" s="8" t="s">
        <v>41</v>
      </c>
      <c r="D7" s="8" t="s">
        <v>42</v>
      </c>
      <c r="E7" s="8" t="s">
        <v>22</v>
      </c>
    </row>
    <row r="8" spans="1:5" x14ac:dyDescent="0.2">
      <c r="A8" s="8" t="s">
        <v>43</v>
      </c>
      <c r="B8" s="8" t="s">
        <v>44</v>
      </c>
      <c r="C8" s="8" t="s">
        <v>45</v>
      </c>
      <c r="D8" s="8" t="s">
        <v>46</v>
      </c>
      <c r="E8" s="8" t="s">
        <v>22</v>
      </c>
    </row>
    <row r="9" spans="1:5" x14ac:dyDescent="0.2">
      <c r="A9" s="8" t="s">
        <v>47</v>
      </c>
      <c r="B9" s="8" t="s">
        <v>48</v>
      </c>
      <c r="C9" s="8" t="s">
        <v>49</v>
      </c>
      <c r="D9" s="8" t="s">
        <v>50</v>
      </c>
      <c r="E9" s="8" t="s">
        <v>22</v>
      </c>
    </row>
    <row r="10" spans="1:5" x14ac:dyDescent="0.2">
      <c r="A10" s="8" t="s">
        <v>51</v>
      </c>
      <c r="B10" s="8" t="s">
        <v>52</v>
      </c>
      <c r="C10" s="8" t="s">
        <v>53</v>
      </c>
      <c r="D10" s="8" t="s">
        <v>54</v>
      </c>
      <c r="E10" s="8" t="s">
        <v>22</v>
      </c>
    </row>
    <row r="11" spans="1:5" x14ac:dyDescent="0.2">
      <c r="A11" s="8" t="s">
        <v>55</v>
      </c>
      <c r="B11" s="8" t="s">
        <v>56</v>
      </c>
      <c r="C11" s="8" t="s">
        <v>57</v>
      </c>
      <c r="D11" s="8" t="s">
        <v>58</v>
      </c>
      <c r="E11" s="8" t="s">
        <v>22</v>
      </c>
    </row>
    <row r="12" spans="1:5" x14ac:dyDescent="0.2">
      <c r="A12" s="8" t="s">
        <v>59</v>
      </c>
      <c r="B12" s="8" t="s">
        <v>60</v>
      </c>
      <c r="C12" s="8" t="s">
        <v>61</v>
      </c>
      <c r="D12" s="8" t="s">
        <v>62</v>
      </c>
      <c r="E12" s="8" t="s">
        <v>22</v>
      </c>
    </row>
    <row r="13" spans="1:5" x14ac:dyDescent="0.2">
      <c r="A13" s="8" t="s">
        <v>63</v>
      </c>
      <c r="B13" s="8" t="s">
        <v>64</v>
      </c>
      <c r="C13" s="8" t="s">
        <v>65</v>
      </c>
      <c r="D13" s="8" t="s">
        <v>66</v>
      </c>
      <c r="E13" s="8" t="s">
        <v>22</v>
      </c>
    </row>
    <row r="14" spans="1:5" x14ac:dyDescent="0.2">
      <c r="A14" s="8" t="s">
        <v>67</v>
      </c>
      <c r="B14" s="8" t="s">
        <v>68</v>
      </c>
      <c r="C14" s="8" t="s">
        <v>69</v>
      </c>
      <c r="D14" s="8" t="s">
        <v>70</v>
      </c>
      <c r="E14" s="8" t="s">
        <v>22</v>
      </c>
    </row>
    <row r="15" spans="1:5" x14ac:dyDescent="0.2">
      <c r="A15" s="8" t="s">
        <v>71</v>
      </c>
      <c r="B15" s="8" t="s">
        <v>72</v>
      </c>
      <c r="C15" s="8" t="s">
        <v>73</v>
      </c>
      <c r="D15" s="8" t="s">
        <v>74</v>
      </c>
      <c r="E15" s="8" t="s">
        <v>22</v>
      </c>
    </row>
    <row r="16" spans="1:5" x14ac:dyDescent="0.2">
      <c r="A16" s="8" t="s">
        <v>75</v>
      </c>
      <c r="B16" s="8" t="s">
        <v>76</v>
      </c>
      <c r="C16" s="8" t="s">
        <v>77</v>
      </c>
      <c r="D16" s="8" t="s">
        <v>78</v>
      </c>
      <c r="E16" s="8" t="s">
        <v>22</v>
      </c>
    </row>
    <row r="17" spans="1:5" x14ac:dyDescent="0.2">
      <c r="A17" s="8" t="s">
        <v>79</v>
      </c>
      <c r="B17" s="8" t="s">
        <v>80</v>
      </c>
      <c r="C17" s="8" t="s">
        <v>81</v>
      </c>
      <c r="D17" s="8" t="s">
        <v>82</v>
      </c>
      <c r="E17" s="8" t="s">
        <v>22</v>
      </c>
    </row>
    <row r="18" spans="1:5" x14ac:dyDescent="0.2">
      <c r="A18" s="8" t="s">
        <v>83</v>
      </c>
      <c r="B18" s="8" t="s">
        <v>84</v>
      </c>
      <c r="C18" s="8" t="s">
        <v>85</v>
      </c>
      <c r="D18" s="8" t="s">
        <v>86</v>
      </c>
      <c r="E18" s="8" t="s">
        <v>22</v>
      </c>
    </row>
    <row r="19" spans="1:5" x14ac:dyDescent="0.2">
      <c r="A19" s="8" t="s">
        <v>87</v>
      </c>
      <c r="B19" s="8" t="s">
        <v>88</v>
      </c>
      <c r="C19" s="8" t="s">
        <v>89</v>
      </c>
      <c r="D19" s="8" t="s">
        <v>90</v>
      </c>
      <c r="E19" s="8" t="s">
        <v>22</v>
      </c>
    </row>
    <row r="20" spans="1:5" x14ac:dyDescent="0.2">
      <c r="A20" s="8" t="s">
        <v>91</v>
      </c>
      <c r="B20" s="8" t="s">
        <v>92</v>
      </c>
      <c r="C20" s="8" t="s">
        <v>93</v>
      </c>
      <c r="D20" s="8" t="s">
        <v>94</v>
      </c>
      <c r="E20" s="8" t="s">
        <v>22</v>
      </c>
    </row>
    <row r="21" spans="1:5" x14ac:dyDescent="0.2">
      <c r="A21" s="8" t="s">
        <v>95</v>
      </c>
      <c r="B21" s="8" t="s">
        <v>96</v>
      </c>
      <c r="C21" s="8" t="s">
        <v>97</v>
      </c>
      <c r="D21" s="8" t="s">
        <v>98</v>
      </c>
      <c r="E21" s="8" t="s">
        <v>22</v>
      </c>
    </row>
    <row r="22" spans="1:5" x14ac:dyDescent="0.2">
      <c r="A22" s="8" t="s">
        <v>99</v>
      </c>
      <c r="B22" s="8" t="s">
        <v>100</v>
      </c>
      <c r="C22" s="8" t="s">
        <v>101</v>
      </c>
      <c r="D22" s="8" t="s">
        <v>102</v>
      </c>
      <c r="E22" s="8" t="s">
        <v>22</v>
      </c>
    </row>
    <row r="23" spans="1:5" x14ac:dyDescent="0.2">
      <c r="A23" s="8" t="s">
        <v>103</v>
      </c>
      <c r="B23" s="8" t="s">
        <v>104</v>
      </c>
      <c r="C23" s="8" t="s">
        <v>105</v>
      </c>
      <c r="D23" s="8" t="s">
        <v>106</v>
      </c>
      <c r="E23" s="8" t="s">
        <v>22</v>
      </c>
    </row>
    <row r="24" spans="1:5" x14ac:dyDescent="0.2">
      <c r="A24" s="8" t="s">
        <v>107</v>
      </c>
      <c r="B24" s="8" t="s">
        <v>108</v>
      </c>
      <c r="C24" s="8" t="s">
        <v>109</v>
      </c>
      <c r="D24" s="8" t="s">
        <v>110</v>
      </c>
      <c r="E24" s="8" t="s">
        <v>22</v>
      </c>
    </row>
    <row r="25" spans="1:5" x14ac:dyDescent="0.2">
      <c r="A25" s="8" t="s">
        <v>111</v>
      </c>
      <c r="B25" s="8" t="s">
        <v>112</v>
      </c>
      <c r="C25" s="8" t="s">
        <v>113</v>
      </c>
      <c r="D25" s="8" t="s">
        <v>114</v>
      </c>
      <c r="E25" s="8" t="s">
        <v>22</v>
      </c>
    </row>
    <row r="26" spans="1:5" x14ac:dyDescent="0.2">
      <c r="A26" s="8" t="s">
        <v>115</v>
      </c>
      <c r="B26" s="8" t="s">
        <v>116</v>
      </c>
      <c r="C26" s="8" t="s">
        <v>117</v>
      </c>
      <c r="D26" s="8" t="s">
        <v>118</v>
      </c>
      <c r="E26" s="8" t="s">
        <v>22</v>
      </c>
    </row>
    <row r="27" spans="1:5" x14ac:dyDescent="0.2">
      <c r="A27" s="8" t="s">
        <v>119</v>
      </c>
      <c r="B27" s="8" t="s">
        <v>120</v>
      </c>
      <c r="C27" s="8" t="s">
        <v>121</v>
      </c>
      <c r="D27" s="8" t="s">
        <v>122</v>
      </c>
      <c r="E27" s="8" t="s">
        <v>22</v>
      </c>
    </row>
    <row r="28" spans="1:5" x14ac:dyDescent="0.2">
      <c r="A28" s="8" t="s">
        <v>123</v>
      </c>
      <c r="B28" s="8" t="s">
        <v>124</v>
      </c>
      <c r="C28" s="8" t="s">
        <v>125</v>
      </c>
      <c r="D28" s="8" t="s">
        <v>126</v>
      </c>
      <c r="E28" s="8" t="s">
        <v>22</v>
      </c>
    </row>
    <row r="29" spans="1:5" x14ac:dyDescent="0.2">
      <c r="A29" s="8" t="s">
        <v>127</v>
      </c>
      <c r="B29" s="8" t="s">
        <v>128</v>
      </c>
      <c r="C29" s="8" t="s">
        <v>129</v>
      </c>
      <c r="D29" s="8" t="s">
        <v>130</v>
      </c>
      <c r="E29" s="8" t="s">
        <v>22</v>
      </c>
    </row>
    <row r="30" spans="1:5" x14ac:dyDescent="0.2">
      <c r="A30" s="8" t="s">
        <v>131</v>
      </c>
      <c r="B30" s="8" t="s">
        <v>132</v>
      </c>
      <c r="C30" s="8" t="s">
        <v>133</v>
      </c>
      <c r="D30" s="8" t="s">
        <v>134</v>
      </c>
      <c r="E30" s="8" t="s">
        <v>22</v>
      </c>
    </row>
    <row r="31" spans="1:5" x14ac:dyDescent="0.2">
      <c r="A31" s="8" t="s">
        <v>135</v>
      </c>
      <c r="B31" s="8" t="s">
        <v>136</v>
      </c>
      <c r="C31" s="8" t="s">
        <v>137</v>
      </c>
      <c r="D31" s="8" t="s">
        <v>138</v>
      </c>
      <c r="E31" s="8" t="s">
        <v>22</v>
      </c>
    </row>
    <row r="32" spans="1:5" x14ac:dyDescent="0.2">
      <c r="A32" s="8" t="s">
        <v>139</v>
      </c>
      <c r="B32" s="8" t="s">
        <v>140</v>
      </c>
      <c r="C32" s="8" t="s">
        <v>141</v>
      </c>
      <c r="D32" s="8" t="s">
        <v>142</v>
      </c>
      <c r="E32" s="8" t="s">
        <v>22</v>
      </c>
    </row>
    <row r="33" spans="1:5" x14ac:dyDescent="0.2">
      <c r="A33" s="8" t="s">
        <v>143</v>
      </c>
      <c r="B33" s="8" t="s">
        <v>144</v>
      </c>
      <c r="C33" s="8" t="s">
        <v>145</v>
      </c>
      <c r="D33" s="8" t="s">
        <v>146</v>
      </c>
      <c r="E33" s="8" t="s">
        <v>22</v>
      </c>
    </row>
    <row r="34" spans="1:5" x14ac:dyDescent="0.2">
      <c r="A34" s="8" t="s">
        <v>147</v>
      </c>
      <c r="B34" s="8" t="s">
        <v>148</v>
      </c>
      <c r="C34" s="8" t="s">
        <v>149</v>
      </c>
      <c r="D34" s="8" t="s">
        <v>150</v>
      </c>
      <c r="E34" s="8" t="s">
        <v>22</v>
      </c>
    </row>
    <row r="35" spans="1:5" x14ac:dyDescent="0.2">
      <c r="A35" s="8" t="s">
        <v>151</v>
      </c>
      <c r="B35" s="8" t="s">
        <v>152</v>
      </c>
      <c r="C35" s="8" t="s">
        <v>153</v>
      </c>
      <c r="D35" s="8" t="s">
        <v>154</v>
      </c>
      <c r="E35" s="8" t="s">
        <v>22</v>
      </c>
    </row>
    <row r="36" spans="1:5" x14ac:dyDescent="0.2">
      <c r="A36" s="8" t="s">
        <v>155</v>
      </c>
      <c r="B36" s="8" t="s">
        <v>156</v>
      </c>
      <c r="C36" s="8" t="s">
        <v>157</v>
      </c>
      <c r="D36" s="8" t="s">
        <v>158</v>
      </c>
      <c r="E36" s="8" t="s">
        <v>22</v>
      </c>
    </row>
    <row r="37" spans="1:5" x14ac:dyDescent="0.2">
      <c r="A37" s="8" t="s">
        <v>159</v>
      </c>
      <c r="B37" s="8" t="s">
        <v>160</v>
      </c>
      <c r="C37" s="8" t="s">
        <v>161</v>
      </c>
      <c r="D37" s="8" t="s">
        <v>162</v>
      </c>
      <c r="E37" s="8" t="s">
        <v>22</v>
      </c>
    </row>
    <row r="38" spans="1:5" x14ac:dyDescent="0.2">
      <c r="A38" s="8" t="s">
        <v>163</v>
      </c>
      <c r="B38" s="8" t="s">
        <v>164</v>
      </c>
      <c r="C38" s="8" t="s">
        <v>165</v>
      </c>
      <c r="D38" s="8" t="s">
        <v>166</v>
      </c>
      <c r="E38" s="8" t="s">
        <v>22</v>
      </c>
    </row>
    <row r="39" spans="1:5" x14ac:dyDescent="0.2">
      <c r="A39" s="8" t="s">
        <v>167</v>
      </c>
      <c r="B39" s="8" t="s">
        <v>168</v>
      </c>
      <c r="C39" s="8" t="s">
        <v>169</v>
      </c>
      <c r="D39" s="8" t="s">
        <v>170</v>
      </c>
      <c r="E39" s="8" t="s">
        <v>22</v>
      </c>
    </row>
    <row r="40" spans="1:5" x14ac:dyDescent="0.2">
      <c r="A40" s="8" t="s">
        <v>171</v>
      </c>
      <c r="B40" s="8" t="s">
        <v>172</v>
      </c>
      <c r="C40" s="8" t="s">
        <v>173</v>
      </c>
      <c r="D40" s="8" t="s">
        <v>174</v>
      </c>
      <c r="E40" s="8" t="s">
        <v>22</v>
      </c>
    </row>
    <row r="41" spans="1:5" x14ac:dyDescent="0.2">
      <c r="A41" s="8" t="s">
        <v>175</v>
      </c>
      <c r="B41" s="8" t="s">
        <v>176</v>
      </c>
      <c r="C41" s="8" t="s">
        <v>177</v>
      </c>
      <c r="D41" s="8" t="s">
        <v>178</v>
      </c>
      <c r="E41" s="8" t="s">
        <v>22</v>
      </c>
    </row>
    <row r="42" spans="1:5" x14ac:dyDescent="0.2">
      <c r="A42" s="8" t="s">
        <v>179</v>
      </c>
      <c r="B42" s="8" t="s">
        <v>180</v>
      </c>
      <c r="C42" s="8" t="s">
        <v>181</v>
      </c>
      <c r="D42" s="8" t="s">
        <v>182</v>
      </c>
      <c r="E42" s="8" t="s">
        <v>22</v>
      </c>
    </row>
    <row r="43" spans="1:5" x14ac:dyDescent="0.2">
      <c r="A43" s="8" t="s">
        <v>183</v>
      </c>
      <c r="B43" s="8" t="s">
        <v>184</v>
      </c>
      <c r="C43" s="8" t="s">
        <v>185</v>
      </c>
      <c r="D43" s="8" t="s">
        <v>186</v>
      </c>
      <c r="E43" s="8" t="s">
        <v>22</v>
      </c>
    </row>
    <row r="44" spans="1:5" x14ac:dyDescent="0.2">
      <c r="A44" s="8" t="s">
        <v>187</v>
      </c>
      <c r="B44" s="8" t="s">
        <v>188</v>
      </c>
      <c r="C44" s="8" t="s">
        <v>189</v>
      </c>
      <c r="D44" s="8" t="s">
        <v>190</v>
      </c>
      <c r="E44" s="8" t="s">
        <v>22</v>
      </c>
    </row>
    <row r="45" spans="1:5" x14ac:dyDescent="0.2">
      <c r="A45" s="8" t="s">
        <v>191</v>
      </c>
      <c r="B45" s="8" t="s">
        <v>192</v>
      </c>
      <c r="C45" s="8" t="s">
        <v>193</v>
      </c>
      <c r="D45" s="8" t="s">
        <v>194</v>
      </c>
      <c r="E45" s="8" t="s">
        <v>22</v>
      </c>
    </row>
    <row r="46" spans="1:5" x14ac:dyDescent="0.2">
      <c r="A46" s="8" t="s">
        <v>195</v>
      </c>
      <c r="B46" s="8" t="s">
        <v>196</v>
      </c>
      <c r="C46" s="8" t="s">
        <v>197</v>
      </c>
      <c r="D46" s="8" t="s">
        <v>198</v>
      </c>
      <c r="E46" s="8" t="s">
        <v>22</v>
      </c>
    </row>
    <row r="47" spans="1:5" x14ac:dyDescent="0.2">
      <c r="A47" s="8" t="s">
        <v>199</v>
      </c>
      <c r="B47" s="8" t="s">
        <v>200</v>
      </c>
      <c r="C47" s="8" t="s">
        <v>201</v>
      </c>
      <c r="D47" s="8" t="s">
        <v>202</v>
      </c>
      <c r="E47" s="8" t="s">
        <v>22</v>
      </c>
    </row>
    <row r="48" spans="1:5" x14ac:dyDescent="0.2">
      <c r="A48" s="8" t="s">
        <v>203</v>
      </c>
      <c r="B48" s="8" t="s">
        <v>204</v>
      </c>
      <c r="C48" s="8" t="s">
        <v>205</v>
      </c>
      <c r="D48" s="8" t="s">
        <v>206</v>
      </c>
      <c r="E48" s="8" t="s">
        <v>22</v>
      </c>
    </row>
    <row r="49" spans="1:5" x14ac:dyDescent="0.2">
      <c r="A49" s="8" t="s">
        <v>207</v>
      </c>
      <c r="B49" s="8" t="s">
        <v>208</v>
      </c>
      <c r="C49" s="8" t="s">
        <v>209</v>
      </c>
      <c r="D49" s="8" t="s">
        <v>210</v>
      </c>
      <c r="E49" s="8" t="s">
        <v>22</v>
      </c>
    </row>
    <row r="50" spans="1:5" x14ac:dyDescent="0.2">
      <c r="A50" s="8" t="s">
        <v>211</v>
      </c>
      <c r="B50" s="8" t="s">
        <v>212</v>
      </c>
      <c r="C50" s="8" t="s">
        <v>213</v>
      </c>
      <c r="D50" s="8" t="s">
        <v>214</v>
      </c>
      <c r="E50" s="8" t="s">
        <v>22</v>
      </c>
    </row>
    <row r="51" spans="1:5" x14ac:dyDescent="0.2">
      <c r="A51" s="8" t="s">
        <v>215</v>
      </c>
      <c r="B51" s="8" t="s">
        <v>216</v>
      </c>
      <c r="C51" s="8" t="s">
        <v>217</v>
      </c>
      <c r="D51" s="8" t="s">
        <v>218</v>
      </c>
      <c r="E51" s="8" t="s">
        <v>22</v>
      </c>
    </row>
    <row r="52" spans="1:5" x14ac:dyDescent="0.2">
      <c r="A52" s="8" t="s">
        <v>219</v>
      </c>
      <c r="B52" s="8" t="s">
        <v>220</v>
      </c>
      <c r="C52" s="8" t="s">
        <v>221</v>
      </c>
      <c r="D52" s="8" t="s">
        <v>222</v>
      </c>
      <c r="E52" s="8" t="s">
        <v>22</v>
      </c>
    </row>
    <row r="53" spans="1:5" x14ac:dyDescent="0.2">
      <c r="A53" s="8" t="s">
        <v>223</v>
      </c>
      <c r="B53" s="8" t="s">
        <v>224</v>
      </c>
      <c r="C53" s="8" t="s">
        <v>225</v>
      </c>
      <c r="D53" s="8" t="s">
        <v>226</v>
      </c>
      <c r="E53" s="8" t="s">
        <v>22</v>
      </c>
    </row>
    <row r="54" spans="1:5" x14ac:dyDescent="0.2">
      <c r="A54" s="8" t="s">
        <v>227</v>
      </c>
      <c r="B54" s="8" t="s">
        <v>228</v>
      </c>
      <c r="C54" s="8" t="s">
        <v>229</v>
      </c>
      <c r="D54" s="8" t="s">
        <v>230</v>
      </c>
      <c r="E54" s="8" t="s">
        <v>22</v>
      </c>
    </row>
    <row r="55" spans="1:5" x14ac:dyDescent="0.2">
      <c r="A55" s="8" t="s">
        <v>231</v>
      </c>
      <c r="B55" s="8" t="s">
        <v>232</v>
      </c>
      <c r="C55" s="8" t="s">
        <v>233</v>
      </c>
      <c r="D55" s="8" t="s">
        <v>234</v>
      </c>
      <c r="E55" s="8" t="s">
        <v>22</v>
      </c>
    </row>
    <row r="56" spans="1:5" x14ac:dyDescent="0.2">
      <c r="A56" s="8" t="s">
        <v>235</v>
      </c>
      <c r="B56" s="8" t="s">
        <v>236</v>
      </c>
      <c r="C56" s="8" t="s">
        <v>237</v>
      </c>
      <c r="D56" s="8" t="s">
        <v>238</v>
      </c>
      <c r="E56" s="8" t="s">
        <v>22</v>
      </c>
    </row>
    <row r="57" spans="1:5" x14ac:dyDescent="0.2">
      <c r="A57" s="8" t="s">
        <v>239</v>
      </c>
      <c r="B57" s="8" t="s">
        <v>240</v>
      </c>
      <c r="C57" s="8" t="s">
        <v>241</v>
      </c>
      <c r="D57" s="8" t="s">
        <v>242</v>
      </c>
      <c r="E57" s="8" t="s">
        <v>22</v>
      </c>
    </row>
    <row r="58" spans="1:5" x14ac:dyDescent="0.2">
      <c r="A58" s="8" t="s">
        <v>243</v>
      </c>
      <c r="B58" s="8" t="s">
        <v>244</v>
      </c>
      <c r="C58" s="8" t="s">
        <v>245</v>
      </c>
      <c r="D58" s="8" t="s">
        <v>246</v>
      </c>
      <c r="E58" s="8" t="s">
        <v>22</v>
      </c>
    </row>
    <row r="59" spans="1:5" x14ac:dyDescent="0.2">
      <c r="A59" s="8" t="s">
        <v>247</v>
      </c>
      <c r="B59" s="8" t="s">
        <v>248</v>
      </c>
      <c r="C59" s="8" t="s">
        <v>249</v>
      </c>
      <c r="D59" s="8" t="s">
        <v>250</v>
      </c>
      <c r="E59" s="8" t="s">
        <v>22</v>
      </c>
    </row>
    <row r="60" spans="1:5" x14ac:dyDescent="0.2">
      <c r="A60" s="8" t="s">
        <v>251</v>
      </c>
      <c r="B60" s="8" t="s">
        <v>252</v>
      </c>
      <c r="C60" s="8" t="s">
        <v>253</v>
      </c>
      <c r="D60" s="8" t="s">
        <v>254</v>
      </c>
      <c r="E60" s="8" t="s">
        <v>22</v>
      </c>
    </row>
    <row r="61" spans="1:5" x14ac:dyDescent="0.2">
      <c r="A61" s="8" t="s">
        <v>255</v>
      </c>
      <c r="B61" s="8" t="s">
        <v>256</v>
      </c>
      <c r="C61" s="8" t="s">
        <v>257</v>
      </c>
      <c r="D61" s="8" t="s">
        <v>258</v>
      </c>
      <c r="E61" s="8" t="s">
        <v>22</v>
      </c>
    </row>
    <row r="62" spans="1:5" x14ac:dyDescent="0.2">
      <c r="A62" s="8" t="s">
        <v>259</v>
      </c>
      <c r="B62" s="8" t="s">
        <v>260</v>
      </c>
      <c r="C62" s="8" t="s">
        <v>261</v>
      </c>
      <c r="D62" s="8" t="s">
        <v>262</v>
      </c>
      <c r="E62" s="8" t="s">
        <v>22</v>
      </c>
    </row>
    <row r="63" spans="1:5" x14ac:dyDescent="0.2">
      <c r="A63" s="8" t="s">
        <v>263</v>
      </c>
      <c r="B63" s="8" t="s">
        <v>264</v>
      </c>
      <c r="C63" s="8" t="s">
        <v>265</v>
      </c>
      <c r="D63" s="8" t="s">
        <v>266</v>
      </c>
      <c r="E63" s="8" t="s">
        <v>22</v>
      </c>
    </row>
    <row r="64" spans="1:5" x14ac:dyDescent="0.2">
      <c r="A64" s="8" t="s">
        <v>267</v>
      </c>
      <c r="B64" s="8" t="s">
        <v>268</v>
      </c>
      <c r="C64" s="8" t="s">
        <v>269</v>
      </c>
      <c r="D64" s="8" t="s">
        <v>270</v>
      </c>
      <c r="E64" s="8" t="s">
        <v>22</v>
      </c>
    </row>
    <row r="65" spans="1:5" x14ac:dyDescent="0.2">
      <c r="A65" s="8" t="s">
        <v>271</v>
      </c>
      <c r="B65" s="8" t="s">
        <v>272</v>
      </c>
      <c r="C65" s="8" t="s">
        <v>273</v>
      </c>
      <c r="D65" s="8" t="s">
        <v>274</v>
      </c>
      <c r="E65" s="8" t="s">
        <v>22</v>
      </c>
    </row>
    <row r="66" spans="1:5" x14ac:dyDescent="0.2">
      <c r="A66" s="8" t="s">
        <v>275</v>
      </c>
      <c r="B66" s="8" t="s">
        <v>276</v>
      </c>
      <c r="C66" s="8" t="s">
        <v>277</v>
      </c>
      <c r="D66" s="8" t="s">
        <v>278</v>
      </c>
      <c r="E66" s="8" t="s">
        <v>22</v>
      </c>
    </row>
    <row r="67" spans="1:5" x14ac:dyDescent="0.2">
      <c r="A67" s="8" t="s">
        <v>279</v>
      </c>
      <c r="B67" s="8" t="s">
        <v>280</v>
      </c>
      <c r="C67" s="8" t="s">
        <v>281</v>
      </c>
      <c r="D67" s="8" t="s">
        <v>282</v>
      </c>
      <c r="E67" s="8" t="s">
        <v>22</v>
      </c>
    </row>
    <row r="68" spans="1:5" x14ac:dyDescent="0.2">
      <c r="A68" s="8" t="s">
        <v>283</v>
      </c>
      <c r="B68" s="8" t="s">
        <v>284</v>
      </c>
      <c r="C68" s="8" t="s">
        <v>285</v>
      </c>
      <c r="D68" s="8" t="s">
        <v>286</v>
      </c>
      <c r="E68" s="8" t="s">
        <v>22</v>
      </c>
    </row>
    <row r="69" spans="1:5" x14ac:dyDescent="0.2">
      <c r="A69" s="8" t="s">
        <v>287</v>
      </c>
      <c r="B69" s="8" t="s">
        <v>288</v>
      </c>
      <c r="C69" s="8" t="s">
        <v>289</v>
      </c>
      <c r="D69" s="8" t="s">
        <v>290</v>
      </c>
      <c r="E69" s="8" t="s">
        <v>22</v>
      </c>
    </row>
    <row r="70" spans="1:5" x14ac:dyDescent="0.2">
      <c r="A70" s="8" t="s">
        <v>291</v>
      </c>
      <c r="B70" s="8" t="s">
        <v>292</v>
      </c>
      <c r="C70" s="8" t="s">
        <v>293</v>
      </c>
      <c r="D70" s="8" t="s">
        <v>294</v>
      </c>
      <c r="E70" s="8" t="s">
        <v>22</v>
      </c>
    </row>
    <row r="71" spans="1:5" x14ac:dyDescent="0.2">
      <c r="A71" s="8" t="s">
        <v>295</v>
      </c>
      <c r="B71" s="8" t="s">
        <v>296</v>
      </c>
      <c r="C71" s="8" t="s">
        <v>297</v>
      </c>
      <c r="D71" s="8" t="s">
        <v>298</v>
      </c>
      <c r="E71" s="8" t="s">
        <v>22</v>
      </c>
    </row>
    <row r="72" spans="1:5" x14ac:dyDescent="0.2">
      <c r="A72" s="8" t="s">
        <v>299</v>
      </c>
      <c r="B72" s="8" t="s">
        <v>300</v>
      </c>
      <c r="C72" s="8" t="s">
        <v>301</v>
      </c>
      <c r="D72" s="8" t="s">
        <v>302</v>
      </c>
      <c r="E72" s="8" t="s">
        <v>22</v>
      </c>
    </row>
    <row r="73" spans="1:5" x14ac:dyDescent="0.2">
      <c r="A73" s="8" t="s">
        <v>303</v>
      </c>
      <c r="B73" s="8" t="s">
        <v>304</v>
      </c>
      <c r="C73" s="8" t="s">
        <v>305</v>
      </c>
      <c r="D73" s="8" t="s">
        <v>306</v>
      </c>
      <c r="E73" s="8" t="s">
        <v>22</v>
      </c>
    </row>
    <row r="74" spans="1:5" x14ac:dyDescent="0.2">
      <c r="A74" s="8" t="s">
        <v>307</v>
      </c>
      <c r="B74" s="8" t="s">
        <v>308</v>
      </c>
      <c r="C74" s="8" t="s">
        <v>309</v>
      </c>
      <c r="D74" s="8" t="s">
        <v>310</v>
      </c>
      <c r="E74" s="8" t="s">
        <v>22</v>
      </c>
    </row>
    <row r="75" spans="1:5" x14ac:dyDescent="0.2">
      <c r="A75" s="8" t="s">
        <v>311</v>
      </c>
      <c r="B75" s="8" t="s">
        <v>312</v>
      </c>
      <c r="C75" s="8" t="s">
        <v>313</v>
      </c>
      <c r="D75" s="8" t="s">
        <v>314</v>
      </c>
      <c r="E75" s="8" t="s">
        <v>22</v>
      </c>
    </row>
    <row r="76" spans="1:5" x14ac:dyDescent="0.2">
      <c r="A76" s="8" t="s">
        <v>315</v>
      </c>
      <c r="B76" s="8" t="s">
        <v>316</v>
      </c>
      <c r="C76" s="8" t="s">
        <v>317</v>
      </c>
      <c r="D76" s="8" t="s">
        <v>318</v>
      </c>
      <c r="E76" s="8" t="s">
        <v>22</v>
      </c>
    </row>
    <row r="77" spans="1:5" x14ac:dyDescent="0.2">
      <c r="A77" s="8" t="s">
        <v>319</v>
      </c>
      <c r="B77" s="8" t="s">
        <v>320</v>
      </c>
      <c r="C77" s="8" t="s">
        <v>321</v>
      </c>
      <c r="D77" s="8" t="s">
        <v>322</v>
      </c>
      <c r="E77" s="8" t="s">
        <v>22</v>
      </c>
    </row>
    <row r="78" spans="1:5" x14ac:dyDescent="0.2">
      <c r="A78" s="8" t="s">
        <v>323</v>
      </c>
      <c r="B78" s="8" t="s">
        <v>324</v>
      </c>
      <c r="C78" s="8" t="s">
        <v>325</v>
      </c>
      <c r="D78" s="8" t="s">
        <v>326</v>
      </c>
      <c r="E78" s="8" t="s">
        <v>327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2A3E-878E-4DFE-850F-3BA3C5457B5A}">
  <dimension ref="B1:E11"/>
  <sheetViews>
    <sheetView topLeftCell="B1" zoomScale="160" zoomScaleNormal="160" workbookViewId="0">
      <selection activeCell="B13" sqref="B13"/>
    </sheetView>
  </sheetViews>
  <sheetFormatPr defaultRowHeight="14.25" x14ac:dyDescent="0.2"/>
  <cols>
    <col min="3" max="3" width="14.25" customWidth="1"/>
    <col min="4" max="4" width="12.625" customWidth="1"/>
  </cols>
  <sheetData>
    <row r="1" spans="2:5" x14ac:dyDescent="0.2">
      <c r="B1" t="s">
        <v>2872</v>
      </c>
      <c r="C1" t="s">
        <v>2869</v>
      </c>
      <c r="D1" t="s">
        <v>2870</v>
      </c>
      <c r="E1" t="s">
        <v>2871</v>
      </c>
    </row>
    <row r="2" spans="2:5" x14ac:dyDescent="0.2">
      <c r="B2" t="s">
        <v>2873</v>
      </c>
      <c r="C2">
        <v>12</v>
      </c>
      <c r="D2">
        <v>5</v>
      </c>
      <c r="E2">
        <f>C2+D2</f>
        <v>17</v>
      </c>
    </row>
    <row r="3" spans="2:5" x14ac:dyDescent="0.2">
      <c r="B3" t="s">
        <v>2874</v>
      </c>
      <c r="C3">
        <v>2</v>
      </c>
      <c r="D3">
        <v>15</v>
      </c>
      <c r="E3">
        <f>C3+D3</f>
        <v>17</v>
      </c>
    </row>
    <row r="4" spans="2:5" x14ac:dyDescent="0.2">
      <c r="B4" t="s">
        <v>2875</v>
      </c>
      <c r="C4">
        <v>10</v>
      </c>
      <c r="D4">
        <v>11</v>
      </c>
      <c r="E4">
        <f t="shared" ref="E4:E11" si="0">C4+D4</f>
        <v>21</v>
      </c>
    </row>
    <row r="5" spans="2:5" x14ac:dyDescent="0.2">
      <c r="B5" t="s">
        <v>2876</v>
      </c>
      <c r="C5">
        <v>8</v>
      </c>
      <c r="D5">
        <v>5</v>
      </c>
      <c r="E5">
        <f t="shared" si="0"/>
        <v>13</v>
      </c>
    </row>
    <row r="6" spans="2:5" x14ac:dyDescent="0.2">
      <c r="B6" t="s">
        <v>2877</v>
      </c>
      <c r="C6">
        <v>9</v>
      </c>
      <c r="D6">
        <v>14</v>
      </c>
      <c r="E6">
        <f t="shared" si="0"/>
        <v>23</v>
      </c>
    </row>
    <row r="7" spans="2:5" x14ac:dyDescent="0.2">
      <c r="B7" t="s">
        <v>2878</v>
      </c>
      <c r="C7">
        <v>7</v>
      </c>
      <c r="D7">
        <v>16</v>
      </c>
      <c r="E7">
        <f t="shared" si="0"/>
        <v>23</v>
      </c>
    </row>
    <row r="8" spans="2:5" x14ac:dyDescent="0.2">
      <c r="B8" t="s">
        <v>2879</v>
      </c>
      <c r="C8">
        <v>3</v>
      </c>
      <c r="D8">
        <v>3</v>
      </c>
      <c r="E8">
        <f t="shared" si="0"/>
        <v>6</v>
      </c>
    </row>
    <row r="9" spans="2:5" x14ac:dyDescent="0.2">
      <c r="B9" t="s">
        <v>2880</v>
      </c>
      <c r="C9">
        <v>5</v>
      </c>
      <c r="D9">
        <v>6</v>
      </c>
      <c r="E9">
        <f t="shared" si="0"/>
        <v>11</v>
      </c>
    </row>
    <row r="10" spans="2:5" x14ac:dyDescent="0.2">
      <c r="B10" t="s">
        <v>2881</v>
      </c>
      <c r="C10">
        <v>1</v>
      </c>
      <c r="D10">
        <v>2</v>
      </c>
      <c r="E10">
        <f t="shared" si="0"/>
        <v>3</v>
      </c>
    </row>
    <row r="11" spans="2:5" x14ac:dyDescent="0.2">
      <c r="B11" t="s">
        <v>2882</v>
      </c>
      <c r="C11">
        <v>2</v>
      </c>
      <c r="D11">
        <v>3</v>
      </c>
      <c r="E11">
        <f t="shared" si="0"/>
        <v>5</v>
      </c>
    </row>
  </sheetData>
  <phoneticPr fontId="1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6147-B00C-405B-B533-0BAE355CC729}">
  <dimension ref="A3:E81"/>
  <sheetViews>
    <sheetView zoomScale="60" zoomScaleNormal="60" workbookViewId="0">
      <selection activeCell="A4" sqref="A4:E80"/>
    </sheetView>
  </sheetViews>
  <sheetFormatPr defaultRowHeight="14.25" x14ac:dyDescent="0.2"/>
  <cols>
    <col min="1" max="1" width="19.375" bestFit="1" customWidth="1"/>
    <col min="2" max="2" width="28.125" bestFit="1" customWidth="1"/>
    <col min="3" max="3" width="25.375" bestFit="1" customWidth="1"/>
    <col min="4" max="4" width="26" bestFit="1" customWidth="1"/>
    <col min="5" max="5" width="30" bestFit="1" customWidth="1"/>
  </cols>
  <sheetData>
    <row r="3" spans="1:5" x14ac:dyDescent="0.2">
      <c r="A3" s="59" t="s">
        <v>2989</v>
      </c>
      <c r="B3" t="s">
        <v>2991</v>
      </c>
      <c r="C3" t="s">
        <v>2993</v>
      </c>
      <c r="D3" t="s">
        <v>2994</v>
      </c>
      <c r="E3" t="s">
        <v>2995</v>
      </c>
    </row>
    <row r="4" spans="1:5" x14ac:dyDescent="0.2">
      <c r="A4" s="60" t="s">
        <v>338</v>
      </c>
      <c r="B4" s="47">
        <v>5455020</v>
      </c>
      <c r="C4" s="47">
        <v>2544400</v>
      </c>
      <c r="D4" s="47">
        <v>2910620</v>
      </c>
      <c r="E4" s="47">
        <v>3304462</v>
      </c>
    </row>
    <row r="5" spans="1:5" x14ac:dyDescent="0.2">
      <c r="A5" s="60" t="s">
        <v>2488</v>
      </c>
      <c r="B5" s="47">
        <v>483855</v>
      </c>
      <c r="C5" s="47">
        <v>240313</v>
      </c>
      <c r="D5" s="47">
        <v>243542</v>
      </c>
      <c r="E5" s="47">
        <v>208232</v>
      </c>
    </row>
    <row r="6" spans="1:5" x14ac:dyDescent="0.2">
      <c r="A6" s="60" t="s">
        <v>2257</v>
      </c>
      <c r="B6" s="47">
        <v>896351</v>
      </c>
      <c r="C6" s="47">
        <v>447653</v>
      </c>
      <c r="D6" s="47">
        <v>448698</v>
      </c>
      <c r="E6" s="47">
        <v>370344</v>
      </c>
    </row>
    <row r="7" spans="1:5" x14ac:dyDescent="0.2">
      <c r="A7" s="60" t="s">
        <v>1535</v>
      </c>
      <c r="B7" s="47">
        <v>962444</v>
      </c>
      <c r="C7" s="47">
        <v>474533</v>
      </c>
      <c r="D7" s="47">
        <v>487911</v>
      </c>
      <c r="E7" s="47">
        <v>331891</v>
      </c>
    </row>
    <row r="8" spans="1:5" x14ac:dyDescent="0.2">
      <c r="A8" s="60" t="s">
        <v>2040</v>
      </c>
      <c r="B8" s="47">
        <v>700862</v>
      </c>
      <c r="C8" s="47">
        <v>345166</v>
      </c>
      <c r="D8" s="47">
        <v>355696</v>
      </c>
      <c r="E8" s="47">
        <v>291549</v>
      </c>
    </row>
    <row r="9" spans="1:5" x14ac:dyDescent="0.2">
      <c r="A9" s="60" t="s">
        <v>1271</v>
      </c>
      <c r="B9" s="47">
        <v>1772381</v>
      </c>
      <c r="C9" s="47">
        <v>868299</v>
      </c>
      <c r="D9" s="47">
        <v>904082</v>
      </c>
      <c r="E9" s="47">
        <v>692088</v>
      </c>
    </row>
    <row r="10" spans="1:5" x14ac:dyDescent="0.2">
      <c r="A10" s="60" t="s">
        <v>723</v>
      </c>
      <c r="B10" s="47">
        <v>536388</v>
      </c>
      <c r="C10" s="47">
        <v>261555</v>
      </c>
      <c r="D10" s="47">
        <v>274833</v>
      </c>
      <c r="E10" s="47">
        <v>261649</v>
      </c>
    </row>
    <row r="11" spans="1:5" x14ac:dyDescent="0.2">
      <c r="A11" s="60" t="s">
        <v>780</v>
      </c>
      <c r="B11" s="47">
        <v>733131</v>
      </c>
      <c r="C11" s="47">
        <v>358556</v>
      </c>
      <c r="D11" s="47">
        <v>374575</v>
      </c>
      <c r="E11" s="47">
        <v>345381</v>
      </c>
    </row>
    <row r="12" spans="1:5" x14ac:dyDescent="0.2">
      <c r="A12" s="60" t="s">
        <v>641</v>
      </c>
      <c r="B12" s="47">
        <v>1635525</v>
      </c>
      <c r="C12" s="47">
        <v>794783</v>
      </c>
      <c r="D12" s="47">
        <v>840742</v>
      </c>
      <c r="E12" s="47">
        <v>1172425</v>
      </c>
    </row>
    <row r="13" spans="1:5" x14ac:dyDescent="0.2">
      <c r="A13" s="60" t="s">
        <v>576</v>
      </c>
      <c r="B13" s="47">
        <v>313759</v>
      </c>
      <c r="C13" s="47">
        <v>150495</v>
      </c>
      <c r="D13" s="47">
        <v>163264</v>
      </c>
      <c r="E13" s="47">
        <v>132908</v>
      </c>
    </row>
    <row r="14" spans="1:5" x14ac:dyDescent="0.2">
      <c r="A14" s="60" t="s">
        <v>1174</v>
      </c>
      <c r="B14" s="47">
        <v>1106404</v>
      </c>
      <c r="C14" s="47">
        <v>544954</v>
      </c>
      <c r="D14" s="47">
        <v>561450</v>
      </c>
      <c r="E14" s="47">
        <v>424219</v>
      </c>
    </row>
    <row r="15" spans="1:5" x14ac:dyDescent="0.2">
      <c r="A15" s="60" t="s">
        <v>2595</v>
      </c>
      <c r="B15" s="47">
        <v>508053</v>
      </c>
      <c r="C15" s="47">
        <v>250267</v>
      </c>
      <c r="D15" s="47">
        <v>257786</v>
      </c>
      <c r="E15" s="47">
        <v>256148</v>
      </c>
    </row>
    <row r="16" spans="1:5" x14ac:dyDescent="0.2">
      <c r="A16" s="60" t="s">
        <v>1923</v>
      </c>
      <c r="B16" s="47">
        <v>1297657</v>
      </c>
      <c r="C16" s="47">
        <v>628811</v>
      </c>
      <c r="D16" s="47">
        <v>668846</v>
      </c>
      <c r="E16" s="47">
        <v>594808</v>
      </c>
    </row>
    <row r="17" spans="1:5" x14ac:dyDescent="0.2">
      <c r="A17" s="60" t="s">
        <v>1665</v>
      </c>
      <c r="B17" s="47">
        <v>1799019</v>
      </c>
      <c r="C17" s="47">
        <v>865486</v>
      </c>
      <c r="D17" s="47">
        <v>933533</v>
      </c>
      <c r="E17" s="47">
        <v>900484</v>
      </c>
    </row>
    <row r="18" spans="1:5" x14ac:dyDescent="0.2">
      <c r="A18" s="60" t="s">
        <v>2681</v>
      </c>
      <c r="B18" s="47">
        <v>634959</v>
      </c>
      <c r="C18" s="47">
        <v>310045</v>
      </c>
      <c r="D18" s="47">
        <v>324914</v>
      </c>
      <c r="E18" s="47">
        <v>246853</v>
      </c>
    </row>
    <row r="19" spans="1:5" x14ac:dyDescent="0.2">
      <c r="A19" s="60" t="s">
        <v>762</v>
      </c>
      <c r="B19" s="47">
        <v>226517</v>
      </c>
      <c r="C19" s="47">
        <v>111893</v>
      </c>
      <c r="D19" s="47">
        <v>114624</v>
      </c>
      <c r="E19" s="47">
        <v>114393</v>
      </c>
    </row>
    <row r="20" spans="1:5" x14ac:dyDescent="0.2">
      <c r="A20" s="60" t="s">
        <v>2074</v>
      </c>
      <c r="B20" s="47">
        <v>698597</v>
      </c>
      <c r="C20" s="47">
        <v>352933</v>
      </c>
      <c r="D20" s="47">
        <v>345664</v>
      </c>
      <c r="E20" s="47">
        <v>241517</v>
      </c>
    </row>
    <row r="21" spans="1:5" x14ac:dyDescent="0.2">
      <c r="A21" s="60" t="s">
        <v>837</v>
      </c>
      <c r="B21" s="47">
        <v>259770</v>
      </c>
      <c r="C21" s="47">
        <v>128349</v>
      </c>
      <c r="D21" s="47">
        <v>131421</v>
      </c>
      <c r="E21" s="47">
        <v>111246</v>
      </c>
    </row>
    <row r="22" spans="1:5" x14ac:dyDescent="0.2">
      <c r="A22" s="60" t="s">
        <v>2346</v>
      </c>
      <c r="B22" s="47">
        <v>925758</v>
      </c>
      <c r="C22" s="47">
        <v>443395</v>
      </c>
      <c r="D22" s="47">
        <v>482363</v>
      </c>
      <c r="E22" s="47">
        <v>442482</v>
      </c>
    </row>
    <row r="23" spans="1:5" x14ac:dyDescent="0.2">
      <c r="A23" s="60" t="s">
        <v>1626</v>
      </c>
      <c r="B23" s="47">
        <v>710740</v>
      </c>
      <c r="C23" s="47">
        <v>353531</v>
      </c>
      <c r="D23" s="47">
        <v>357209</v>
      </c>
      <c r="E23" s="47">
        <v>246183</v>
      </c>
    </row>
    <row r="24" spans="1:5" x14ac:dyDescent="0.2">
      <c r="A24" s="60" t="s">
        <v>865</v>
      </c>
      <c r="B24" s="47">
        <v>2620172</v>
      </c>
      <c r="C24" s="47">
        <v>1282763</v>
      </c>
      <c r="D24" s="47">
        <v>1337409</v>
      </c>
      <c r="E24" s="47">
        <v>1079582</v>
      </c>
    </row>
    <row r="25" spans="1:5" x14ac:dyDescent="0.2">
      <c r="A25" s="60" t="s">
        <v>2438</v>
      </c>
      <c r="B25" s="47">
        <v>1534653</v>
      </c>
      <c r="C25" s="47">
        <v>757539</v>
      </c>
      <c r="D25" s="47">
        <v>777114</v>
      </c>
      <c r="E25" s="47">
        <v>616268</v>
      </c>
    </row>
    <row r="26" spans="1:5" x14ac:dyDescent="0.2">
      <c r="A26" s="60" t="s">
        <v>1987</v>
      </c>
      <c r="B26" s="47">
        <v>1014401</v>
      </c>
      <c r="C26" s="47">
        <v>493281</v>
      </c>
      <c r="D26" s="47">
        <v>521120</v>
      </c>
      <c r="E26" s="47">
        <v>437370</v>
      </c>
    </row>
    <row r="27" spans="1:5" x14ac:dyDescent="0.2">
      <c r="A27" s="60" t="s">
        <v>413</v>
      </c>
      <c r="B27" s="47">
        <v>1317919</v>
      </c>
      <c r="C27" s="47">
        <v>609722</v>
      </c>
      <c r="D27" s="47">
        <v>708197</v>
      </c>
      <c r="E27" s="47">
        <v>768221</v>
      </c>
    </row>
    <row r="28" spans="1:5" x14ac:dyDescent="0.2">
      <c r="A28" s="60" t="s">
        <v>2775</v>
      </c>
      <c r="B28" s="47">
        <v>823996</v>
      </c>
      <c r="C28" s="47">
        <v>407632</v>
      </c>
      <c r="D28" s="47">
        <v>416364</v>
      </c>
      <c r="E28" s="47">
        <v>232664</v>
      </c>
    </row>
    <row r="29" spans="1:5" x14ac:dyDescent="0.2">
      <c r="A29" s="60" t="s">
        <v>1868</v>
      </c>
      <c r="B29" s="47">
        <v>470507</v>
      </c>
      <c r="C29" s="47">
        <v>234647</v>
      </c>
      <c r="D29" s="47">
        <v>235860</v>
      </c>
      <c r="E29" s="47">
        <v>180461</v>
      </c>
    </row>
    <row r="30" spans="1:5" x14ac:dyDescent="0.2">
      <c r="A30" s="60" t="s">
        <v>1231</v>
      </c>
      <c r="B30" s="47">
        <v>418733</v>
      </c>
      <c r="C30" s="47">
        <v>209459</v>
      </c>
      <c r="D30" s="47">
        <v>209274</v>
      </c>
      <c r="E30" s="47">
        <v>147459</v>
      </c>
    </row>
    <row r="31" spans="1:5" x14ac:dyDescent="0.2">
      <c r="A31" s="60" t="s">
        <v>960</v>
      </c>
      <c r="B31" s="47">
        <v>1566308</v>
      </c>
      <c r="C31" s="47">
        <v>775230</v>
      </c>
      <c r="D31" s="47">
        <v>791078</v>
      </c>
      <c r="E31" s="47">
        <v>504266</v>
      </c>
    </row>
    <row r="32" spans="1:5" x14ac:dyDescent="0.2">
      <c r="A32" s="60" t="s">
        <v>435</v>
      </c>
      <c r="B32" s="47">
        <v>1236471</v>
      </c>
      <c r="C32" s="47">
        <v>584170</v>
      </c>
      <c r="D32" s="47">
        <v>652301</v>
      </c>
      <c r="E32" s="47">
        <v>716096</v>
      </c>
    </row>
    <row r="33" spans="1:5" x14ac:dyDescent="0.2">
      <c r="A33" s="60" t="s">
        <v>2413</v>
      </c>
      <c r="B33" s="47">
        <v>551769</v>
      </c>
      <c r="C33" s="47">
        <v>270215</v>
      </c>
      <c r="D33" s="47">
        <v>281554</v>
      </c>
      <c r="E33" s="47">
        <v>293330</v>
      </c>
    </row>
    <row r="34" spans="1:5" x14ac:dyDescent="0.2">
      <c r="A34" s="60" t="s">
        <v>818</v>
      </c>
      <c r="B34" s="47">
        <v>500607</v>
      </c>
      <c r="C34" s="47">
        <v>246835</v>
      </c>
      <c r="D34" s="47">
        <v>253772</v>
      </c>
      <c r="E34" s="47">
        <v>242594</v>
      </c>
    </row>
    <row r="35" spans="1:5" x14ac:dyDescent="0.2">
      <c r="A35" s="60" t="s">
        <v>2733</v>
      </c>
      <c r="B35" s="47">
        <v>740904</v>
      </c>
      <c r="C35" s="47">
        <v>366532</v>
      </c>
      <c r="D35" s="47">
        <v>374372</v>
      </c>
      <c r="E35" s="47">
        <v>208009</v>
      </c>
    </row>
    <row r="36" spans="1:5" x14ac:dyDescent="0.2">
      <c r="A36" s="60" t="s">
        <v>462</v>
      </c>
      <c r="B36" s="47">
        <v>822720</v>
      </c>
      <c r="C36" s="47">
        <v>394331</v>
      </c>
      <c r="D36" s="47">
        <v>428389</v>
      </c>
      <c r="E36" s="47">
        <v>362285</v>
      </c>
    </row>
    <row r="37" spans="1:5" x14ac:dyDescent="0.2">
      <c r="A37" s="60" t="s">
        <v>1890</v>
      </c>
      <c r="B37" s="47">
        <v>454764</v>
      </c>
      <c r="C37" s="47">
        <v>220378</v>
      </c>
      <c r="D37" s="47">
        <v>234386</v>
      </c>
      <c r="E37" s="47">
        <v>204387</v>
      </c>
    </row>
    <row r="38" spans="1:5" x14ac:dyDescent="0.2">
      <c r="A38" s="60" t="s">
        <v>2508</v>
      </c>
      <c r="B38" s="47">
        <v>266296</v>
      </c>
      <c r="C38" s="47">
        <v>132910</v>
      </c>
      <c r="D38" s="47">
        <v>133386</v>
      </c>
      <c r="E38" s="47">
        <v>125443</v>
      </c>
    </row>
    <row r="39" spans="1:5" x14ac:dyDescent="0.2">
      <c r="A39" s="60" t="s">
        <v>2705</v>
      </c>
      <c r="B39" s="47">
        <v>519440</v>
      </c>
      <c r="C39" s="47">
        <v>252460</v>
      </c>
      <c r="D39" s="47">
        <v>266980</v>
      </c>
      <c r="E39" s="47">
        <v>207767</v>
      </c>
    </row>
    <row r="40" spans="1:5" x14ac:dyDescent="0.2">
      <c r="A40" s="60" t="s">
        <v>2150</v>
      </c>
      <c r="B40" s="47">
        <v>517308</v>
      </c>
      <c r="C40" s="47">
        <v>251787</v>
      </c>
      <c r="D40" s="47">
        <v>265521</v>
      </c>
      <c r="E40" s="47">
        <v>206966</v>
      </c>
    </row>
    <row r="41" spans="1:5" x14ac:dyDescent="0.2">
      <c r="A41" s="60" t="s">
        <v>2121</v>
      </c>
      <c r="B41" s="47">
        <v>839116</v>
      </c>
      <c r="C41" s="47">
        <v>409596</v>
      </c>
      <c r="D41" s="47">
        <v>429520</v>
      </c>
      <c r="E41" s="47">
        <v>372740</v>
      </c>
    </row>
    <row r="42" spans="1:5" x14ac:dyDescent="0.2">
      <c r="A42" s="60" t="s">
        <v>2393</v>
      </c>
      <c r="B42" s="47">
        <v>484145</v>
      </c>
      <c r="C42" s="47">
        <v>232930</v>
      </c>
      <c r="D42" s="47">
        <v>251215</v>
      </c>
      <c r="E42" s="47">
        <v>237512</v>
      </c>
    </row>
    <row r="43" spans="1:5" x14ac:dyDescent="0.2">
      <c r="A43" s="60" t="s">
        <v>2185</v>
      </c>
      <c r="B43" s="47">
        <v>960718</v>
      </c>
      <c r="C43" s="47">
        <v>472067</v>
      </c>
      <c r="D43" s="47">
        <v>488651</v>
      </c>
      <c r="E43" s="47">
        <v>382224</v>
      </c>
    </row>
    <row r="44" spans="1:5" x14ac:dyDescent="0.2">
      <c r="A44" s="60" t="s">
        <v>1841</v>
      </c>
      <c r="B44" s="47">
        <v>421745</v>
      </c>
      <c r="C44" s="47">
        <v>202378</v>
      </c>
      <c r="D44" s="47">
        <v>219367</v>
      </c>
      <c r="E44" s="47">
        <v>185874</v>
      </c>
    </row>
    <row r="45" spans="1:5" x14ac:dyDescent="0.2">
      <c r="A45" s="60" t="s">
        <v>2525</v>
      </c>
      <c r="B45" s="47">
        <v>429583</v>
      </c>
      <c r="C45" s="47">
        <v>201988</v>
      </c>
      <c r="D45" s="47">
        <v>227595</v>
      </c>
      <c r="E45" s="47">
        <v>294383</v>
      </c>
    </row>
    <row r="46" spans="1:5" x14ac:dyDescent="0.2">
      <c r="A46" s="60" t="s">
        <v>1456</v>
      </c>
      <c r="B46" s="47">
        <v>929952</v>
      </c>
      <c r="C46" s="47">
        <v>456246</v>
      </c>
      <c r="D46" s="47">
        <v>473706</v>
      </c>
      <c r="E46" s="47">
        <v>321366</v>
      </c>
    </row>
    <row r="47" spans="1:5" x14ac:dyDescent="0.2">
      <c r="A47" s="60" t="s">
        <v>1649</v>
      </c>
      <c r="B47" s="47">
        <v>350510</v>
      </c>
      <c r="C47" s="47">
        <v>174977</v>
      </c>
      <c r="D47" s="47">
        <v>175533</v>
      </c>
      <c r="E47" s="47">
        <v>126326</v>
      </c>
    </row>
    <row r="48" spans="1:5" x14ac:dyDescent="0.2">
      <c r="A48" s="60" t="s">
        <v>1974</v>
      </c>
      <c r="B48" s="47">
        <v>288082</v>
      </c>
      <c r="C48" s="47">
        <v>145723</v>
      </c>
      <c r="D48" s="47">
        <v>142359</v>
      </c>
      <c r="E48" s="47">
        <v>123826</v>
      </c>
    </row>
    <row r="49" spans="1:5" x14ac:dyDescent="0.2">
      <c r="A49" s="60" t="s">
        <v>1155</v>
      </c>
      <c r="B49" s="47">
        <v>525325</v>
      </c>
      <c r="C49" s="47">
        <v>261204</v>
      </c>
      <c r="D49" s="47">
        <v>264121</v>
      </c>
      <c r="E49" s="47">
        <v>189342</v>
      </c>
    </row>
    <row r="50" spans="1:5" x14ac:dyDescent="0.2">
      <c r="A50" s="60" t="s">
        <v>2756</v>
      </c>
      <c r="B50" s="47">
        <v>552974</v>
      </c>
      <c r="C50" s="47">
        <v>274701</v>
      </c>
      <c r="D50" s="47">
        <v>278273</v>
      </c>
      <c r="E50" s="47">
        <v>181284</v>
      </c>
    </row>
    <row r="51" spans="1:5" x14ac:dyDescent="0.2">
      <c r="A51" s="60" t="s">
        <v>1483</v>
      </c>
      <c r="B51" s="47">
        <v>1275519</v>
      </c>
      <c r="C51" s="47">
        <v>629825</v>
      </c>
      <c r="D51" s="47">
        <v>645694</v>
      </c>
      <c r="E51" s="47">
        <v>417865</v>
      </c>
    </row>
    <row r="52" spans="1:5" x14ac:dyDescent="0.2">
      <c r="A52" s="60" t="s">
        <v>2584</v>
      </c>
      <c r="B52" s="47">
        <v>192927</v>
      </c>
      <c r="C52" s="47">
        <v>96944</v>
      </c>
      <c r="D52" s="47">
        <v>95983</v>
      </c>
      <c r="E52" s="47">
        <v>98370</v>
      </c>
    </row>
    <row r="53" spans="1:5" x14ac:dyDescent="0.2">
      <c r="A53" s="60" t="s">
        <v>691</v>
      </c>
      <c r="B53" s="47">
        <v>782171</v>
      </c>
      <c r="C53" s="47">
        <v>382979</v>
      </c>
      <c r="D53" s="47">
        <v>399192</v>
      </c>
      <c r="E53" s="47">
        <v>578414</v>
      </c>
    </row>
    <row r="54" spans="1:5" x14ac:dyDescent="0.2">
      <c r="A54" s="60" t="s">
        <v>2217</v>
      </c>
      <c r="B54" s="47">
        <v>864037</v>
      </c>
      <c r="C54" s="47">
        <v>418947</v>
      </c>
      <c r="D54" s="47">
        <v>445090</v>
      </c>
      <c r="E54" s="47">
        <v>350718</v>
      </c>
    </row>
    <row r="55" spans="1:5" x14ac:dyDescent="0.2">
      <c r="A55" s="60" t="s">
        <v>532</v>
      </c>
      <c r="B55" s="47">
        <v>725266</v>
      </c>
      <c r="C55" s="47">
        <v>360040</v>
      </c>
      <c r="D55" s="47">
        <v>365226</v>
      </c>
      <c r="E55" s="47">
        <v>306787</v>
      </c>
    </row>
    <row r="56" spans="1:5" x14ac:dyDescent="0.2">
      <c r="A56" s="60" t="s">
        <v>1772</v>
      </c>
      <c r="B56" s="47">
        <v>704126</v>
      </c>
      <c r="C56" s="47">
        <v>341663</v>
      </c>
      <c r="D56" s="47">
        <v>362463</v>
      </c>
      <c r="E56" s="47">
        <v>307969</v>
      </c>
    </row>
    <row r="57" spans="1:5" x14ac:dyDescent="0.2">
      <c r="A57" s="60" t="s">
        <v>1741</v>
      </c>
      <c r="B57" s="47">
        <v>396753</v>
      </c>
      <c r="C57" s="47">
        <v>189647</v>
      </c>
      <c r="D57" s="47">
        <v>207106</v>
      </c>
      <c r="E57" s="47">
        <v>193492</v>
      </c>
    </row>
    <row r="58" spans="1:5" x14ac:dyDescent="0.2">
      <c r="A58" s="60" t="s">
        <v>1400</v>
      </c>
      <c r="B58" s="47">
        <v>632187</v>
      </c>
      <c r="C58" s="47">
        <v>315871</v>
      </c>
      <c r="D58" s="47">
        <v>316316</v>
      </c>
      <c r="E58" s="47">
        <v>240382</v>
      </c>
    </row>
    <row r="59" spans="1:5" x14ac:dyDescent="0.2">
      <c r="A59" s="60" t="s">
        <v>1051</v>
      </c>
      <c r="B59" s="47">
        <v>1442013</v>
      </c>
      <c r="C59" s="47">
        <v>717079</v>
      </c>
      <c r="D59" s="47">
        <v>724934</v>
      </c>
      <c r="E59" s="47">
        <v>420976</v>
      </c>
    </row>
    <row r="60" spans="1:5" x14ac:dyDescent="0.2">
      <c r="A60" s="60" t="s">
        <v>1586</v>
      </c>
      <c r="B60" s="47">
        <v>1137772</v>
      </c>
      <c r="C60" s="47">
        <v>564205</v>
      </c>
      <c r="D60" s="47">
        <v>573567</v>
      </c>
      <c r="E60" s="47">
        <v>411116</v>
      </c>
    </row>
    <row r="61" spans="1:5" x14ac:dyDescent="0.2">
      <c r="A61" s="60" t="s">
        <v>2618</v>
      </c>
      <c r="B61" s="47">
        <v>1431107</v>
      </c>
      <c r="C61" s="47">
        <v>695802</v>
      </c>
      <c r="D61" s="47">
        <v>735305</v>
      </c>
      <c r="E61" s="47">
        <v>593923</v>
      </c>
    </row>
    <row r="62" spans="1:5" x14ac:dyDescent="0.2">
      <c r="A62" s="60" t="s">
        <v>2667</v>
      </c>
      <c r="B62" s="47">
        <v>324879</v>
      </c>
      <c r="C62" s="47">
        <v>161667</v>
      </c>
      <c r="D62" s="47">
        <v>163212</v>
      </c>
      <c r="E62" s="47">
        <v>111775</v>
      </c>
    </row>
    <row r="63" spans="1:5" x14ac:dyDescent="0.2">
      <c r="A63" s="60" t="s">
        <v>389</v>
      </c>
      <c r="B63" s="47">
        <v>1380826</v>
      </c>
      <c r="C63" s="47">
        <v>654057</v>
      </c>
      <c r="D63" s="47">
        <v>726769</v>
      </c>
      <c r="E63" s="47">
        <v>783230</v>
      </c>
    </row>
    <row r="64" spans="1:5" x14ac:dyDescent="0.2">
      <c r="A64" s="60" t="s">
        <v>2384</v>
      </c>
      <c r="B64" s="47">
        <v>186784</v>
      </c>
      <c r="C64" s="47">
        <v>89040</v>
      </c>
      <c r="D64" s="47">
        <v>97744</v>
      </c>
      <c r="E64" s="47">
        <v>77393</v>
      </c>
    </row>
    <row r="65" spans="1:5" x14ac:dyDescent="0.2">
      <c r="A65" s="60" t="s">
        <v>2372</v>
      </c>
      <c r="B65" s="47">
        <v>590867</v>
      </c>
      <c r="C65" s="47">
        <v>283460</v>
      </c>
      <c r="D65" s="47">
        <v>307407</v>
      </c>
      <c r="E65" s="47">
        <v>323332</v>
      </c>
    </row>
    <row r="66" spans="1:5" x14ac:dyDescent="0.2">
      <c r="A66" s="60" t="s">
        <v>846</v>
      </c>
      <c r="B66" s="47">
        <v>562242</v>
      </c>
      <c r="C66" s="47">
        <v>280641</v>
      </c>
      <c r="D66" s="47">
        <v>281601</v>
      </c>
      <c r="E66" s="47">
        <v>233852</v>
      </c>
    </row>
    <row r="67" spans="1:5" x14ac:dyDescent="0.2">
      <c r="A67" s="60" t="s">
        <v>602</v>
      </c>
      <c r="B67" s="47">
        <v>639165</v>
      </c>
      <c r="C67" s="47">
        <v>313262</v>
      </c>
      <c r="D67" s="47">
        <v>325903</v>
      </c>
      <c r="E67" s="47">
        <v>305526</v>
      </c>
    </row>
    <row r="68" spans="1:5" x14ac:dyDescent="0.2">
      <c r="A68" s="60" t="s">
        <v>562</v>
      </c>
      <c r="B68" s="47">
        <v>199803</v>
      </c>
      <c r="C68" s="47">
        <v>94895</v>
      </c>
      <c r="D68" s="47">
        <v>104908</v>
      </c>
      <c r="E68" s="47">
        <v>81992</v>
      </c>
    </row>
    <row r="69" spans="1:5" x14ac:dyDescent="0.2">
      <c r="A69" s="60" t="s">
        <v>2098</v>
      </c>
      <c r="B69" s="47">
        <v>573388</v>
      </c>
      <c r="C69" s="47">
        <v>277179</v>
      </c>
      <c r="D69" s="47">
        <v>296209</v>
      </c>
      <c r="E69" s="47">
        <v>229235</v>
      </c>
    </row>
    <row r="70" spans="1:5" x14ac:dyDescent="0.2">
      <c r="A70" s="60" t="s">
        <v>2302</v>
      </c>
      <c r="B70" s="47">
        <v>822211</v>
      </c>
      <c r="C70" s="47">
        <v>395769</v>
      </c>
      <c r="D70" s="47">
        <v>426442</v>
      </c>
      <c r="E70" s="47">
        <v>324002</v>
      </c>
    </row>
    <row r="71" spans="1:5" x14ac:dyDescent="0.2">
      <c r="A71" s="60" t="s">
        <v>2538</v>
      </c>
      <c r="B71" s="47">
        <v>1076666</v>
      </c>
      <c r="C71" s="47">
        <v>529077</v>
      </c>
      <c r="D71" s="47">
        <v>547589</v>
      </c>
      <c r="E71" s="47">
        <v>550373</v>
      </c>
    </row>
    <row r="72" spans="1:5" x14ac:dyDescent="0.2">
      <c r="A72" s="60" t="s">
        <v>1019</v>
      </c>
      <c r="B72" s="47">
        <v>1360245</v>
      </c>
      <c r="C72" s="47">
        <v>675268</v>
      </c>
      <c r="D72" s="47">
        <v>684977</v>
      </c>
      <c r="E72" s="47">
        <v>426326</v>
      </c>
    </row>
    <row r="73" spans="1:5" x14ac:dyDescent="0.2">
      <c r="A73" s="60" t="s">
        <v>1436</v>
      </c>
      <c r="B73" s="47">
        <v>511706</v>
      </c>
      <c r="C73" s="47">
        <v>253194</v>
      </c>
      <c r="D73" s="47">
        <v>258512</v>
      </c>
      <c r="E73" s="47">
        <v>190025</v>
      </c>
    </row>
    <row r="74" spans="1:5" x14ac:dyDescent="0.2">
      <c r="A74" s="60" t="s">
        <v>1251</v>
      </c>
      <c r="B74" s="47">
        <v>504379</v>
      </c>
      <c r="C74" s="47">
        <v>250862</v>
      </c>
      <c r="D74" s="47">
        <v>253517</v>
      </c>
      <c r="E74" s="47">
        <v>161989</v>
      </c>
    </row>
    <row r="75" spans="1:5" x14ac:dyDescent="0.2">
      <c r="A75" s="60" t="s">
        <v>514</v>
      </c>
      <c r="B75" s="47">
        <v>268875</v>
      </c>
      <c r="C75" s="47">
        <v>128445</v>
      </c>
      <c r="D75" s="47">
        <v>140430</v>
      </c>
      <c r="E75" s="47">
        <v>105354</v>
      </c>
    </row>
    <row r="76" spans="1:5" x14ac:dyDescent="0.2">
      <c r="A76" s="60" t="s">
        <v>1213</v>
      </c>
      <c r="B76" s="47">
        <v>372183</v>
      </c>
      <c r="C76" s="47">
        <v>184783</v>
      </c>
      <c r="D76" s="47">
        <v>187400</v>
      </c>
      <c r="E76" s="47">
        <v>128559</v>
      </c>
    </row>
    <row r="77" spans="1:5" x14ac:dyDescent="0.2">
      <c r="A77" s="60" t="s">
        <v>1339</v>
      </c>
      <c r="B77" s="47">
        <v>1552135</v>
      </c>
      <c r="C77" s="47">
        <v>765475</v>
      </c>
      <c r="D77" s="47">
        <v>786660</v>
      </c>
      <c r="E77" s="47">
        <v>565876</v>
      </c>
    </row>
    <row r="78" spans="1:5" x14ac:dyDescent="0.2">
      <c r="A78" s="60" t="s">
        <v>1809</v>
      </c>
      <c r="B78" s="47">
        <v>436283</v>
      </c>
      <c r="C78" s="47">
        <v>212005</v>
      </c>
      <c r="D78" s="47">
        <v>224278</v>
      </c>
      <c r="E78" s="47">
        <v>179308</v>
      </c>
    </row>
    <row r="79" spans="1:5" x14ac:dyDescent="0.2">
      <c r="A79" s="60" t="s">
        <v>2020</v>
      </c>
      <c r="B79" s="47">
        <v>320445</v>
      </c>
      <c r="C79" s="47">
        <v>156311</v>
      </c>
      <c r="D79" s="47">
        <v>164134</v>
      </c>
      <c r="E79" s="47">
        <v>132050</v>
      </c>
    </row>
    <row r="80" spans="1:5" x14ac:dyDescent="0.2">
      <c r="A80" s="60" t="s">
        <v>1092</v>
      </c>
      <c r="B80" s="47">
        <v>1867942</v>
      </c>
      <c r="C80" s="47">
        <v>929772</v>
      </c>
      <c r="D80" s="47">
        <v>938170</v>
      </c>
      <c r="E80" s="47">
        <v>661003</v>
      </c>
    </row>
    <row r="81" spans="1:5" x14ac:dyDescent="0.2">
      <c r="A81" s="60" t="s">
        <v>2990</v>
      </c>
      <c r="B81" s="47">
        <v>65951210</v>
      </c>
      <c r="C81" s="47">
        <v>32145282</v>
      </c>
      <c r="D81" s="47">
        <v>33805928</v>
      </c>
      <c r="E81" s="47">
        <v>29128519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H2453"/>
  <sheetViews>
    <sheetView zoomScale="73" zoomScaleNormal="73" workbookViewId="0">
      <selection sqref="A1:H2453"/>
    </sheetView>
  </sheetViews>
  <sheetFormatPr defaultRowHeight="14.25" x14ac:dyDescent="0.2"/>
  <cols>
    <col min="1" max="1" width="10.125" bestFit="1" customWidth="1"/>
    <col min="2" max="2" width="19.75" bestFit="1" customWidth="1"/>
    <col min="3" max="3" width="15.875" bestFit="1" customWidth="1"/>
    <col min="4" max="4" width="33.625" bestFit="1" customWidth="1"/>
    <col min="5" max="5" width="18.625" bestFit="1" customWidth="1"/>
    <col min="6" max="6" width="18.875" bestFit="1" customWidth="1"/>
    <col min="7" max="7" width="21" bestFit="1" customWidth="1"/>
    <col min="8" max="8" width="22.125" bestFit="1" customWidth="1"/>
  </cols>
  <sheetData>
    <row r="1" spans="1:8" x14ac:dyDescent="0.2">
      <c r="A1" s="9" t="s">
        <v>329</v>
      </c>
      <c r="B1" s="9" t="s">
        <v>330</v>
      </c>
      <c r="C1" s="9" t="s">
        <v>331</v>
      </c>
      <c r="D1" s="9" t="s">
        <v>332</v>
      </c>
      <c r="E1" s="9" t="s">
        <v>333</v>
      </c>
      <c r="F1" s="9" t="s">
        <v>334</v>
      </c>
      <c r="G1" s="9" t="s">
        <v>335</v>
      </c>
      <c r="H1" s="9" t="s">
        <v>336</v>
      </c>
    </row>
    <row r="2" spans="1:8" x14ac:dyDescent="0.2">
      <c r="A2" s="10">
        <v>10</v>
      </c>
      <c r="B2" s="10" t="s">
        <v>338</v>
      </c>
      <c r="C2" s="10">
        <v>1001</v>
      </c>
      <c r="D2" s="10" t="s">
        <v>339</v>
      </c>
      <c r="E2" s="11">
        <v>19110</v>
      </c>
      <c r="F2" s="11">
        <v>20235</v>
      </c>
      <c r="G2" s="11">
        <v>39345</v>
      </c>
      <c r="H2" s="11">
        <v>19016</v>
      </c>
    </row>
    <row r="3" spans="1:8" x14ac:dyDescent="0.2">
      <c r="A3" s="10">
        <v>10</v>
      </c>
      <c r="B3" s="10" t="s">
        <v>338</v>
      </c>
      <c r="C3" s="10">
        <v>1002</v>
      </c>
      <c r="D3" s="10" t="s">
        <v>340</v>
      </c>
      <c r="E3" s="11">
        <v>39732</v>
      </c>
      <c r="F3" s="11">
        <v>34852</v>
      </c>
      <c r="G3" s="11">
        <v>74584</v>
      </c>
      <c r="H3" s="11">
        <v>32869</v>
      </c>
    </row>
    <row r="4" spans="1:8" x14ac:dyDescent="0.2">
      <c r="A4" s="10">
        <v>10</v>
      </c>
      <c r="B4" s="10" t="s">
        <v>338</v>
      </c>
      <c r="C4" s="10">
        <v>1003</v>
      </c>
      <c r="D4" s="10" t="s">
        <v>341</v>
      </c>
      <c r="E4" s="11">
        <v>90282</v>
      </c>
      <c r="F4" s="11">
        <v>95945</v>
      </c>
      <c r="G4" s="11">
        <v>186227</v>
      </c>
      <c r="H4" s="11">
        <v>74844</v>
      </c>
    </row>
    <row r="5" spans="1:8" x14ac:dyDescent="0.2">
      <c r="A5" s="10">
        <v>10</v>
      </c>
      <c r="B5" s="10" t="s">
        <v>338</v>
      </c>
      <c r="C5" s="10">
        <v>1004</v>
      </c>
      <c r="D5" s="10" t="s">
        <v>342</v>
      </c>
      <c r="E5" s="11">
        <v>19497</v>
      </c>
      <c r="F5" s="11">
        <v>22204</v>
      </c>
      <c r="G5" s="11">
        <v>41701</v>
      </c>
      <c r="H5" s="11">
        <v>36025</v>
      </c>
    </row>
    <row r="6" spans="1:8" x14ac:dyDescent="0.2">
      <c r="A6" s="10">
        <v>10</v>
      </c>
      <c r="B6" s="10" t="s">
        <v>338</v>
      </c>
      <c r="C6" s="10">
        <v>1005</v>
      </c>
      <c r="D6" s="10" t="s">
        <v>343</v>
      </c>
      <c r="E6" s="11">
        <v>85680</v>
      </c>
      <c r="F6" s="11">
        <v>98551</v>
      </c>
      <c r="G6" s="11">
        <v>184231</v>
      </c>
      <c r="H6" s="11">
        <v>119489</v>
      </c>
    </row>
    <row r="7" spans="1:8" x14ac:dyDescent="0.2">
      <c r="A7" s="10">
        <v>10</v>
      </c>
      <c r="B7" s="10" t="s">
        <v>338</v>
      </c>
      <c r="C7" s="10">
        <v>1006</v>
      </c>
      <c r="D7" s="10" t="s">
        <v>344</v>
      </c>
      <c r="E7" s="11">
        <v>63927</v>
      </c>
      <c r="F7" s="11">
        <v>77485</v>
      </c>
      <c r="G7" s="11">
        <v>141412</v>
      </c>
      <c r="H7" s="11">
        <v>117821</v>
      </c>
    </row>
    <row r="8" spans="1:8" x14ac:dyDescent="0.2">
      <c r="A8" s="10">
        <v>10</v>
      </c>
      <c r="B8" s="10" t="s">
        <v>338</v>
      </c>
      <c r="C8" s="10">
        <v>1007</v>
      </c>
      <c r="D8" s="10" t="s">
        <v>345</v>
      </c>
      <c r="E8" s="11">
        <v>18530</v>
      </c>
      <c r="F8" s="11">
        <v>20869</v>
      </c>
      <c r="G8" s="11">
        <v>39399</v>
      </c>
      <c r="H8" s="11">
        <v>32452</v>
      </c>
    </row>
    <row r="9" spans="1:8" x14ac:dyDescent="0.2">
      <c r="A9" s="10">
        <v>10</v>
      </c>
      <c r="B9" s="10" t="s">
        <v>338</v>
      </c>
      <c r="C9" s="10">
        <v>1008</v>
      </c>
      <c r="D9" s="10" t="s">
        <v>346</v>
      </c>
      <c r="E9" s="11">
        <v>18021</v>
      </c>
      <c r="F9" s="11">
        <v>18884</v>
      </c>
      <c r="G9" s="11">
        <v>36905</v>
      </c>
      <c r="H9" s="11">
        <v>19623</v>
      </c>
    </row>
    <row r="10" spans="1:8" x14ac:dyDescent="0.2">
      <c r="A10" s="10">
        <v>10</v>
      </c>
      <c r="B10" s="10" t="s">
        <v>338</v>
      </c>
      <c r="C10" s="10">
        <v>1009</v>
      </c>
      <c r="D10" s="10" t="s">
        <v>347</v>
      </c>
      <c r="E10" s="11">
        <v>37951</v>
      </c>
      <c r="F10" s="11">
        <v>47119</v>
      </c>
      <c r="G10" s="11">
        <v>85070</v>
      </c>
      <c r="H10" s="11">
        <v>65282</v>
      </c>
    </row>
    <row r="11" spans="1:8" x14ac:dyDescent="0.2">
      <c r="A11" s="10">
        <v>10</v>
      </c>
      <c r="B11" s="10" t="s">
        <v>338</v>
      </c>
      <c r="C11" s="10">
        <v>1010</v>
      </c>
      <c r="D11" s="10" t="s">
        <v>348</v>
      </c>
      <c r="E11" s="11">
        <v>66126</v>
      </c>
      <c r="F11" s="11">
        <v>74626</v>
      </c>
      <c r="G11" s="11">
        <v>140752</v>
      </c>
      <c r="H11" s="11">
        <v>66394</v>
      </c>
    </row>
    <row r="12" spans="1:8" x14ac:dyDescent="0.2">
      <c r="A12" s="10">
        <v>10</v>
      </c>
      <c r="B12" s="10" t="s">
        <v>338</v>
      </c>
      <c r="C12" s="10">
        <v>1011</v>
      </c>
      <c r="D12" s="10" t="s">
        <v>349</v>
      </c>
      <c r="E12" s="11">
        <v>85480</v>
      </c>
      <c r="F12" s="11">
        <v>95773</v>
      </c>
      <c r="G12" s="11">
        <v>181253</v>
      </c>
      <c r="H12" s="11">
        <v>108362</v>
      </c>
    </row>
    <row r="13" spans="1:8" x14ac:dyDescent="0.2">
      <c r="A13" s="10">
        <v>10</v>
      </c>
      <c r="B13" s="10" t="s">
        <v>338</v>
      </c>
      <c r="C13" s="10">
        <v>1012</v>
      </c>
      <c r="D13" s="10" t="s">
        <v>350</v>
      </c>
      <c r="E13" s="11">
        <v>33567</v>
      </c>
      <c r="F13" s="11">
        <v>39266</v>
      </c>
      <c r="G13" s="11">
        <v>72833</v>
      </c>
      <c r="H13" s="11">
        <v>54412</v>
      </c>
    </row>
    <row r="14" spans="1:8" x14ac:dyDescent="0.2">
      <c r="A14" s="10">
        <v>10</v>
      </c>
      <c r="B14" s="10" t="s">
        <v>338</v>
      </c>
      <c r="C14" s="10">
        <v>1013</v>
      </c>
      <c r="D14" s="10" t="s">
        <v>351</v>
      </c>
      <c r="E14" s="11">
        <v>9144</v>
      </c>
      <c r="F14" s="11">
        <v>9701</v>
      </c>
      <c r="G14" s="11">
        <v>18845</v>
      </c>
      <c r="H14" s="11">
        <v>13160</v>
      </c>
    </row>
    <row r="15" spans="1:8" x14ac:dyDescent="0.2">
      <c r="A15" s="10">
        <v>10</v>
      </c>
      <c r="B15" s="10" t="s">
        <v>338</v>
      </c>
      <c r="C15" s="10">
        <v>1014</v>
      </c>
      <c r="D15" s="10" t="s">
        <v>352</v>
      </c>
      <c r="E15" s="11">
        <v>30205</v>
      </c>
      <c r="F15" s="11">
        <v>32820</v>
      </c>
      <c r="G15" s="11">
        <v>63025</v>
      </c>
      <c r="H15" s="11">
        <v>46536</v>
      </c>
    </row>
    <row r="16" spans="1:8" x14ac:dyDescent="0.2">
      <c r="A16" s="10">
        <v>10</v>
      </c>
      <c r="B16" s="10" t="s">
        <v>338</v>
      </c>
      <c r="C16" s="10">
        <v>1015</v>
      </c>
      <c r="D16" s="10" t="s">
        <v>353</v>
      </c>
      <c r="E16" s="11">
        <v>45180</v>
      </c>
      <c r="F16" s="11">
        <v>51989</v>
      </c>
      <c r="G16" s="11">
        <v>97169</v>
      </c>
      <c r="H16" s="11">
        <v>65530</v>
      </c>
    </row>
    <row r="17" spans="1:8" x14ac:dyDescent="0.2">
      <c r="A17" s="10">
        <v>10</v>
      </c>
      <c r="B17" s="10" t="s">
        <v>338</v>
      </c>
      <c r="C17" s="10">
        <v>1016</v>
      </c>
      <c r="D17" s="10" t="s">
        <v>354</v>
      </c>
      <c r="E17" s="11">
        <v>27759</v>
      </c>
      <c r="F17" s="11">
        <v>32038</v>
      </c>
      <c r="G17" s="11">
        <v>59797</v>
      </c>
      <c r="H17" s="11">
        <v>32954</v>
      </c>
    </row>
    <row r="18" spans="1:8" x14ac:dyDescent="0.2">
      <c r="A18" s="10">
        <v>10</v>
      </c>
      <c r="B18" s="10" t="s">
        <v>338</v>
      </c>
      <c r="C18" s="10">
        <v>1017</v>
      </c>
      <c r="D18" s="10" t="s">
        <v>355</v>
      </c>
      <c r="E18" s="11">
        <v>37334</v>
      </c>
      <c r="F18" s="11">
        <v>46624</v>
      </c>
      <c r="G18" s="11">
        <v>83958</v>
      </c>
      <c r="H18" s="11">
        <v>95001</v>
      </c>
    </row>
    <row r="19" spans="1:8" x14ac:dyDescent="0.2">
      <c r="A19" s="10">
        <v>10</v>
      </c>
      <c r="B19" s="10" t="s">
        <v>338</v>
      </c>
      <c r="C19" s="10">
        <v>1018</v>
      </c>
      <c r="D19" s="10" t="s">
        <v>356</v>
      </c>
      <c r="E19" s="11">
        <v>29066</v>
      </c>
      <c r="F19" s="11">
        <v>34291</v>
      </c>
      <c r="G19" s="11">
        <v>63357</v>
      </c>
      <c r="H19" s="11">
        <v>42956</v>
      </c>
    </row>
    <row r="20" spans="1:8" x14ac:dyDescent="0.2">
      <c r="A20" s="10">
        <v>10</v>
      </c>
      <c r="B20" s="10" t="s">
        <v>338</v>
      </c>
      <c r="C20" s="10">
        <v>1019</v>
      </c>
      <c r="D20" s="10" t="s">
        <v>357</v>
      </c>
      <c r="E20" s="11">
        <v>46929</v>
      </c>
      <c r="F20" s="11">
        <v>53958</v>
      </c>
      <c r="G20" s="11">
        <v>100887</v>
      </c>
      <c r="H20" s="11">
        <v>45173</v>
      </c>
    </row>
    <row r="21" spans="1:8" x14ac:dyDescent="0.2">
      <c r="A21" s="10">
        <v>10</v>
      </c>
      <c r="B21" s="10" t="s">
        <v>338</v>
      </c>
      <c r="C21" s="10">
        <v>1020</v>
      </c>
      <c r="D21" s="10" t="s">
        <v>358</v>
      </c>
      <c r="E21" s="11">
        <v>44877</v>
      </c>
      <c r="F21" s="11">
        <v>51868</v>
      </c>
      <c r="G21" s="11">
        <v>96745</v>
      </c>
      <c r="H21" s="11">
        <v>55591</v>
      </c>
    </row>
    <row r="22" spans="1:8" x14ac:dyDescent="0.2">
      <c r="A22" s="10">
        <v>10</v>
      </c>
      <c r="B22" s="10" t="s">
        <v>338</v>
      </c>
      <c r="C22" s="10">
        <v>1021</v>
      </c>
      <c r="D22" s="10" t="s">
        <v>359</v>
      </c>
      <c r="E22" s="11">
        <v>87025</v>
      </c>
      <c r="F22" s="11">
        <v>98570</v>
      </c>
      <c r="G22" s="11">
        <v>185595</v>
      </c>
      <c r="H22" s="11">
        <v>95111</v>
      </c>
    </row>
    <row r="23" spans="1:8" x14ac:dyDescent="0.2">
      <c r="A23" s="10">
        <v>10</v>
      </c>
      <c r="B23" s="10" t="s">
        <v>338</v>
      </c>
      <c r="C23" s="10">
        <v>1022</v>
      </c>
      <c r="D23" s="10" t="s">
        <v>360</v>
      </c>
      <c r="E23" s="11">
        <v>56096</v>
      </c>
      <c r="F23" s="11">
        <v>65620</v>
      </c>
      <c r="G23" s="11">
        <v>121716</v>
      </c>
      <c r="H23" s="11">
        <v>69711</v>
      </c>
    </row>
    <row r="24" spans="1:8" x14ac:dyDescent="0.2">
      <c r="A24" s="10">
        <v>10</v>
      </c>
      <c r="B24" s="10" t="s">
        <v>338</v>
      </c>
      <c r="C24" s="10">
        <v>1023</v>
      </c>
      <c r="D24" s="10" t="s">
        <v>361</v>
      </c>
      <c r="E24" s="11">
        <v>71814</v>
      </c>
      <c r="F24" s="11">
        <v>83142</v>
      </c>
      <c r="G24" s="11">
        <v>154956</v>
      </c>
      <c r="H24" s="11">
        <v>66262</v>
      </c>
    </row>
    <row r="25" spans="1:8" x14ac:dyDescent="0.2">
      <c r="A25" s="10">
        <v>10</v>
      </c>
      <c r="B25" s="10" t="s">
        <v>338</v>
      </c>
      <c r="C25" s="10">
        <v>1024</v>
      </c>
      <c r="D25" s="10" t="s">
        <v>362</v>
      </c>
      <c r="E25" s="11">
        <v>35669</v>
      </c>
      <c r="F25" s="11">
        <v>39308</v>
      </c>
      <c r="G25" s="11">
        <v>74977</v>
      </c>
      <c r="H25" s="11">
        <v>39190</v>
      </c>
    </row>
    <row r="26" spans="1:8" x14ac:dyDescent="0.2">
      <c r="A26" s="10">
        <v>10</v>
      </c>
      <c r="B26" s="10" t="s">
        <v>338</v>
      </c>
      <c r="C26" s="10">
        <v>1025</v>
      </c>
      <c r="D26" s="10" t="s">
        <v>363</v>
      </c>
      <c r="E26" s="11">
        <v>39053</v>
      </c>
      <c r="F26" s="11">
        <v>47518</v>
      </c>
      <c r="G26" s="11">
        <v>86571</v>
      </c>
      <c r="H26" s="11">
        <v>60745</v>
      </c>
    </row>
    <row r="27" spans="1:8" x14ac:dyDescent="0.2">
      <c r="A27" s="10">
        <v>10</v>
      </c>
      <c r="B27" s="10" t="s">
        <v>338</v>
      </c>
      <c r="C27" s="10">
        <v>1026</v>
      </c>
      <c r="D27" s="10" t="s">
        <v>364</v>
      </c>
      <c r="E27" s="11">
        <v>50731</v>
      </c>
      <c r="F27" s="11">
        <v>60049</v>
      </c>
      <c r="G27" s="11">
        <v>110780</v>
      </c>
      <c r="H27" s="11">
        <v>65046</v>
      </c>
    </row>
    <row r="28" spans="1:8" x14ac:dyDescent="0.2">
      <c r="A28" s="10">
        <v>10</v>
      </c>
      <c r="B28" s="10" t="s">
        <v>338</v>
      </c>
      <c r="C28" s="10">
        <v>1027</v>
      </c>
      <c r="D28" s="10" t="s">
        <v>365</v>
      </c>
      <c r="E28" s="11">
        <v>61733</v>
      </c>
      <c r="F28" s="11">
        <v>74375</v>
      </c>
      <c r="G28" s="11">
        <v>136108</v>
      </c>
      <c r="H28" s="11">
        <v>77441</v>
      </c>
    </row>
    <row r="29" spans="1:8" x14ac:dyDescent="0.2">
      <c r="A29" s="10">
        <v>10</v>
      </c>
      <c r="B29" s="10" t="s">
        <v>338</v>
      </c>
      <c r="C29" s="10">
        <v>1028</v>
      </c>
      <c r="D29" s="10" t="s">
        <v>366</v>
      </c>
      <c r="E29" s="11">
        <v>33209</v>
      </c>
      <c r="F29" s="11">
        <v>37111</v>
      </c>
      <c r="G29" s="11">
        <v>70320</v>
      </c>
      <c r="H29" s="11">
        <v>45256</v>
      </c>
    </row>
    <row r="30" spans="1:8" x14ac:dyDescent="0.2">
      <c r="A30" s="10">
        <v>10</v>
      </c>
      <c r="B30" s="10" t="s">
        <v>338</v>
      </c>
      <c r="C30" s="10">
        <v>1029</v>
      </c>
      <c r="D30" s="10" t="s">
        <v>367</v>
      </c>
      <c r="E30" s="11">
        <v>54023</v>
      </c>
      <c r="F30" s="11">
        <v>63483</v>
      </c>
      <c r="G30" s="11">
        <v>117506</v>
      </c>
      <c r="H30" s="11">
        <v>78559</v>
      </c>
    </row>
    <row r="31" spans="1:8" x14ac:dyDescent="0.2">
      <c r="A31" s="10">
        <v>10</v>
      </c>
      <c r="B31" s="10" t="s">
        <v>338</v>
      </c>
      <c r="C31" s="10">
        <v>1030</v>
      </c>
      <c r="D31" s="10" t="s">
        <v>368</v>
      </c>
      <c r="E31" s="11">
        <v>70502</v>
      </c>
      <c r="F31" s="11">
        <v>83998</v>
      </c>
      <c r="G31" s="11">
        <v>154500</v>
      </c>
      <c r="H31" s="11">
        <v>140621</v>
      </c>
    </row>
    <row r="32" spans="1:8" x14ac:dyDescent="0.2">
      <c r="A32" s="10">
        <v>10</v>
      </c>
      <c r="B32" s="10" t="s">
        <v>338</v>
      </c>
      <c r="C32" s="10">
        <v>1031</v>
      </c>
      <c r="D32" s="10" t="s">
        <v>369</v>
      </c>
      <c r="E32" s="11">
        <v>35777</v>
      </c>
      <c r="F32" s="11">
        <v>40447</v>
      </c>
      <c r="G32" s="11">
        <v>76224</v>
      </c>
      <c r="H32" s="11">
        <v>40867</v>
      </c>
    </row>
    <row r="33" spans="1:8" x14ac:dyDescent="0.2">
      <c r="A33" s="10">
        <v>10</v>
      </c>
      <c r="B33" s="10" t="s">
        <v>338</v>
      </c>
      <c r="C33" s="10">
        <v>1032</v>
      </c>
      <c r="D33" s="10" t="s">
        <v>370</v>
      </c>
      <c r="E33" s="11">
        <v>86073</v>
      </c>
      <c r="F33" s="11">
        <v>98282</v>
      </c>
      <c r="G33" s="11">
        <v>184355</v>
      </c>
      <c r="H33" s="11">
        <v>97910</v>
      </c>
    </row>
    <row r="34" spans="1:8" x14ac:dyDescent="0.2">
      <c r="A34" s="10">
        <v>10</v>
      </c>
      <c r="B34" s="10" t="s">
        <v>338</v>
      </c>
      <c r="C34" s="10">
        <v>1033</v>
      </c>
      <c r="D34" s="10" t="s">
        <v>371</v>
      </c>
      <c r="E34" s="11">
        <v>41969</v>
      </c>
      <c r="F34" s="11">
        <v>47044</v>
      </c>
      <c r="G34" s="11">
        <v>89013</v>
      </c>
      <c r="H34" s="11">
        <v>83803</v>
      </c>
    </row>
    <row r="35" spans="1:8" x14ac:dyDescent="0.2">
      <c r="A35" s="10">
        <v>10</v>
      </c>
      <c r="B35" s="10" t="s">
        <v>338</v>
      </c>
      <c r="C35" s="10">
        <v>1034</v>
      </c>
      <c r="D35" s="10" t="s">
        <v>372</v>
      </c>
      <c r="E35" s="11">
        <v>56013</v>
      </c>
      <c r="F35" s="11">
        <v>67392</v>
      </c>
      <c r="G35" s="11">
        <v>123405</v>
      </c>
      <c r="H35" s="11">
        <v>85646</v>
      </c>
    </row>
    <row r="36" spans="1:8" x14ac:dyDescent="0.2">
      <c r="A36" s="10">
        <v>10</v>
      </c>
      <c r="B36" s="10" t="s">
        <v>338</v>
      </c>
      <c r="C36" s="10">
        <v>1035</v>
      </c>
      <c r="D36" s="10" t="s">
        <v>373</v>
      </c>
      <c r="E36" s="11">
        <v>65638</v>
      </c>
      <c r="F36" s="11">
        <v>73789</v>
      </c>
      <c r="G36" s="11">
        <v>139427</v>
      </c>
      <c r="H36" s="11">
        <v>74595</v>
      </c>
    </row>
    <row r="37" spans="1:8" x14ac:dyDescent="0.2">
      <c r="A37" s="10">
        <v>10</v>
      </c>
      <c r="B37" s="10" t="s">
        <v>338</v>
      </c>
      <c r="C37" s="10">
        <v>1036</v>
      </c>
      <c r="D37" s="10" t="s">
        <v>374</v>
      </c>
      <c r="E37" s="11">
        <v>82415</v>
      </c>
      <c r="F37" s="11">
        <v>83632</v>
      </c>
      <c r="G37" s="11">
        <v>166047</v>
      </c>
      <c r="H37" s="11">
        <v>83308</v>
      </c>
    </row>
    <row r="38" spans="1:8" x14ac:dyDescent="0.2">
      <c r="A38" s="10">
        <v>10</v>
      </c>
      <c r="B38" s="10" t="s">
        <v>338</v>
      </c>
      <c r="C38" s="10">
        <v>1037</v>
      </c>
      <c r="D38" s="10" t="s">
        <v>375</v>
      </c>
      <c r="E38" s="11">
        <v>29553</v>
      </c>
      <c r="F38" s="11">
        <v>33079</v>
      </c>
      <c r="G38" s="11">
        <v>62632</v>
      </c>
      <c r="H38" s="11">
        <v>58075</v>
      </c>
    </row>
    <row r="39" spans="1:8" x14ac:dyDescent="0.2">
      <c r="A39" s="10">
        <v>10</v>
      </c>
      <c r="B39" s="10" t="s">
        <v>338</v>
      </c>
      <c r="C39" s="10">
        <v>1038</v>
      </c>
      <c r="D39" s="10" t="s">
        <v>376</v>
      </c>
      <c r="E39" s="11">
        <v>50667</v>
      </c>
      <c r="F39" s="11">
        <v>61419</v>
      </c>
      <c r="G39" s="11">
        <v>112086</v>
      </c>
      <c r="H39" s="11">
        <v>60732</v>
      </c>
    </row>
    <row r="40" spans="1:8" x14ac:dyDescent="0.2">
      <c r="A40" s="10">
        <v>10</v>
      </c>
      <c r="B40" s="10" t="s">
        <v>338</v>
      </c>
      <c r="C40" s="10">
        <v>1039</v>
      </c>
      <c r="D40" s="10" t="s">
        <v>377</v>
      </c>
      <c r="E40" s="11">
        <v>37206</v>
      </c>
      <c r="F40" s="11">
        <v>43066</v>
      </c>
      <c r="G40" s="11">
        <v>80272</v>
      </c>
      <c r="H40" s="11">
        <v>87305</v>
      </c>
    </row>
    <row r="41" spans="1:8" x14ac:dyDescent="0.2">
      <c r="A41" s="10">
        <v>10</v>
      </c>
      <c r="B41" s="10" t="s">
        <v>338</v>
      </c>
      <c r="C41" s="10">
        <v>1040</v>
      </c>
      <c r="D41" s="10" t="s">
        <v>378</v>
      </c>
      <c r="E41" s="11">
        <v>88757</v>
      </c>
      <c r="F41" s="11">
        <v>103724</v>
      </c>
      <c r="G41" s="11">
        <v>192481</v>
      </c>
      <c r="H41" s="11">
        <v>97890</v>
      </c>
    </row>
    <row r="42" spans="1:8" x14ac:dyDescent="0.2">
      <c r="A42" s="10">
        <v>10</v>
      </c>
      <c r="B42" s="10" t="s">
        <v>338</v>
      </c>
      <c r="C42" s="10">
        <v>1041</v>
      </c>
      <c r="D42" s="10" t="s">
        <v>379</v>
      </c>
      <c r="E42" s="11">
        <v>46653</v>
      </c>
      <c r="F42" s="11">
        <v>51524</v>
      </c>
      <c r="G42" s="11">
        <v>98177</v>
      </c>
      <c r="H42" s="11">
        <v>62353</v>
      </c>
    </row>
    <row r="43" spans="1:8" x14ac:dyDescent="0.2">
      <c r="A43" s="10">
        <v>10</v>
      </c>
      <c r="B43" s="10" t="s">
        <v>338</v>
      </c>
      <c r="C43" s="10">
        <v>1042</v>
      </c>
      <c r="D43" s="10" t="s">
        <v>380</v>
      </c>
      <c r="E43" s="11">
        <v>99098</v>
      </c>
      <c r="F43" s="11">
        <v>113477</v>
      </c>
      <c r="G43" s="11">
        <v>212575</v>
      </c>
      <c r="H43" s="11">
        <v>112297</v>
      </c>
    </row>
    <row r="44" spans="1:8" x14ac:dyDescent="0.2">
      <c r="A44" s="10">
        <v>10</v>
      </c>
      <c r="B44" s="10" t="s">
        <v>338</v>
      </c>
      <c r="C44" s="10">
        <v>1043</v>
      </c>
      <c r="D44" s="10" t="s">
        <v>381</v>
      </c>
      <c r="E44" s="11">
        <v>43668</v>
      </c>
      <c r="F44" s="11">
        <v>50526</v>
      </c>
      <c r="G44" s="11">
        <v>94194</v>
      </c>
      <c r="H44" s="11">
        <v>48118</v>
      </c>
    </row>
    <row r="45" spans="1:8" x14ac:dyDescent="0.2">
      <c r="A45" s="10">
        <v>10</v>
      </c>
      <c r="B45" s="10" t="s">
        <v>338</v>
      </c>
      <c r="C45" s="10">
        <v>1044</v>
      </c>
      <c r="D45" s="10" t="s">
        <v>382</v>
      </c>
      <c r="E45" s="11">
        <v>44684</v>
      </c>
      <c r="F45" s="11">
        <v>52975</v>
      </c>
      <c r="G45" s="11">
        <v>97659</v>
      </c>
      <c r="H45" s="11">
        <v>43914</v>
      </c>
    </row>
    <row r="46" spans="1:8" x14ac:dyDescent="0.2">
      <c r="A46" s="10">
        <v>10</v>
      </c>
      <c r="B46" s="10" t="s">
        <v>338</v>
      </c>
      <c r="C46" s="10">
        <v>1045</v>
      </c>
      <c r="D46" s="10" t="s">
        <v>383</v>
      </c>
      <c r="E46" s="11">
        <v>46600</v>
      </c>
      <c r="F46" s="11">
        <v>56456</v>
      </c>
      <c r="G46" s="11">
        <v>103056</v>
      </c>
      <c r="H46" s="11">
        <v>65168</v>
      </c>
    </row>
    <row r="47" spans="1:8" x14ac:dyDescent="0.2">
      <c r="A47" s="10">
        <v>10</v>
      </c>
      <c r="B47" s="10" t="s">
        <v>338</v>
      </c>
      <c r="C47" s="10">
        <v>1046</v>
      </c>
      <c r="D47" s="10" t="s">
        <v>384</v>
      </c>
      <c r="E47" s="11">
        <v>100401</v>
      </c>
      <c r="F47" s="11">
        <v>113910</v>
      </c>
      <c r="G47" s="11">
        <v>214311</v>
      </c>
      <c r="H47" s="11">
        <v>93955</v>
      </c>
    </row>
    <row r="48" spans="1:8" x14ac:dyDescent="0.2">
      <c r="A48" s="10">
        <v>10</v>
      </c>
      <c r="B48" s="10" t="s">
        <v>338</v>
      </c>
      <c r="C48" s="10">
        <v>1047</v>
      </c>
      <c r="D48" s="10" t="s">
        <v>385</v>
      </c>
      <c r="E48" s="11">
        <v>39112</v>
      </c>
      <c r="F48" s="11">
        <v>45889</v>
      </c>
      <c r="G48" s="11">
        <v>85001</v>
      </c>
      <c r="H48" s="11">
        <v>78445</v>
      </c>
    </row>
    <row r="49" spans="1:8" x14ac:dyDescent="0.2">
      <c r="A49" s="10">
        <v>10</v>
      </c>
      <c r="B49" s="10" t="s">
        <v>338</v>
      </c>
      <c r="C49" s="10">
        <v>1048</v>
      </c>
      <c r="D49" s="10" t="s">
        <v>386</v>
      </c>
      <c r="E49" s="11">
        <v>37026</v>
      </c>
      <c r="F49" s="11">
        <v>43323</v>
      </c>
      <c r="G49" s="11">
        <v>80349</v>
      </c>
      <c r="H49" s="11">
        <v>37042</v>
      </c>
    </row>
    <row r="50" spans="1:8" x14ac:dyDescent="0.2">
      <c r="A50" s="10">
        <v>10</v>
      </c>
      <c r="B50" s="10" t="s">
        <v>338</v>
      </c>
      <c r="C50" s="10">
        <v>1049</v>
      </c>
      <c r="D50" s="10" t="s">
        <v>387</v>
      </c>
      <c r="E50" s="11">
        <v>57702</v>
      </c>
      <c r="F50" s="11">
        <v>66362</v>
      </c>
      <c r="G50" s="11">
        <v>124064</v>
      </c>
      <c r="H50" s="11">
        <v>57688</v>
      </c>
    </row>
    <row r="51" spans="1:8" x14ac:dyDescent="0.2">
      <c r="A51" s="10">
        <v>10</v>
      </c>
      <c r="B51" s="10" t="s">
        <v>338</v>
      </c>
      <c r="C51" s="10">
        <v>1050</v>
      </c>
      <c r="D51" s="10" t="s">
        <v>388</v>
      </c>
      <c r="E51" s="11">
        <v>47136</v>
      </c>
      <c r="F51" s="11">
        <v>52032</v>
      </c>
      <c r="G51" s="11">
        <v>99168</v>
      </c>
      <c r="H51" s="11">
        <v>53919</v>
      </c>
    </row>
    <row r="52" spans="1:8" x14ac:dyDescent="0.2">
      <c r="A52" s="10">
        <v>11</v>
      </c>
      <c r="B52" s="10" t="s">
        <v>389</v>
      </c>
      <c r="C52" s="10">
        <v>1101</v>
      </c>
      <c r="D52" s="10" t="s">
        <v>390</v>
      </c>
      <c r="E52" s="11">
        <v>61166</v>
      </c>
      <c r="F52" s="11">
        <v>68415</v>
      </c>
      <c r="G52" s="11">
        <v>129581</v>
      </c>
      <c r="H52" s="11">
        <v>61601</v>
      </c>
    </row>
    <row r="53" spans="1:8" x14ac:dyDescent="0.2">
      <c r="A53" s="10">
        <v>11</v>
      </c>
      <c r="B53" s="10" t="s">
        <v>389</v>
      </c>
      <c r="C53" s="10">
        <v>1102</v>
      </c>
      <c r="D53" s="10" t="s">
        <v>391</v>
      </c>
      <c r="E53" s="11">
        <v>48301</v>
      </c>
      <c r="F53" s="11">
        <v>51734</v>
      </c>
      <c r="G53" s="11">
        <v>100035</v>
      </c>
      <c r="H53" s="11">
        <v>52769</v>
      </c>
    </row>
    <row r="54" spans="1:8" x14ac:dyDescent="0.2">
      <c r="A54" s="10">
        <v>11</v>
      </c>
      <c r="B54" s="10" t="s">
        <v>389</v>
      </c>
      <c r="C54" s="10">
        <v>1103</v>
      </c>
      <c r="D54" s="10" t="s">
        <v>392</v>
      </c>
      <c r="E54" s="11">
        <v>133427</v>
      </c>
      <c r="F54" s="11">
        <v>152067</v>
      </c>
      <c r="G54" s="11">
        <v>285494</v>
      </c>
      <c r="H54" s="11">
        <v>192624</v>
      </c>
    </row>
    <row r="55" spans="1:8" x14ac:dyDescent="0.2">
      <c r="A55" s="10">
        <v>11</v>
      </c>
      <c r="B55" s="10" t="s">
        <v>389</v>
      </c>
      <c r="C55" s="10">
        <v>1104</v>
      </c>
      <c r="D55" s="10" t="s">
        <v>393</v>
      </c>
      <c r="E55" s="11">
        <v>17857</v>
      </c>
      <c r="F55" s="11">
        <v>19426</v>
      </c>
      <c r="G55" s="11">
        <v>37283</v>
      </c>
      <c r="H55" s="11">
        <v>13733</v>
      </c>
    </row>
    <row r="56" spans="1:8" x14ac:dyDescent="0.2">
      <c r="A56" s="10">
        <v>11</v>
      </c>
      <c r="B56" s="10" t="s">
        <v>389</v>
      </c>
      <c r="C56" s="10">
        <v>1105</v>
      </c>
      <c r="D56" s="10" t="s">
        <v>394</v>
      </c>
      <c r="E56" s="11">
        <v>60736</v>
      </c>
      <c r="F56" s="11">
        <v>66527</v>
      </c>
      <c r="G56" s="11">
        <v>127263</v>
      </c>
      <c r="H56" s="11">
        <v>61264</v>
      </c>
    </row>
    <row r="57" spans="1:8" x14ac:dyDescent="0.2">
      <c r="A57" s="10">
        <v>11</v>
      </c>
      <c r="B57" s="10" t="s">
        <v>389</v>
      </c>
      <c r="C57" s="10">
        <v>1106</v>
      </c>
      <c r="D57" s="10" t="s">
        <v>395</v>
      </c>
      <c r="E57" s="11">
        <v>30437</v>
      </c>
      <c r="F57" s="11">
        <v>33064</v>
      </c>
      <c r="G57" s="11">
        <v>63501</v>
      </c>
      <c r="H57" s="11">
        <v>48202</v>
      </c>
    </row>
    <row r="58" spans="1:8" x14ac:dyDescent="0.2">
      <c r="A58" s="10">
        <v>11</v>
      </c>
      <c r="B58" s="10" t="s">
        <v>389</v>
      </c>
      <c r="C58" s="10">
        <v>1183</v>
      </c>
      <c r="D58" s="10" t="s">
        <v>396</v>
      </c>
      <c r="E58" s="11">
        <v>19139</v>
      </c>
      <c r="F58" s="11">
        <v>22020</v>
      </c>
      <c r="G58" s="11">
        <v>41159</v>
      </c>
      <c r="H58" s="11">
        <v>17887</v>
      </c>
    </row>
    <row r="59" spans="1:8" x14ac:dyDescent="0.2">
      <c r="A59" s="10">
        <v>11</v>
      </c>
      <c r="B59" s="10" t="s">
        <v>389</v>
      </c>
      <c r="C59" s="10">
        <v>1184</v>
      </c>
      <c r="D59" s="10" t="s">
        <v>397</v>
      </c>
      <c r="E59" s="11">
        <v>9566</v>
      </c>
      <c r="F59" s="11">
        <v>10654</v>
      </c>
      <c r="G59" s="11">
        <v>20220</v>
      </c>
      <c r="H59" s="11">
        <v>18771</v>
      </c>
    </row>
    <row r="60" spans="1:8" x14ac:dyDescent="0.2">
      <c r="A60" s="10">
        <v>11</v>
      </c>
      <c r="B60" s="10" t="s">
        <v>389</v>
      </c>
      <c r="C60" s="10">
        <v>1185</v>
      </c>
      <c r="D60" s="10" t="s">
        <v>398</v>
      </c>
      <c r="E60" s="11">
        <v>10700</v>
      </c>
      <c r="F60" s="11">
        <v>11358</v>
      </c>
      <c r="G60" s="11">
        <v>22058</v>
      </c>
      <c r="H60" s="11">
        <v>9612</v>
      </c>
    </row>
    <row r="61" spans="1:8" x14ac:dyDescent="0.2">
      <c r="A61" s="10">
        <v>11</v>
      </c>
      <c r="B61" s="10" t="s">
        <v>389</v>
      </c>
      <c r="C61" s="10">
        <v>1186</v>
      </c>
      <c r="D61" s="10" t="s">
        <v>399</v>
      </c>
      <c r="E61" s="11">
        <v>5441</v>
      </c>
      <c r="F61" s="11">
        <v>5681</v>
      </c>
      <c r="G61" s="11">
        <v>11122</v>
      </c>
      <c r="H61" s="11">
        <v>5764</v>
      </c>
    </row>
    <row r="62" spans="1:8" x14ac:dyDescent="0.2">
      <c r="A62" s="10">
        <v>11</v>
      </c>
      <c r="B62" s="10" t="s">
        <v>389</v>
      </c>
      <c r="C62" s="10">
        <v>1187</v>
      </c>
      <c r="D62" s="10" t="s">
        <v>400</v>
      </c>
      <c r="E62" s="11">
        <v>5358</v>
      </c>
      <c r="F62" s="11">
        <v>5382</v>
      </c>
      <c r="G62" s="11">
        <v>10740</v>
      </c>
      <c r="H62" s="11">
        <v>2252</v>
      </c>
    </row>
    <row r="63" spans="1:8" x14ac:dyDescent="0.2">
      <c r="A63" s="10">
        <v>11</v>
      </c>
      <c r="B63" s="10" t="s">
        <v>389</v>
      </c>
      <c r="C63" s="10">
        <v>1188</v>
      </c>
      <c r="D63" s="10" t="s">
        <v>401</v>
      </c>
      <c r="E63" s="11">
        <v>3087</v>
      </c>
      <c r="F63" s="11">
        <v>3393</v>
      </c>
      <c r="G63" s="11">
        <v>6480</v>
      </c>
      <c r="H63" s="11">
        <v>2520</v>
      </c>
    </row>
    <row r="64" spans="1:8" x14ac:dyDescent="0.2">
      <c r="A64" s="10">
        <v>11</v>
      </c>
      <c r="B64" s="10" t="s">
        <v>389</v>
      </c>
      <c r="C64" s="10">
        <v>1189</v>
      </c>
      <c r="D64" s="10" t="s">
        <v>402</v>
      </c>
      <c r="E64" s="11">
        <v>1368</v>
      </c>
      <c r="F64" s="11">
        <v>1420</v>
      </c>
      <c r="G64" s="11">
        <v>2788</v>
      </c>
      <c r="H64" s="10">
        <v>928</v>
      </c>
    </row>
    <row r="65" spans="1:8" x14ac:dyDescent="0.2">
      <c r="A65" s="10">
        <v>11</v>
      </c>
      <c r="B65" s="10" t="s">
        <v>389</v>
      </c>
      <c r="C65" s="10">
        <v>1190</v>
      </c>
      <c r="D65" s="10" t="s">
        <v>403</v>
      </c>
      <c r="E65" s="11">
        <v>5388</v>
      </c>
      <c r="F65" s="11">
        <v>5663</v>
      </c>
      <c r="G65" s="11">
        <v>11051</v>
      </c>
      <c r="H65" s="11">
        <v>3327</v>
      </c>
    </row>
    <row r="66" spans="1:8" x14ac:dyDescent="0.2">
      <c r="A66" s="10">
        <v>11</v>
      </c>
      <c r="B66" s="10" t="s">
        <v>389</v>
      </c>
      <c r="C66" s="10">
        <v>1191</v>
      </c>
      <c r="D66" s="10" t="s">
        <v>404</v>
      </c>
      <c r="E66" s="11">
        <v>57311</v>
      </c>
      <c r="F66" s="11">
        <v>62508</v>
      </c>
      <c r="G66" s="11">
        <v>119819</v>
      </c>
      <c r="H66" s="11">
        <v>62862</v>
      </c>
    </row>
    <row r="67" spans="1:8" x14ac:dyDescent="0.2">
      <c r="A67" s="10">
        <v>11</v>
      </c>
      <c r="B67" s="10" t="s">
        <v>389</v>
      </c>
      <c r="C67" s="10">
        <v>1192</v>
      </c>
      <c r="D67" s="10" t="s">
        <v>405</v>
      </c>
      <c r="E67" s="11">
        <v>12070</v>
      </c>
      <c r="F67" s="11">
        <v>13823</v>
      </c>
      <c r="G67" s="11">
        <v>25893</v>
      </c>
      <c r="H67" s="11">
        <v>15843</v>
      </c>
    </row>
    <row r="68" spans="1:8" x14ac:dyDescent="0.2">
      <c r="A68" s="10">
        <v>11</v>
      </c>
      <c r="B68" s="10" t="s">
        <v>389</v>
      </c>
      <c r="C68" s="10">
        <v>1193</v>
      </c>
      <c r="D68" s="10" t="s">
        <v>406</v>
      </c>
      <c r="E68" s="11">
        <v>44467</v>
      </c>
      <c r="F68" s="11">
        <v>51284</v>
      </c>
      <c r="G68" s="11">
        <v>95751</v>
      </c>
      <c r="H68" s="11">
        <v>50820</v>
      </c>
    </row>
    <row r="69" spans="1:8" x14ac:dyDescent="0.2">
      <c r="A69" s="10">
        <v>11</v>
      </c>
      <c r="B69" s="10" t="s">
        <v>389</v>
      </c>
      <c r="C69" s="10">
        <v>1194</v>
      </c>
      <c r="D69" s="10" t="s">
        <v>407</v>
      </c>
      <c r="E69" s="11">
        <v>24941</v>
      </c>
      <c r="F69" s="11">
        <v>28638</v>
      </c>
      <c r="G69" s="11">
        <v>53579</v>
      </c>
      <c r="H69" s="11">
        <v>29381</v>
      </c>
    </row>
    <row r="70" spans="1:8" x14ac:dyDescent="0.2">
      <c r="A70" s="10">
        <v>11</v>
      </c>
      <c r="B70" s="10" t="s">
        <v>389</v>
      </c>
      <c r="C70" s="10">
        <v>1195</v>
      </c>
      <c r="D70" s="10" t="s">
        <v>408</v>
      </c>
      <c r="E70" s="11">
        <v>32662</v>
      </c>
      <c r="F70" s="11">
        <v>34961</v>
      </c>
      <c r="G70" s="11">
        <v>67623</v>
      </c>
      <c r="H70" s="11">
        <v>36471</v>
      </c>
    </row>
    <row r="71" spans="1:8" x14ac:dyDescent="0.2">
      <c r="A71" s="10">
        <v>11</v>
      </c>
      <c r="B71" s="10" t="s">
        <v>389</v>
      </c>
      <c r="C71" s="10">
        <v>1196</v>
      </c>
      <c r="D71" s="10" t="s">
        <v>409</v>
      </c>
      <c r="E71" s="11">
        <v>13772</v>
      </c>
      <c r="F71" s="11">
        <v>16775</v>
      </c>
      <c r="G71" s="11">
        <v>30547</v>
      </c>
      <c r="H71" s="11">
        <v>31575</v>
      </c>
    </row>
    <row r="72" spans="1:8" x14ac:dyDescent="0.2">
      <c r="A72" s="10">
        <v>11</v>
      </c>
      <c r="B72" s="10" t="s">
        <v>389</v>
      </c>
      <c r="C72" s="10">
        <v>1197</v>
      </c>
      <c r="D72" s="10" t="s">
        <v>410</v>
      </c>
      <c r="E72" s="11">
        <v>31356</v>
      </c>
      <c r="F72" s="11">
        <v>34584</v>
      </c>
      <c r="G72" s="11">
        <v>65940</v>
      </c>
      <c r="H72" s="11">
        <v>38716</v>
      </c>
    </row>
    <row r="73" spans="1:8" x14ac:dyDescent="0.2">
      <c r="A73" s="10">
        <v>11</v>
      </c>
      <c r="B73" s="10" t="s">
        <v>389</v>
      </c>
      <c r="C73" s="10">
        <v>1198</v>
      </c>
      <c r="D73" s="10" t="s">
        <v>411</v>
      </c>
      <c r="E73" s="11">
        <v>3836</v>
      </c>
      <c r="F73" s="11">
        <v>4128</v>
      </c>
      <c r="G73" s="11">
        <v>7964</v>
      </c>
      <c r="H73" s="11">
        <v>2187</v>
      </c>
    </row>
    <row r="74" spans="1:8" x14ac:dyDescent="0.2">
      <c r="A74" s="10">
        <v>11</v>
      </c>
      <c r="B74" s="10" t="s">
        <v>389</v>
      </c>
      <c r="C74" s="10">
        <v>1199</v>
      </c>
      <c r="D74" s="10" t="s">
        <v>412</v>
      </c>
      <c r="E74" s="11">
        <v>21671</v>
      </c>
      <c r="F74" s="11">
        <v>23264</v>
      </c>
      <c r="G74" s="11">
        <v>44935</v>
      </c>
      <c r="H74" s="11">
        <v>24121</v>
      </c>
    </row>
    <row r="75" spans="1:8" x14ac:dyDescent="0.2">
      <c r="A75" s="10">
        <v>12</v>
      </c>
      <c r="B75" s="10" t="s">
        <v>413</v>
      </c>
      <c r="C75" s="10">
        <v>1201</v>
      </c>
      <c r="D75" s="10" t="s">
        <v>414</v>
      </c>
      <c r="E75" s="11">
        <v>27551</v>
      </c>
      <c r="F75" s="11">
        <v>32083</v>
      </c>
      <c r="G75" s="11">
        <v>59634</v>
      </c>
      <c r="H75" s="11">
        <v>32547</v>
      </c>
    </row>
    <row r="76" spans="1:8" x14ac:dyDescent="0.2">
      <c r="A76" s="10">
        <v>12</v>
      </c>
      <c r="B76" s="10" t="s">
        <v>413</v>
      </c>
      <c r="C76" s="10">
        <v>1202</v>
      </c>
      <c r="D76" s="10" t="s">
        <v>415</v>
      </c>
      <c r="E76" s="11">
        <v>16983</v>
      </c>
      <c r="F76" s="11">
        <v>20085</v>
      </c>
      <c r="G76" s="11">
        <v>37068</v>
      </c>
      <c r="H76" s="11">
        <v>21583</v>
      </c>
    </row>
    <row r="77" spans="1:8" x14ac:dyDescent="0.2">
      <c r="A77" s="10">
        <v>12</v>
      </c>
      <c r="B77" s="10" t="s">
        <v>413</v>
      </c>
      <c r="C77" s="10">
        <v>1203</v>
      </c>
      <c r="D77" s="10" t="s">
        <v>416</v>
      </c>
      <c r="E77" s="11">
        <v>52035</v>
      </c>
      <c r="F77" s="11">
        <v>60762</v>
      </c>
      <c r="G77" s="11">
        <v>112797</v>
      </c>
      <c r="H77" s="11">
        <v>57746</v>
      </c>
    </row>
    <row r="78" spans="1:8" x14ac:dyDescent="0.2">
      <c r="A78" s="10">
        <v>12</v>
      </c>
      <c r="B78" s="10" t="s">
        <v>413</v>
      </c>
      <c r="C78" s="10">
        <v>1204</v>
      </c>
      <c r="D78" s="10" t="s">
        <v>417</v>
      </c>
      <c r="E78" s="11">
        <v>71049</v>
      </c>
      <c r="F78" s="11">
        <v>81309</v>
      </c>
      <c r="G78" s="11">
        <v>152358</v>
      </c>
      <c r="H78" s="11">
        <v>87928</v>
      </c>
    </row>
    <row r="79" spans="1:8" x14ac:dyDescent="0.2">
      <c r="A79" s="10">
        <v>12</v>
      </c>
      <c r="B79" s="10" t="s">
        <v>413</v>
      </c>
      <c r="C79" s="10">
        <v>1205</v>
      </c>
      <c r="D79" s="10" t="s">
        <v>418</v>
      </c>
      <c r="E79" s="11">
        <v>35700</v>
      </c>
      <c r="F79" s="11">
        <v>39636</v>
      </c>
      <c r="G79" s="11">
        <v>75336</v>
      </c>
      <c r="H79" s="11">
        <v>37897</v>
      </c>
    </row>
    <row r="80" spans="1:8" x14ac:dyDescent="0.2">
      <c r="A80" s="10">
        <v>12</v>
      </c>
      <c r="B80" s="10" t="s">
        <v>413</v>
      </c>
      <c r="C80" s="10">
        <v>1206</v>
      </c>
      <c r="D80" s="10" t="s">
        <v>419</v>
      </c>
      <c r="E80" s="11">
        <v>25423</v>
      </c>
      <c r="F80" s="11">
        <v>28622</v>
      </c>
      <c r="G80" s="11">
        <v>54045</v>
      </c>
      <c r="H80" s="11">
        <v>27816</v>
      </c>
    </row>
    <row r="81" spans="1:8" x14ac:dyDescent="0.2">
      <c r="A81" s="10">
        <v>12</v>
      </c>
      <c r="B81" s="10" t="s">
        <v>413</v>
      </c>
      <c r="C81" s="10">
        <v>1285</v>
      </c>
      <c r="D81" s="10" t="s">
        <v>420</v>
      </c>
      <c r="E81" s="11">
        <v>19010</v>
      </c>
      <c r="F81" s="11">
        <v>22221</v>
      </c>
      <c r="G81" s="11">
        <v>41231</v>
      </c>
      <c r="H81" s="11">
        <v>17483</v>
      </c>
    </row>
    <row r="82" spans="1:8" x14ac:dyDescent="0.2">
      <c r="A82" s="10">
        <v>12</v>
      </c>
      <c r="B82" s="10" t="s">
        <v>413</v>
      </c>
      <c r="C82" s="10">
        <v>1286</v>
      </c>
      <c r="D82" s="10" t="s">
        <v>421</v>
      </c>
      <c r="E82" s="11">
        <v>18241</v>
      </c>
      <c r="F82" s="11">
        <v>22123</v>
      </c>
      <c r="G82" s="11">
        <v>40364</v>
      </c>
      <c r="H82" s="11">
        <v>27183</v>
      </c>
    </row>
    <row r="83" spans="1:8" x14ac:dyDescent="0.2">
      <c r="A83" s="10">
        <v>12</v>
      </c>
      <c r="B83" s="10" t="s">
        <v>413</v>
      </c>
      <c r="C83" s="10">
        <v>1287</v>
      </c>
      <c r="D83" s="10" t="s">
        <v>422</v>
      </c>
      <c r="E83" s="11">
        <v>5654</v>
      </c>
      <c r="F83" s="11">
        <v>6530</v>
      </c>
      <c r="G83" s="11">
        <v>12184</v>
      </c>
      <c r="H83" s="11">
        <v>7024</v>
      </c>
    </row>
    <row r="84" spans="1:8" x14ac:dyDescent="0.2">
      <c r="A84" s="10">
        <v>12</v>
      </c>
      <c r="B84" s="10" t="s">
        <v>413</v>
      </c>
      <c r="C84" s="10">
        <v>1288</v>
      </c>
      <c r="D84" s="10" t="s">
        <v>423</v>
      </c>
      <c r="E84" s="11">
        <v>23889</v>
      </c>
      <c r="F84" s="11">
        <v>28185</v>
      </c>
      <c r="G84" s="11">
        <v>52074</v>
      </c>
      <c r="H84" s="11">
        <v>25259</v>
      </c>
    </row>
    <row r="85" spans="1:8" x14ac:dyDescent="0.2">
      <c r="A85" s="10">
        <v>12</v>
      </c>
      <c r="B85" s="10" t="s">
        <v>413</v>
      </c>
      <c r="C85" s="10">
        <v>1289</v>
      </c>
      <c r="D85" s="10" t="s">
        <v>424</v>
      </c>
      <c r="E85" s="11">
        <v>11408</v>
      </c>
      <c r="F85" s="11">
        <v>13521</v>
      </c>
      <c r="G85" s="11">
        <v>24929</v>
      </c>
      <c r="H85" s="11">
        <v>13668</v>
      </c>
    </row>
    <row r="86" spans="1:8" x14ac:dyDescent="0.2">
      <c r="A86" s="10">
        <v>12</v>
      </c>
      <c r="B86" s="10" t="s">
        <v>413</v>
      </c>
      <c r="C86" s="10">
        <v>1290</v>
      </c>
      <c r="D86" s="10" t="s">
        <v>425</v>
      </c>
      <c r="E86" s="11">
        <v>11264</v>
      </c>
      <c r="F86" s="11">
        <v>13370</v>
      </c>
      <c r="G86" s="11">
        <v>24634</v>
      </c>
      <c r="H86" s="11">
        <v>16101</v>
      </c>
    </row>
    <row r="87" spans="1:8" x14ac:dyDescent="0.2">
      <c r="A87" s="10">
        <v>12</v>
      </c>
      <c r="B87" s="10" t="s">
        <v>413</v>
      </c>
      <c r="C87" s="10">
        <v>1291</v>
      </c>
      <c r="D87" s="10" t="s">
        <v>426</v>
      </c>
      <c r="E87" s="11">
        <v>1294</v>
      </c>
      <c r="F87" s="11">
        <v>1305</v>
      </c>
      <c r="G87" s="11">
        <v>2599</v>
      </c>
      <c r="H87" s="11">
        <v>1237</v>
      </c>
    </row>
    <row r="88" spans="1:8" x14ac:dyDescent="0.2">
      <c r="A88" s="10">
        <v>12</v>
      </c>
      <c r="B88" s="10" t="s">
        <v>413</v>
      </c>
      <c r="C88" s="10">
        <v>1292</v>
      </c>
      <c r="D88" s="10" t="s">
        <v>427</v>
      </c>
      <c r="E88" s="11">
        <v>6621</v>
      </c>
      <c r="F88" s="11">
        <v>7376</v>
      </c>
      <c r="G88" s="11">
        <v>13997</v>
      </c>
      <c r="H88" s="11">
        <v>6572</v>
      </c>
    </row>
    <row r="89" spans="1:8" x14ac:dyDescent="0.2">
      <c r="A89" s="10">
        <v>12</v>
      </c>
      <c r="B89" s="10" t="s">
        <v>413</v>
      </c>
      <c r="C89" s="10">
        <v>1293</v>
      </c>
      <c r="D89" s="10" t="s">
        <v>428</v>
      </c>
      <c r="E89" s="11">
        <v>2932</v>
      </c>
      <c r="F89" s="11">
        <v>3071</v>
      </c>
      <c r="G89" s="11">
        <v>6003</v>
      </c>
      <c r="H89" s="11">
        <v>2847</v>
      </c>
    </row>
    <row r="90" spans="1:8" x14ac:dyDescent="0.2">
      <c r="A90" s="10">
        <v>12</v>
      </c>
      <c r="B90" s="10" t="s">
        <v>413</v>
      </c>
      <c r="C90" s="10">
        <v>1294</v>
      </c>
      <c r="D90" s="10" t="s">
        <v>429</v>
      </c>
      <c r="E90" s="11">
        <v>22198</v>
      </c>
      <c r="F90" s="11">
        <v>26310</v>
      </c>
      <c r="G90" s="11">
        <v>48508</v>
      </c>
      <c r="H90" s="11">
        <v>24758</v>
      </c>
    </row>
    <row r="91" spans="1:8" x14ac:dyDescent="0.2">
      <c r="A91" s="10">
        <v>12</v>
      </c>
      <c r="B91" s="10" t="s">
        <v>413</v>
      </c>
      <c r="C91" s="10">
        <v>1295</v>
      </c>
      <c r="D91" s="10" t="s">
        <v>430</v>
      </c>
      <c r="E91" s="11">
        <v>15241</v>
      </c>
      <c r="F91" s="11">
        <v>17920</v>
      </c>
      <c r="G91" s="11">
        <v>33161</v>
      </c>
      <c r="H91" s="11">
        <v>13922</v>
      </c>
    </row>
    <row r="92" spans="1:8" x14ac:dyDescent="0.2">
      <c r="A92" s="10">
        <v>12</v>
      </c>
      <c r="B92" s="10" t="s">
        <v>413</v>
      </c>
      <c r="C92" s="10">
        <v>1296</v>
      </c>
      <c r="D92" s="10" t="s">
        <v>431</v>
      </c>
      <c r="E92" s="11">
        <v>20294</v>
      </c>
      <c r="F92" s="11">
        <v>24158</v>
      </c>
      <c r="G92" s="11">
        <v>44452</v>
      </c>
      <c r="H92" s="11">
        <v>23084</v>
      </c>
    </row>
    <row r="93" spans="1:8" x14ac:dyDescent="0.2">
      <c r="A93" s="10">
        <v>12</v>
      </c>
      <c r="B93" s="10" t="s">
        <v>413</v>
      </c>
      <c r="C93" s="10">
        <v>1297</v>
      </c>
      <c r="D93" s="10" t="s">
        <v>432</v>
      </c>
      <c r="E93" s="11">
        <v>86885</v>
      </c>
      <c r="F93" s="11">
        <v>101978</v>
      </c>
      <c r="G93" s="11">
        <v>188863</v>
      </c>
      <c r="H93" s="11">
        <v>141775</v>
      </c>
    </row>
    <row r="94" spans="1:8" x14ac:dyDescent="0.2">
      <c r="A94" s="10">
        <v>12</v>
      </c>
      <c r="B94" s="10" t="s">
        <v>413</v>
      </c>
      <c r="C94" s="10">
        <v>1298</v>
      </c>
      <c r="D94" s="10" t="s">
        <v>433</v>
      </c>
      <c r="E94" s="11">
        <v>23979</v>
      </c>
      <c r="F94" s="11">
        <v>28520</v>
      </c>
      <c r="G94" s="11">
        <v>52499</v>
      </c>
      <c r="H94" s="11">
        <v>27957</v>
      </c>
    </row>
    <row r="95" spans="1:8" x14ac:dyDescent="0.2">
      <c r="A95" s="10">
        <v>12</v>
      </c>
      <c r="B95" s="10" t="s">
        <v>413</v>
      </c>
      <c r="C95" s="10">
        <v>1299</v>
      </c>
      <c r="D95" s="10" t="s">
        <v>434</v>
      </c>
      <c r="E95" s="11">
        <v>112071</v>
      </c>
      <c r="F95" s="11">
        <v>129112</v>
      </c>
      <c r="G95" s="11">
        <v>241183</v>
      </c>
      <c r="H95" s="11">
        <v>153834</v>
      </c>
    </row>
    <row r="96" spans="1:8" x14ac:dyDescent="0.2">
      <c r="A96" s="10">
        <v>13</v>
      </c>
      <c r="B96" s="10" t="s">
        <v>435</v>
      </c>
      <c r="C96" s="10">
        <v>1301</v>
      </c>
      <c r="D96" s="10" t="s">
        <v>436</v>
      </c>
      <c r="E96" s="11">
        <v>49341</v>
      </c>
      <c r="F96" s="11">
        <v>54354</v>
      </c>
      <c r="G96" s="11">
        <v>103695</v>
      </c>
      <c r="H96" s="11">
        <v>53829</v>
      </c>
    </row>
    <row r="97" spans="1:8" x14ac:dyDescent="0.2">
      <c r="A97" s="10">
        <v>13</v>
      </c>
      <c r="B97" s="10" t="s">
        <v>435</v>
      </c>
      <c r="C97" s="10">
        <v>1302</v>
      </c>
      <c r="D97" s="10" t="s">
        <v>437</v>
      </c>
      <c r="E97" s="11">
        <v>74503</v>
      </c>
      <c r="F97" s="11">
        <v>82914</v>
      </c>
      <c r="G97" s="11">
        <v>157417</v>
      </c>
      <c r="H97" s="11">
        <v>79158</v>
      </c>
    </row>
    <row r="98" spans="1:8" x14ac:dyDescent="0.2">
      <c r="A98" s="10">
        <v>13</v>
      </c>
      <c r="B98" s="10" t="s">
        <v>435</v>
      </c>
      <c r="C98" s="10">
        <v>1304</v>
      </c>
      <c r="D98" s="10" t="s">
        <v>438</v>
      </c>
      <c r="E98" s="11">
        <v>26334</v>
      </c>
      <c r="F98" s="11">
        <v>26896</v>
      </c>
      <c r="G98" s="11">
        <v>53230</v>
      </c>
      <c r="H98" s="11">
        <v>18370</v>
      </c>
    </row>
    <row r="99" spans="1:8" x14ac:dyDescent="0.2">
      <c r="A99" s="10">
        <v>13</v>
      </c>
      <c r="B99" s="10" t="s">
        <v>435</v>
      </c>
      <c r="C99" s="10">
        <v>1305</v>
      </c>
      <c r="D99" s="10" t="s">
        <v>439</v>
      </c>
      <c r="E99" s="11">
        <v>30143</v>
      </c>
      <c r="F99" s="11">
        <v>31837</v>
      </c>
      <c r="G99" s="11">
        <v>61980</v>
      </c>
      <c r="H99" s="11">
        <v>32552</v>
      </c>
    </row>
    <row r="100" spans="1:8" x14ac:dyDescent="0.2">
      <c r="A100" s="10">
        <v>13</v>
      </c>
      <c r="B100" s="10" t="s">
        <v>435</v>
      </c>
      <c r="C100" s="10">
        <v>1306</v>
      </c>
      <c r="D100" s="10" t="s">
        <v>440</v>
      </c>
      <c r="E100" s="11">
        <v>44499</v>
      </c>
      <c r="F100" s="11">
        <v>47784</v>
      </c>
      <c r="G100" s="11">
        <v>92283</v>
      </c>
      <c r="H100" s="11">
        <v>47687</v>
      </c>
    </row>
    <row r="101" spans="1:8" x14ac:dyDescent="0.2">
      <c r="A101" s="10">
        <v>13</v>
      </c>
      <c r="B101" s="10" t="s">
        <v>435</v>
      </c>
      <c r="C101" s="10">
        <v>1307</v>
      </c>
      <c r="D101" s="10" t="s">
        <v>441</v>
      </c>
      <c r="E101" s="11">
        <v>22500</v>
      </c>
      <c r="F101" s="11">
        <v>24085</v>
      </c>
      <c r="G101" s="11">
        <v>46585</v>
      </c>
      <c r="H101" s="11">
        <v>21923</v>
      </c>
    </row>
    <row r="102" spans="1:8" x14ac:dyDescent="0.2">
      <c r="A102" s="10">
        <v>13</v>
      </c>
      <c r="B102" s="10" t="s">
        <v>435</v>
      </c>
      <c r="C102" s="10">
        <v>1379</v>
      </c>
      <c r="D102" s="10" t="s">
        <v>442</v>
      </c>
      <c r="E102" s="11">
        <v>34392</v>
      </c>
      <c r="F102" s="11">
        <v>39735</v>
      </c>
      <c r="G102" s="11">
        <v>74127</v>
      </c>
      <c r="H102" s="11">
        <v>43060</v>
      </c>
    </row>
    <row r="103" spans="1:8" x14ac:dyDescent="0.2">
      <c r="A103" s="10">
        <v>13</v>
      </c>
      <c r="B103" s="10" t="s">
        <v>435</v>
      </c>
      <c r="C103" s="10">
        <v>1380</v>
      </c>
      <c r="D103" s="10" t="s">
        <v>443</v>
      </c>
      <c r="E103" s="11">
        <v>12562</v>
      </c>
      <c r="F103" s="11">
        <v>14183</v>
      </c>
      <c r="G103" s="11">
        <v>26745</v>
      </c>
      <c r="H103" s="11">
        <v>22598</v>
      </c>
    </row>
    <row r="104" spans="1:8" x14ac:dyDescent="0.2">
      <c r="A104" s="10">
        <v>13</v>
      </c>
      <c r="B104" s="10" t="s">
        <v>435</v>
      </c>
      <c r="C104" s="10">
        <v>1381</v>
      </c>
      <c r="D104" s="10" t="s">
        <v>444</v>
      </c>
      <c r="E104" s="11">
        <v>6278</v>
      </c>
      <c r="F104" s="11">
        <v>7143</v>
      </c>
      <c r="G104" s="11">
        <v>13421</v>
      </c>
      <c r="H104" s="11">
        <v>7614</v>
      </c>
    </row>
    <row r="105" spans="1:8" x14ac:dyDescent="0.2">
      <c r="A105" s="10">
        <v>13</v>
      </c>
      <c r="B105" s="10" t="s">
        <v>435</v>
      </c>
      <c r="C105" s="10">
        <v>1382</v>
      </c>
      <c r="D105" s="10" t="s">
        <v>445</v>
      </c>
      <c r="E105" s="11">
        <v>30376</v>
      </c>
      <c r="F105" s="11">
        <v>35368</v>
      </c>
      <c r="G105" s="11">
        <v>65744</v>
      </c>
      <c r="H105" s="11">
        <v>34215</v>
      </c>
    </row>
    <row r="106" spans="1:8" x14ac:dyDescent="0.2">
      <c r="A106" s="10">
        <v>13</v>
      </c>
      <c r="B106" s="10" t="s">
        <v>435</v>
      </c>
      <c r="C106" s="10">
        <v>1383</v>
      </c>
      <c r="D106" s="10" t="s">
        <v>446</v>
      </c>
      <c r="E106" s="11">
        <v>15493</v>
      </c>
      <c r="F106" s="11">
        <v>17926</v>
      </c>
      <c r="G106" s="11">
        <v>33419</v>
      </c>
      <c r="H106" s="11">
        <v>21232</v>
      </c>
    </row>
    <row r="107" spans="1:8" x14ac:dyDescent="0.2">
      <c r="A107" s="10">
        <v>13</v>
      </c>
      <c r="B107" s="10" t="s">
        <v>435</v>
      </c>
      <c r="C107" s="10">
        <v>1384</v>
      </c>
      <c r="D107" s="10" t="s">
        <v>447</v>
      </c>
      <c r="E107" s="11">
        <v>15807</v>
      </c>
      <c r="F107" s="11">
        <v>18801</v>
      </c>
      <c r="G107" s="11">
        <v>34608</v>
      </c>
      <c r="H107" s="11">
        <v>16961</v>
      </c>
    </row>
    <row r="108" spans="1:8" x14ac:dyDescent="0.2">
      <c r="A108" s="10">
        <v>13</v>
      </c>
      <c r="B108" s="10" t="s">
        <v>435</v>
      </c>
      <c r="C108" s="10">
        <v>1386</v>
      </c>
      <c r="D108" s="10" t="s">
        <v>448</v>
      </c>
      <c r="E108" s="11">
        <v>7665</v>
      </c>
      <c r="F108" s="11">
        <v>8824</v>
      </c>
      <c r="G108" s="11">
        <v>16489</v>
      </c>
      <c r="H108" s="11">
        <v>9185</v>
      </c>
    </row>
    <row r="109" spans="1:8" x14ac:dyDescent="0.2">
      <c r="A109" s="10">
        <v>13</v>
      </c>
      <c r="B109" s="10" t="s">
        <v>435</v>
      </c>
      <c r="C109" s="10">
        <v>1387</v>
      </c>
      <c r="D109" s="10" t="s">
        <v>449</v>
      </c>
      <c r="E109" s="11">
        <v>5540</v>
      </c>
      <c r="F109" s="11">
        <v>5929</v>
      </c>
      <c r="G109" s="11">
        <v>11469</v>
      </c>
      <c r="H109" s="11">
        <v>5209</v>
      </c>
    </row>
    <row r="110" spans="1:8" x14ac:dyDescent="0.2">
      <c r="A110" s="10">
        <v>13</v>
      </c>
      <c r="B110" s="10" t="s">
        <v>435</v>
      </c>
      <c r="C110" s="10">
        <v>1388</v>
      </c>
      <c r="D110" s="10" t="s">
        <v>450</v>
      </c>
      <c r="E110" s="11">
        <v>10211</v>
      </c>
      <c r="F110" s="11">
        <v>11422</v>
      </c>
      <c r="G110" s="11">
        <v>21633</v>
      </c>
      <c r="H110" s="11">
        <v>11782</v>
      </c>
    </row>
    <row r="111" spans="1:8" x14ac:dyDescent="0.2">
      <c r="A111" s="10">
        <v>13</v>
      </c>
      <c r="B111" s="10" t="s">
        <v>435</v>
      </c>
      <c r="C111" s="10">
        <v>1389</v>
      </c>
      <c r="D111" s="10" t="s">
        <v>451</v>
      </c>
      <c r="E111" s="11">
        <v>1334</v>
      </c>
      <c r="F111" s="11">
        <v>1399</v>
      </c>
      <c r="G111" s="11">
        <v>2733</v>
      </c>
      <c r="H111" s="11">
        <v>1088</v>
      </c>
    </row>
    <row r="112" spans="1:8" x14ac:dyDescent="0.2">
      <c r="A112" s="10">
        <v>13</v>
      </c>
      <c r="B112" s="10" t="s">
        <v>435</v>
      </c>
      <c r="C112" s="10">
        <v>1390</v>
      </c>
      <c r="D112" s="10" t="s">
        <v>452</v>
      </c>
      <c r="E112" s="11">
        <v>5387</v>
      </c>
      <c r="F112" s="11">
        <v>5788</v>
      </c>
      <c r="G112" s="11">
        <v>11175</v>
      </c>
      <c r="H112" s="11">
        <v>6073</v>
      </c>
    </row>
    <row r="113" spans="1:8" x14ac:dyDescent="0.2">
      <c r="A113" s="10">
        <v>13</v>
      </c>
      <c r="B113" s="10" t="s">
        <v>435</v>
      </c>
      <c r="C113" s="10">
        <v>1391</v>
      </c>
      <c r="D113" s="10" t="s">
        <v>453</v>
      </c>
      <c r="E113" s="11">
        <v>1995</v>
      </c>
      <c r="F113" s="11">
        <v>2067</v>
      </c>
      <c r="G113" s="11">
        <v>4062</v>
      </c>
      <c r="H113" s="11">
        <v>2019</v>
      </c>
    </row>
    <row r="114" spans="1:8" x14ac:dyDescent="0.2">
      <c r="A114" s="10">
        <v>13</v>
      </c>
      <c r="B114" s="10" t="s">
        <v>435</v>
      </c>
      <c r="C114" s="10">
        <v>1392</v>
      </c>
      <c r="D114" s="10" t="s">
        <v>454</v>
      </c>
      <c r="E114" s="11">
        <v>15645</v>
      </c>
      <c r="F114" s="11">
        <v>17542</v>
      </c>
      <c r="G114" s="11">
        <v>33187</v>
      </c>
      <c r="H114" s="11">
        <v>18204</v>
      </c>
    </row>
    <row r="115" spans="1:8" x14ac:dyDescent="0.2">
      <c r="A115" s="10">
        <v>13</v>
      </c>
      <c r="B115" s="10" t="s">
        <v>435</v>
      </c>
      <c r="C115" s="10">
        <v>1393</v>
      </c>
      <c r="D115" s="10" t="s">
        <v>455</v>
      </c>
      <c r="E115" s="11">
        <v>31208</v>
      </c>
      <c r="F115" s="11">
        <v>34678</v>
      </c>
      <c r="G115" s="11">
        <v>65886</v>
      </c>
      <c r="H115" s="11">
        <v>35018</v>
      </c>
    </row>
    <row r="116" spans="1:8" x14ac:dyDescent="0.2">
      <c r="A116" s="10">
        <v>13</v>
      </c>
      <c r="B116" s="10" t="s">
        <v>435</v>
      </c>
      <c r="C116" s="10">
        <v>1394</v>
      </c>
      <c r="D116" s="10" t="s">
        <v>456</v>
      </c>
      <c r="E116" s="11">
        <v>34625</v>
      </c>
      <c r="F116" s="11">
        <v>39684</v>
      </c>
      <c r="G116" s="11">
        <v>74309</v>
      </c>
      <c r="H116" s="11">
        <v>65588</v>
      </c>
    </row>
    <row r="117" spans="1:8" x14ac:dyDescent="0.2">
      <c r="A117" s="10">
        <v>13</v>
      </c>
      <c r="B117" s="10" t="s">
        <v>435</v>
      </c>
      <c r="C117" s="10">
        <v>1395</v>
      </c>
      <c r="D117" s="10" t="s">
        <v>457</v>
      </c>
      <c r="E117" s="11">
        <v>3751</v>
      </c>
      <c r="F117" s="11">
        <v>4220</v>
      </c>
      <c r="G117" s="11">
        <v>7971</v>
      </c>
      <c r="H117" s="11">
        <v>4625</v>
      </c>
    </row>
    <row r="118" spans="1:8" x14ac:dyDescent="0.2">
      <c r="A118" s="10">
        <v>13</v>
      </c>
      <c r="B118" s="10" t="s">
        <v>435</v>
      </c>
      <c r="C118" s="10">
        <v>1396</v>
      </c>
      <c r="D118" s="10" t="s">
        <v>458</v>
      </c>
      <c r="E118" s="11">
        <v>34959</v>
      </c>
      <c r="F118" s="11">
        <v>39828</v>
      </c>
      <c r="G118" s="11">
        <v>74787</v>
      </c>
      <c r="H118" s="11">
        <v>60771</v>
      </c>
    </row>
    <row r="119" spans="1:8" x14ac:dyDescent="0.2">
      <c r="A119" s="10">
        <v>13</v>
      </c>
      <c r="B119" s="10" t="s">
        <v>435</v>
      </c>
      <c r="C119" s="10">
        <v>1397</v>
      </c>
      <c r="D119" s="10" t="s">
        <v>459</v>
      </c>
      <c r="E119" s="11">
        <v>19829</v>
      </c>
      <c r="F119" s="11">
        <v>22243</v>
      </c>
      <c r="G119" s="11">
        <v>42072</v>
      </c>
      <c r="H119" s="11">
        <v>29248</v>
      </c>
    </row>
    <row r="120" spans="1:8" x14ac:dyDescent="0.2">
      <c r="A120" s="10">
        <v>13</v>
      </c>
      <c r="B120" s="10" t="s">
        <v>435</v>
      </c>
      <c r="C120" s="10">
        <v>1398</v>
      </c>
      <c r="D120" s="10" t="s">
        <v>460</v>
      </c>
      <c r="E120" s="11">
        <v>39418</v>
      </c>
      <c r="F120" s="11">
        <v>45906</v>
      </c>
      <c r="G120" s="11">
        <v>85324</v>
      </c>
      <c r="H120" s="11">
        <v>58403</v>
      </c>
    </row>
    <row r="121" spans="1:8" x14ac:dyDescent="0.2">
      <c r="A121" s="10">
        <v>13</v>
      </c>
      <c r="B121" s="10" t="s">
        <v>435</v>
      </c>
      <c r="C121" s="10">
        <v>1399</v>
      </c>
      <c r="D121" s="10" t="s">
        <v>461</v>
      </c>
      <c r="E121" s="11">
        <v>10375</v>
      </c>
      <c r="F121" s="11">
        <v>11745</v>
      </c>
      <c r="G121" s="11">
        <v>22120</v>
      </c>
      <c r="H121" s="11">
        <v>9684</v>
      </c>
    </row>
    <row r="122" spans="1:8" x14ac:dyDescent="0.2">
      <c r="A122" s="10">
        <v>14</v>
      </c>
      <c r="B122" s="10" t="s">
        <v>462</v>
      </c>
      <c r="C122" s="10">
        <v>1401</v>
      </c>
      <c r="D122" s="10" t="s">
        <v>463</v>
      </c>
      <c r="E122" s="11">
        <v>34471</v>
      </c>
      <c r="F122" s="11">
        <v>37891</v>
      </c>
      <c r="G122" s="11">
        <v>72362</v>
      </c>
      <c r="H122" s="11">
        <v>27558</v>
      </c>
    </row>
    <row r="123" spans="1:8" x14ac:dyDescent="0.2">
      <c r="A123" s="10">
        <v>14</v>
      </c>
      <c r="B123" s="10" t="s">
        <v>462</v>
      </c>
      <c r="C123" s="10">
        <v>1402</v>
      </c>
      <c r="D123" s="10" t="s">
        <v>464</v>
      </c>
      <c r="E123" s="11">
        <v>14680</v>
      </c>
      <c r="F123" s="11">
        <v>16177</v>
      </c>
      <c r="G123" s="11">
        <v>30857</v>
      </c>
      <c r="H123" s="11">
        <v>12016</v>
      </c>
    </row>
    <row r="124" spans="1:8" x14ac:dyDescent="0.2">
      <c r="A124" s="10">
        <v>14</v>
      </c>
      <c r="B124" s="10" t="s">
        <v>462</v>
      </c>
      <c r="C124" s="10">
        <v>1403</v>
      </c>
      <c r="D124" s="10" t="s">
        <v>465</v>
      </c>
      <c r="E124" s="11">
        <v>10547</v>
      </c>
      <c r="F124" s="11">
        <v>11571</v>
      </c>
      <c r="G124" s="11">
        <v>22118</v>
      </c>
      <c r="H124" s="11">
        <v>12395</v>
      </c>
    </row>
    <row r="125" spans="1:8" x14ac:dyDescent="0.2">
      <c r="A125" s="10">
        <v>14</v>
      </c>
      <c r="B125" s="10" t="s">
        <v>462</v>
      </c>
      <c r="C125" s="10">
        <v>1404</v>
      </c>
      <c r="D125" s="10" t="s">
        <v>466</v>
      </c>
      <c r="E125" s="11">
        <v>15281</v>
      </c>
      <c r="F125" s="11">
        <v>16112</v>
      </c>
      <c r="G125" s="11">
        <v>31393</v>
      </c>
      <c r="H125" s="11">
        <v>11241</v>
      </c>
    </row>
    <row r="126" spans="1:8" x14ac:dyDescent="0.2">
      <c r="A126" s="10">
        <v>14</v>
      </c>
      <c r="B126" s="10" t="s">
        <v>462</v>
      </c>
      <c r="C126" s="10">
        <v>1405</v>
      </c>
      <c r="D126" s="10" t="s">
        <v>467</v>
      </c>
      <c r="E126" s="11">
        <v>6817</v>
      </c>
      <c r="F126" s="11">
        <v>7399</v>
      </c>
      <c r="G126" s="11">
        <v>14216</v>
      </c>
      <c r="H126" s="11">
        <v>5639</v>
      </c>
    </row>
    <row r="127" spans="1:8" x14ac:dyDescent="0.2">
      <c r="A127" s="10">
        <v>14</v>
      </c>
      <c r="B127" s="10" t="s">
        <v>462</v>
      </c>
      <c r="C127" s="10">
        <v>1406</v>
      </c>
      <c r="D127" s="10" t="s">
        <v>468</v>
      </c>
      <c r="E127" s="11">
        <v>19043</v>
      </c>
      <c r="F127" s="11">
        <v>20931</v>
      </c>
      <c r="G127" s="11">
        <v>39974</v>
      </c>
      <c r="H127" s="11">
        <v>19079</v>
      </c>
    </row>
    <row r="128" spans="1:8" x14ac:dyDescent="0.2">
      <c r="A128" s="10">
        <v>14</v>
      </c>
      <c r="B128" s="10" t="s">
        <v>462</v>
      </c>
      <c r="C128" s="10">
        <v>1407</v>
      </c>
      <c r="D128" s="10" t="s">
        <v>469</v>
      </c>
      <c r="E128" s="11">
        <v>17399</v>
      </c>
      <c r="F128" s="11">
        <v>18569</v>
      </c>
      <c r="G128" s="11">
        <v>35968</v>
      </c>
      <c r="H128" s="11">
        <v>13122</v>
      </c>
    </row>
    <row r="129" spans="1:8" x14ac:dyDescent="0.2">
      <c r="A129" s="10">
        <v>14</v>
      </c>
      <c r="B129" s="10" t="s">
        <v>462</v>
      </c>
      <c r="C129" s="10">
        <v>1408</v>
      </c>
      <c r="D129" s="10" t="s">
        <v>470</v>
      </c>
      <c r="E129" s="11">
        <v>10398</v>
      </c>
      <c r="F129" s="11">
        <v>11217</v>
      </c>
      <c r="G129" s="11">
        <v>21615</v>
      </c>
      <c r="H129" s="11">
        <v>7573</v>
      </c>
    </row>
    <row r="130" spans="1:8" x14ac:dyDescent="0.2">
      <c r="A130" s="10">
        <v>14</v>
      </c>
      <c r="B130" s="10" t="s">
        <v>462</v>
      </c>
      <c r="C130" s="10">
        <v>1409</v>
      </c>
      <c r="D130" s="10" t="s">
        <v>471</v>
      </c>
      <c r="E130" s="11">
        <v>12548</v>
      </c>
      <c r="F130" s="11">
        <v>13293</v>
      </c>
      <c r="G130" s="11">
        <v>25841</v>
      </c>
      <c r="H130" s="11">
        <v>8876</v>
      </c>
    </row>
    <row r="131" spans="1:8" x14ac:dyDescent="0.2">
      <c r="A131" s="10">
        <v>14</v>
      </c>
      <c r="B131" s="10" t="s">
        <v>462</v>
      </c>
      <c r="C131" s="10">
        <v>1410</v>
      </c>
      <c r="D131" s="10" t="s">
        <v>472</v>
      </c>
      <c r="E131" s="11">
        <v>14649</v>
      </c>
      <c r="F131" s="11">
        <v>15025</v>
      </c>
      <c r="G131" s="11">
        <v>29674</v>
      </c>
      <c r="H131" s="11">
        <v>10235</v>
      </c>
    </row>
    <row r="132" spans="1:8" x14ac:dyDescent="0.2">
      <c r="A132" s="10">
        <v>14</v>
      </c>
      <c r="B132" s="10" t="s">
        <v>462</v>
      </c>
      <c r="C132" s="10">
        <v>1411</v>
      </c>
      <c r="D132" s="10" t="s">
        <v>473</v>
      </c>
      <c r="E132" s="11">
        <v>28592</v>
      </c>
      <c r="F132" s="11">
        <v>30246</v>
      </c>
      <c r="G132" s="11">
        <v>58838</v>
      </c>
      <c r="H132" s="11">
        <v>28560</v>
      </c>
    </row>
    <row r="133" spans="1:8" x14ac:dyDescent="0.2">
      <c r="A133" s="10">
        <v>14</v>
      </c>
      <c r="B133" s="10" t="s">
        <v>462</v>
      </c>
      <c r="C133" s="10">
        <v>1412</v>
      </c>
      <c r="D133" s="10" t="s">
        <v>474</v>
      </c>
      <c r="E133" s="11">
        <v>14780</v>
      </c>
      <c r="F133" s="11">
        <v>15677</v>
      </c>
      <c r="G133" s="11">
        <v>30457</v>
      </c>
      <c r="H133" s="11">
        <v>10296</v>
      </c>
    </row>
    <row r="134" spans="1:8" x14ac:dyDescent="0.2">
      <c r="A134" s="10">
        <v>14</v>
      </c>
      <c r="B134" s="10" t="s">
        <v>462</v>
      </c>
      <c r="C134" s="10">
        <v>1413</v>
      </c>
      <c r="D134" s="10" t="s">
        <v>475</v>
      </c>
      <c r="E134" s="11">
        <v>6745</v>
      </c>
      <c r="F134" s="11">
        <v>6895</v>
      </c>
      <c r="G134" s="11">
        <v>13640</v>
      </c>
      <c r="H134" s="11">
        <v>4652</v>
      </c>
    </row>
    <row r="135" spans="1:8" x14ac:dyDescent="0.2">
      <c r="A135" s="10">
        <v>14</v>
      </c>
      <c r="B135" s="10" t="s">
        <v>462</v>
      </c>
      <c r="C135" s="10">
        <v>1414</v>
      </c>
      <c r="D135" s="10" t="s">
        <v>476</v>
      </c>
      <c r="E135" s="11">
        <v>22617</v>
      </c>
      <c r="F135" s="11">
        <v>24526</v>
      </c>
      <c r="G135" s="11">
        <v>47143</v>
      </c>
      <c r="H135" s="11">
        <v>23369</v>
      </c>
    </row>
    <row r="136" spans="1:8" x14ac:dyDescent="0.2">
      <c r="A136" s="10">
        <v>14</v>
      </c>
      <c r="B136" s="10" t="s">
        <v>462</v>
      </c>
      <c r="C136" s="10">
        <v>1415</v>
      </c>
      <c r="D136" s="10" t="s">
        <v>477</v>
      </c>
      <c r="E136" s="11">
        <v>6364</v>
      </c>
      <c r="F136" s="11">
        <v>6984</v>
      </c>
      <c r="G136" s="11">
        <v>13348</v>
      </c>
      <c r="H136" s="11">
        <v>5342</v>
      </c>
    </row>
    <row r="137" spans="1:8" x14ac:dyDescent="0.2">
      <c r="A137" s="10">
        <v>14</v>
      </c>
      <c r="B137" s="10" t="s">
        <v>462</v>
      </c>
      <c r="C137" s="10">
        <v>1416</v>
      </c>
      <c r="D137" s="10" t="s">
        <v>478</v>
      </c>
      <c r="E137" s="11">
        <v>3121</v>
      </c>
      <c r="F137" s="11">
        <v>3568</v>
      </c>
      <c r="G137" s="11">
        <v>6689</v>
      </c>
      <c r="H137" s="11">
        <v>2766</v>
      </c>
    </row>
    <row r="138" spans="1:8" x14ac:dyDescent="0.2">
      <c r="A138" s="10">
        <v>14</v>
      </c>
      <c r="B138" s="10" t="s">
        <v>462</v>
      </c>
      <c r="C138" s="10">
        <v>1465</v>
      </c>
      <c r="D138" s="10" t="s">
        <v>479</v>
      </c>
      <c r="E138" s="11">
        <v>6931</v>
      </c>
      <c r="F138" s="11">
        <v>8122</v>
      </c>
      <c r="G138" s="11">
        <v>15053</v>
      </c>
      <c r="H138" s="11">
        <v>10719</v>
      </c>
    </row>
    <row r="139" spans="1:8" x14ac:dyDescent="0.2">
      <c r="A139" s="10">
        <v>14</v>
      </c>
      <c r="B139" s="10" t="s">
        <v>462</v>
      </c>
      <c r="C139" s="10">
        <v>1466</v>
      </c>
      <c r="D139" s="10" t="s">
        <v>480</v>
      </c>
      <c r="E139" s="11">
        <v>3670</v>
      </c>
      <c r="F139" s="11">
        <v>3823</v>
      </c>
      <c r="G139" s="11">
        <v>7493</v>
      </c>
      <c r="H139" s="11">
        <v>3061</v>
      </c>
    </row>
    <row r="140" spans="1:8" x14ac:dyDescent="0.2">
      <c r="A140" s="10">
        <v>14</v>
      </c>
      <c r="B140" s="10" t="s">
        <v>462</v>
      </c>
      <c r="C140" s="10">
        <v>1467</v>
      </c>
      <c r="D140" s="10" t="s">
        <v>481</v>
      </c>
      <c r="E140" s="11">
        <v>3199</v>
      </c>
      <c r="F140" s="11">
        <v>3550</v>
      </c>
      <c r="G140" s="11">
        <v>6749</v>
      </c>
      <c r="H140" s="11">
        <v>3047</v>
      </c>
    </row>
    <row r="141" spans="1:8" x14ac:dyDescent="0.2">
      <c r="A141" s="10">
        <v>14</v>
      </c>
      <c r="B141" s="10" t="s">
        <v>462</v>
      </c>
      <c r="C141" s="10">
        <v>1468</v>
      </c>
      <c r="D141" s="10" t="s">
        <v>482</v>
      </c>
      <c r="E141" s="11">
        <v>3673</v>
      </c>
      <c r="F141" s="11">
        <v>4150</v>
      </c>
      <c r="G141" s="11">
        <v>7823</v>
      </c>
      <c r="H141" s="11">
        <v>4352</v>
      </c>
    </row>
    <row r="142" spans="1:8" x14ac:dyDescent="0.2">
      <c r="A142" s="10">
        <v>14</v>
      </c>
      <c r="B142" s="10" t="s">
        <v>462</v>
      </c>
      <c r="C142" s="10">
        <v>1469</v>
      </c>
      <c r="D142" s="10" t="s">
        <v>483</v>
      </c>
      <c r="E142" s="11">
        <v>6321</v>
      </c>
      <c r="F142" s="11">
        <v>7321</v>
      </c>
      <c r="G142" s="11">
        <v>13642</v>
      </c>
      <c r="H142" s="11">
        <v>6045</v>
      </c>
    </row>
    <row r="143" spans="1:8" x14ac:dyDescent="0.2">
      <c r="A143" s="10">
        <v>14</v>
      </c>
      <c r="B143" s="10" t="s">
        <v>462</v>
      </c>
      <c r="C143" s="10">
        <v>1470</v>
      </c>
      <c r="D143" s="10" t="s">
        <v>484</v>
      </c>
      <c r="E143" s="11">
        <v>4982</v>
      </c>
      <c r="F143" s="11">
        <v>5303</v>
      </c>
      <c r="G143" s="11">
        <v>10285</v>
      </c>
      <c r="H143" s="11">
        <v>4727</v>
      </c>
    </row>
    <row r="144" spans="1:8" x14ac:dyDescent="0.2">
      <c r="A144" s="10">
        <v>14</v>
      </c>
      <c r="B144" s="10" t="s">
        <v>462</v>
      </c>
      <c r="C144" s="10">
        <v>1471</v>
      </c>
      <c r="D144" s="10" t="s">
        <v>485</v>
      </c>
      <c r="E144" s="11">
        <v>4598</v>
      </c>
      <c r="F144" s="11">
        <v>5163</v>
      </c>
      <c r="G144" s="11">
        <v>9761</v>
      </c>
      <c r="H144" s="11">
        <v>6103</v>
      </c>
    </row>
    <row r="145" spans="1:8" x14ac:dyDescent="0.2">
      <c r="A145" s="10">
        <v>14</v>
      </c>
      <c r="B145" s="10" t="s">
        <v>462</v>
      </c>
      <c r="C145" s="10">
        <v>1472</v>
      </c>
      <c r="D145" s="10" t="s">
        <v>486</v>
      </c>
      <c r="E145" s="11">
        <v>2487</v>
      </c>
      <c r="F145" s="11">
        <v>2823</v>
      </c>
      <c r="G145" s="11">
        <v>5310</v>
      </c>
      <c r="H145" s="11">
        <v>3511</v>
      </c>
    </row>
    <row r="146" spans="1:8" x14ac:dyDescent="0.2">
      <c r="A146" s="10">
        <v>14</v>
      </c>
      <c r="B146" s="10" t="s">
        <v>462</v>
      </c>
      <c r="C146" s="10">
        <v>1473</v>
      </c>
      <c r="D146" s="10" t="s">
        <v>487</v>
      </c>
      <c r="E146" s="10">
        <v>921</v>
      </c>
      <c r="F146" s="11">
        <v>1000</v>
      </c>
      <c r="G146" s="11">
        <v>1921</v>
      </c>
      <c r="H146" s="10">
        <v>892</v>
      </c>
    </row>
    <row r="147" spans="1:8" x14ac:dyDescent="0.2">
      <c r="A147" s="10">
        <v>14</v>
      </c>
      <c r="B147" s="10" t="s">
        <v>462</v>
      </c>
      <c r="C147" s="10">
        <v>1474</v>
      </c>
      <c r="D147" s="10" t="s">
        <v>488</v>
      </c>
      <c r="E147" s="11">
        <v>2913</v>
      </c>
      <c r="F147" s="11">
        <v>3180</v>
      </c>
      <c r="G147" s="11">
        <v>6093</v>
      </c>
      <c r="H147" s="11">
        <v>2573</v>
      </c>
    </row>
    <row r="148" spans="1:8" x14ac:dyDescent="0.2">
      <c r="A148" s="10">
        <v>14</v>
      </c>
      <c r="B148" s="10" t="s">
        <v>462</v>
      </c>
      <c r="C148" s="10">
        <v>1475</v>
      </c>
      <c r="D148" s="10" t="s">
        <v>489</v>
      </c>
      <c r="E148" s="11">
        <v>1541</v>
      </c>
      <c r="F148" s="11">
        <v>1631</v>
      </c>
      <c r="G148" s="11">
        <v>3172</v>
      </c>
      <c r="H148" s="11">
        <v>1506</v>
      </c>
    </row>
    <row r="149" spans="1:8" x14ac:dyDescent="0.2">
      <c r="A149" s="10">
        <v>14</v>
      </c>
      <c r="B149" s="10" t="s">
        <v>462</v>
      </c>
      <c r="C149" s="10">
        <v>1476</v>
      </c>
      <c r="D149" s="10" t="s">
        <v>490</v>
      </c>
      <c r="E149" s="11">
        <v>3461</v>
      </c>
      <c r="F149" s="11">
        <v>3980</v>
      </c>
      <c r="G149" s="11">
        <v>7441</v>
      </c>
      <c r="H149" s="11">
        <v>4734</v>
      </c>
    </row>
    <row r="150" spans="1:8" x14ac:dyDescent="0.2">
      <c r="A150" s="10">
        <v>14</v>
      </c>
      <c r="B150" s="10" t="s">
        <v>462</v>
      </c>
      <c r="C150" s="10">
        <v>1477</v>
      </c>
      <c r="D150" s="10" t="s">
        <v>491</v>
      </c>
      <c r="E150" s="11">
        <v>2507</v>
      </c>
      <c r="F150" s="11">
        <v>2679</v>
      </c>
      <c r="G150" s="11">
        <v>5186</v>
      </c>
      <c r="H150" s="11">
        <v>1957</v>
      </c>
    </row>
    <row r="151" spans="1:8" x14ac:dyDescent="0.2">
      <c r="A151" s="10">
        <v>14</v>
      </c>
      <c r="B151" s="10" t="s">
        <v>462</v>
      </c>
      <c r="C151" s="10">
        <v>1478</v>
      </c>
      <c r="D151" s="10" t="s">
        <v>492</v>
      </c>
      <c r="E151" s="11">
        <v>2710</v>
      </c>
      <c r="F151" s="11">
        <v>2955</v>
      </c>
      <c r="G151" s="11">
        <v>5665</v>
      </c>
      <c r="H151" s="11">
        <v>1860</v>
      </c>
    </row>
    <row r="152" spans="1:8" x14ac:dyDescent="0.2">
      <c r="A152" s="10">
        <v>14</v>
      </c>
      <c r="B152" s="10" t="s">
        <v>462</v>
      </c>
      <c r="C152" s="10">
        <v>1479</v>
      </c>
      <c r="D152" s="10" t="s">
        <v>493</v>
      </c>
      <c r="E152" s="11">
        <v>10705</v>
      </c>
      <c r="F152" s="11">
        <v>11338</v>
      </c>
      <c r="G152" s="11">
        <v>22043</v>
      </c>
      <c r="H152" s="11">
        <v>10322</v>
      </c>
    </row>
    <row r="153" spans="1:8" x14ac:dyDescent="0.2">
      <c r="A153" s="10">
        <v>14</v>
      </c>
      <c r="B153" s="10" t="s">
        <v>462</v>
      </c>
      <c r="C153" s="10">
        <v>1480</v>
      </c>
      <c r="D153" s="10" t="s">
        <v>494</v>
      </c>
      <c r="E153" s="11">
        <v>1264</v>
      </c>
      <c r="F153" s="11">
        <v>1308</v>
      </c>
      <c r="G153" s="11">
        <v>2572</v>
      </c>
      <c r="H153" s="11">
        <v>1459</v>
      </c>
    </row>
    <row r="154" spans="1:8" x14ac:dyDescent="0.2">
      <c r="A154" s="10">
        <v>14</v>
      </c>
      <c r="B154" s="10" t="s">
        <v>462</v>
      </c>
      <c r="C154" s="10">
        <v>1481</v>
      </c>
      <c r="D154" s="10" t="s">
        <v>495</v>
      </c>
      <c r="E154" s="11">
        <v>2417</v>
      </c>
      <c r="F154" s="11">
        <v>2758</v>
      </c>
      <c r="G154" s="11">
        <v>5175</v>
      </c>
      <c r="H154" s="11">
        <v>2642</v>
      </c>
    </row>
    <row r="155" spans="1:8" x14ac:dyDescent="0.2">
      <c r="A155" s="10">
        <v>14</v>
      </c>
      <c r="B155" s="10" t="s">
        <v>462</v>
      </c>
      <c r="C155" s="10">
        <v>1482</v>
      </c>
      <c r="D155" s="10" t="s">
        <v>496</v>
      </c>
      <c r="E155" s="11">
        <v>3530</v>
      </c>
      <c r="F155" s="11">
        <v>3701</v>
      </c>
      <c r="G155" s="11">
        <v>7231</v>
      </c>
      <c r="H155" s="11">
        <v>2858</v>
      </c>
    </row>
    <row r="156" spans="1:8" x14ac:dyDescent="0.2">
      <c r="A156" s="10">
        <v>14</v>
      </c>
      <c r="B156" s="10" t="s">
        <v>462</v>
      </c>
      <c r="C156" s="10">
        <v>1483</v>
      </c>
      <c r="D156" s="10" t="s">
        <v>497</v>
      </c>
      <c r="E156" s="11">
        <v>4401</v>
      </c>
      <c r="F156" s="11">
        <v>4688</v>
      </c>
      <c r="G156" s="11">
        <v>9089</v>
      </c>
      <c r="H156" s="11">
        <v>4451</v>
      </c>
    </row>
    <row r="157" spans="1:8" x14ac:dyDescent="0.2">
      <c r="A157" s="10">
        <v>14</v>
      </c>
      <c r="B157" s="10" t="s">
        <v>462</v>
      </c>
      <c r="C157" s="10">
        <v>1484</v>
      </c>
      <c r="D157" s="10" t="s">
        <v>498</v>
      </c>
      <c r="E157" s="11">
        <v>4436</v>
      </c>
      <c r="F157" s="11">
        <v>5032</v>
      </c>
      <c r="G157" s="11">
        <v>9468</v>
      </c>
      <c r="H157" s="11">
        <v>6919</v>
      </c>
    </row>
    <row r="158" spans="1:8" x14ac:dyDescent="0.2">
      <c r="A158" s="10">
        <v>14</v>
      </c>
      <c r="B158" s="10" t="s">
        <v>462</v>
      </c>
      <c r="C158" s="10">
        <v>1485</v>
      </c>
      <c r="D158" s="10" t="s">
        <v>499</v>
      </c>
      <c r="E158" s="11">
        <v>5322</v>
      </c>
      <c r="F158" s="11">
        <v>6152</v>
      </c>
      <c r="G158" s="11">
        <v>11474</v>
      </c>
      <c r="H158" s="11">
        <v>7605</v>
      </c>
    </row>
    <row r="159" spans="1:8" x14ac:dyDescent="0.2">
      <c r="A159" s="10">
        <v>14</v>
      </c>
      <c r="B159" s="10" t="s">
        <v>462</v>
      </c>
      <c r="C159" s="10">
        <v>1486</v>
      </c>
      <c r="D159" s="10" t="s">
        <v>500</v>
      </c>
      <c r="E159" s="11">
        <v>3124</v>
      </c>
      <c r="F159" s="11">
        <v>3222</v>
      </c>
      <c r="G159" s="11">
        <v>6346</v>
      </c>
      <c r="H159" s="11">
        <v>2210</v>
      </c>
    </row>
    <row r="160" spans="1:8" x14ac:dyDescent="0.2">
      <c r="A160" s="10">
        <v>14</v>
      </c>
      <c r="B160" s="10" t="s">
        <v>462</v>
      </c>
      <c r="C160" s="10">
        <v>1487</v>
      </c>
      <c r="D160" s="10" t="s">
        <v>501</v>
      </c>
      <c r="E160" s="11">
        <v>2413</v>
      </c>
      <c r="F160" s="11">
        <v>2707</v>
      </c>
      <c r="G160" s="11">
        <v>5120</v>
      </c>
      <c r="H160" s="11">
        <v>2280</v>
      </c>
    </row>
    <row r="161" spans="1:8" x14ac:dyDescent="0.2">
      <c r="A161" s="10">
        <v>14</v>
      </c>
      <c r="B161" s="10" t="s">
        <v>462</v>
      </c>
      <c r="C161" s="10">
        <v>1488</v>
      </c>
      <c r="D161" s="10" t="s">
        <v>502</v>
      </c>
      <c r="E161" s="11">
        <v>4037</v>
      </c>
      <c r="F161" s="11">
        <v>4286</v>
      </c>
      <c r="G161" s="11">
        <v>8323</v>
      </c>
      <c r="H161" s="11">
        <v>3426</v>
      </c>
    </row>
    <row r="162" spans="1:8" x14ac:dyDescent="0.2">
      <c r="A162" s="10">
        <v>14</v>
      </c>
      <c r="B162" s="10" t="s">
        <v>462</v>
      </c>
      <c r="C162" s="10">
        <v>1489</v>
      </c>
      <c r="D162" s="10" t="s">
        <v>503</v>
      </c>
      <c r="E162" s="11">
        <v>5094</v>
      </c>
      <c r="F162" s="11">
        <v>5592</v>
      </c>
      <c r="G162" s="11">
        <v>10686</v>
      </c>
      <c r="H162" s="11">
        <v>3851</v>
      </c>
    </row>
    <row r="163" spans="1:8" x14ac:dyDescent="0.2">
      <c r="A163" s="10">
        <v>14</v>
      </c>
      <c r="B163" s="10" t="s">
        <v>462</v>
      </c>
      <c r="C163" s="10">
        <v>1490</v>
      </c>
      <c r="D163" s="10" t="s">
        <v>504</v>
      </c>
      <c r="E163" s="11">
        <v>3011</v>
      </c>
      <c r="F163" s="11">
        <v>3090</v>
      </c>
      <c r="G163" s="11">
        <v>6101</v>
      </c>
      <c r="H163" s="11">
        <v>1900</v>
      </c>
    </row>
    <row r="164" spans="1:8" x14ac:dyDescent="0.2">
      <c r="A164" s="10">
        <v>14</v>
      </c>
      <c r="B164" s="10" t="s">
        <v>462</v>
      </c>
      <c r="C164" s="10">
        <v>1491</v>
      </c>
      <c r="D164" s="10" t="s">
        <v>505</v>
      </c>
      <c r="E164" s="11">
        <v>4910</v>
      </c>
      <c r="F164" s="11">
        <v>5127</v>
      </c>
      <c r="G164" s="11">
        <v>10037</v>
      </c>
      <c r="H164" s="11">
        <v>4048</v>
      </c>
    </row>
    <row r="165" spans="1:8" x14ac:dyDescent="0.2">
      <c r="A165" s="10">
        <v>14</v>
      </c>
      <c r="B165" s="10" t="s">
        <v>462</v>
      </c>
      <c r="C165" s="10">
        <v>1492</v>
      </c>
      <c r="D165" s="10" t="s">
        <v>506</v>
      </c>
      <c r="E165" s="11">
        <v>3653</v>
      </c>
      <c r="F165" s="11">
        <v>3907</v>
      </c>
      <c r="G165" s="11">
        <v>7560</v>
      </c>
      <c r="H165" s="11">
        <v>2910</v>
      </c>
    </row>
    <row r="166" spans="1:8" x14ac:dyDescent="0.2">
      <c r="A166" s="10">
        <v>14</v>
      </c>
      <c r="B166" s="10" t="s">
        <v>462</v>
      </c>
      <c r="C166" s="10">
        <v>1493</v>
      </c>
      <c r="D166" s="10" t="s">
        <v>507</v>
      </c>
      <c r="E166" s="11">
        <v>3229</v>
      </c>
      <c r="F166" s="11">
        <v>3520</v>
      </c>
      <c r="G166" s="11">
        <v>6749</v>
      </c>
      <c r="H166" s="11">
        <v>3079</v>
      </c>
    </row>
    <row r="167" spans="1:8" x14ac:dyDescent="0.2">
      <c r="A167" s="10">
        <v>14</v>
      </c>
      <c r="B167" s="10" t="s">
        <v>462</v>
      </c>
      <c r="C167" s="10">
        <v>1494</v>
      </c>
      <c r="D167" s="10" t="s">
        <v>508</v>
      </c>
      <c r="E167" s="11">
        <v>3793</v>
      </c>
      <c r="F167" s="11">
        <v>4241</v>
      </c>
      <c r="G167" s="11">
        <v>8034</v>
      </c>
      <c r="H167" s="11">
        <v>4190</v>
      </c>
    </row>
    <row r="168" spans="1:8" x14ac:dyDescent="0.2">
      <c r="A168" s="10">
        <v>14</v>
      </c>
      <c r="B168" s="10" t="s">
        <v>462</v>
      </c>
      <c r="C168" s="10">
        <v>1495</v>
      </c>
      <c r="D168" s="10" t="s">
        <v>509</v>
      </c>
      <c r="E168" s="11">
        <v>9053</v>
      </c>
      <c r="F168" s="11">
        <v>10645</v>
      </c>
      <c r="G168" s="11">
        <v>19698</v>
      </c>
      <c r="H168" s="11">
        <v>11524</v>
      </c>
    </row>
    <row r="169" spans="1:8" x14ac:dyDescent="0.2">
      <c r="A169" s="10">
        <v>14</v>
      </c>
      <c r="B169" s="10" t="s">
        <v>462</v>
      </c>
      <c r="C169" s="10">
        <v>1496</v>
      </c>
      <c r="D169" s="10" t="s">
        <v>510</v>
      </c>
      <c r="E169" s="11">
        <v>5066</v>
      </c>
      <c r="F169" s="11">
        <v>5525</v>
      </c>
      <c r="G169" s="11">
        <v>10591</v>
      </c>
      <c r="H169" s="11">
        <v>3362</v>
      </c>
    </row>
    <row r="170" spans="1:8" x14ac:dyDescent="0.2">
      <c r="A170" s="10">
        <v>14</v>
      </c>
      <c r="B170" s="10" t="s">
        <v>462</v>
      </c>
      <c r="C170" s="10">
        <v>1497</v>
      </c>
      <c r="D170" s="10" t="s">
        <v>511</v>
      </c>
      <c r="E170" s="11">
        <v>2910</v>
      </c>
      <c r="F170" s="11">
        <v>3318</v>
      </c>
      <c r="G170" s="11">
        <v>6228</v>
      </c>
      <c r="H170" s="11">
        <v>3261</v>
      </c>
    </row>
    <row r="171" spans="1:8" x14ac:dyDescent="0.2">
      <c r="A171" s="10">
        <v>14</v>
      </c>
      <c r="B171" s="10" t="s">
        <v>462</v>
      </c>
      <c r="C171" s="10">
        <v>1498</v>
      </c>
      <c r="D171" s="10" t="s">
        <v>512</v>
      </c>
      <c r="E171" s="11">
        <v>1615</v>
      </c>
      <c r="F171" s="11">
        <v>1794</v>
      </c>
      <c r="G171" s="11">
        <v>3409</v>
      </c>
      <c r="H171" s="11">
        <v>1500</v>
      </c>
    </row>
    <row r="172" spans="1:8" x14ac:dyDescent="0.2">
      <c r="A172" s="10">
        <v>14</v>
      </c>
      <c r="B172" s="10" t="s">
        <v>462</v>
      </c>
      <c r="C172" s="10">
        <v>1499</v>
      </c>
      <c r="D172" s="10" t="s">
        <v>513</v>
      </c>
      <c r="E172" s="11">
        <v>22382</v>
      </c>
      <c r="F172" s="11">
        <v>24677</v>
      </c>
      <c r="G172" s="11">
        <v>47059</v>
      </c>
      <c r="H172" s="11">
        <v>20682</v>
      </c>
    </row>
    <row r="173" spans="1:8" x14ac:dyDescent="0.2">
      <c r="A173" s="10">
        <v>15</v>
      </c>
      <c r="B173" s="10" t="s">
        <v>514</v>
      </c>
      <c r="C173" s="10">
        <v>1501</v>
      </c>
      <c r="D173" s="10" t="s">
        <v>515</v>
      </c>
      <c r="E173" s="11">
        <v>20501</v>
      </c>
      <c r="F173" s="11">
        <v>22698</v>
      </c>
      <c r="G173" s="11">
        <v>43199</v>
      </c>
      <c r="H173" s="11">
        <v>17828</v>
      </c>
    </row>
    <row r="174" spans="1:8" x14ac:dyDescent="0.2">
      <c r="A174" s="10">
        <v>15</v>
      </c>
      <c r="B174" s="10" t="s">
        <v>514</v>
      </c>
      <c r="C174" s="10">
        <v>1502</v>
      </c>
      <c r="D174" s="10" t="s">
        <v>516</v>
      </c>
      <c r="E174" s="11">
        <v>3383</v>
      </c>
      <c r="F174" s="11">
        <v>3604</v>
      </c>
      <c r="G174" s="11">
        <v>6987</v>
      </c>
      <c r="H174" s="11">
        <v>2535</v>
      </c>
    </row>
    <row r="175" spans="1:8" x14ac:dyDescent="0.2">
      <c r="A175" s="10">
        <v>15</v>
      </c>
      <c r="B175" s="10" t="s">
        <v>514</v>
      </c>
      <c r="C175" s="10">
        <v>1503</v>
      </c>
      <c r="D175" s="10" t="s">
        <v>517</v>
      </c>
      <c r="E175" s="11">
        <v>8767</v>
      </c>
      <c r="F175" s="11">
        <v>9637</v>
      </c>
      <c r="G175" s="11">
        <v>18404</v>
      </c>
      <c r="H175" s="11">
        <v>6972</v>
      </c>
    </row>
    <row r="176" spans="1:8" x14ac:dyDescent="0.2">
      <c r="A176" s="10">
        <v>15</v>
      </c>
      <c r="B176" s="10" t="s">
        <v>514</v>
      </c>
      <c r="C176" s="10">
        <v>1504</v>
      </c>
      <c r="D176" s="10" t="s">
        <v>518</v>
      </c>
      <c r="E176" s="11">
        <v>20382</v>
      </c>
      <c r="F176" s="11">
        <v>22485</v>
      </c>
      <c r="G176" s="11">
        <v>42867</v>
      </c>
      <c r="H176" s="11">
        <v>15483</v>
      </c>
    </row>
    <row r="177" spans="1:8" x14ac:dyDescent="0.2">
      <c r="A177" s="10">
        <v>15</v>
      </c>
      <c r="B177" s="10" t="s">
        <v>514</v>
      </c>
      <c r="C177" s="10">
        <v>1505</v>
      </c>
      <c r="D177" s="10" t="s">
        <v>519</v>
      </c>
      <c r="E177" s="11">
        <v>14659</v>
      </c>
      <c r="F177" s="11">
        <v>15391</v>
      </c>
      <c r="G177" s="11">
        <v>30050</v>
      </c>
      <c r="H177" s="11">
        <v>10515</v>
      </c>
    </row>
    <row r="178" spans="1:8" x14ac:dyDescent="0.2">
      <c r="A178" s="10">
        <v>15</v>
      </c>
      <c r="B178" s="10" t="s">
        <v>514</v>
      </c>
      <c r="C178" s="10">
        <v>1506</v>
      </c>
      <c r="D178" s="10" t="s">
        <v>520</v>
      </c>
      <c r="E178" s="11">
        <v>23882</v>
      </c>
      <c r="F178" s="11">
        <v>25891</v>
      </c>
      <c r="G178" s="11">
        <v>49773</v>
      </c>
      <c r="H178" s="11">
        <v>19007</v>
      </c>
    </row>
    <row r="179" spans="1:8" x14ac:dyDescent="0.2">
      <c r="A179" s="10">
        <v>15</v>
      </c>
      <c r="B179" s="10" t="s">
        <v>514</v>
      </c>
      <c r="C179" s="10">
        <v>1507</v>
      </c>
      <c r="D179" s="10" t="s">
        <v>521</v>
      </c>
      <c r="E179" s="11">
        <v>3985</v>
      </c>
      <c r="F179" s="11">
        <v>4246</v>
      </c>
      <c r="G179" s="11">
        <v>8231</v>
      </c>
      <c r="H179" s="11">
        <v>2957</v>
      </c>
    </row>
    <row r="180" spans="1:8" x14ac:dyDescent="0.2">
      <c r="A180" s="10">
        <v>15</v>
      </c>
      <c r="B180" s="10" t="s">
        <v>514</v>
      </c>
      <c r="C180" s="10">
        <v>1590</v>
      </c>
      <c r="D180" s="10" t="s">
        <v>522</v>
      </c>
      <c r="E180" s="11">
        <v>4955</v>
      </c>
      <c r="F180" s="11">
        <v>5467</v>
      </c>
      <c r="G180" s="11">
        <v>10422</v>
      </c>
      <c r="H180" s="11">
        <v>3734</v>
      </c>
    </row>
    <row r="181" spans="1:8" x14ac:dyDescent="0.2">
      <c r="A181" s="10">
        <v>15</v>
      </c>
      <c r="B181" s="10" t="s">
        <v>514</v>
      </c>
      <c r="C181" s="10">
        <v>1591</v>
      </c>
      <c r="D181" s="10" t="s">
        <v>523</v>
      </c>
      <c r="E181" s="11">
        <v>2539</v>
      </c>
      <c r="F181" s="11">
        <v>3081</v>
      </c>
      <c r="G181" s="11">
        <v>5620</v>
      </c>
      <c r="H181" s="11">
        <v>3067</v>
      </c>
    </row>
    <row r="182" spans="1:8" x14ac:dyDescent="0.2">
      <c r="A182" s="10">
        <v>15</v>
      </c>
      <c r="B182" s="10" t="s">
        <v>514</v>
      </c>
      <c r="C182" s="10">
        <v>1592</v>
      </c>
      <c r="D182" s="10" t="s">
        <v>524</v>
      </c>
      <c r="E182" s="11">
        <v>3519</v>
      </c>
      <c r="F182" s="11">
        <v>3867</v>
      </c>
      <c r="G182" s="11">
        <v>7386</v>
      </c>
      <c r="H182" s="11">
        <v>2914</v>
      </c>
    </row>
    <row r="183" spans="1:8" x14ac:dyDescent="0.2">
      <c r="A183" s="10">
        <v>15</v>
      </c>
      <c r="B183" s="10" t="s">
        <v>514</v>
      </c>
      <c r="C183" s="10">
        <v>1593</v>
      </c>
      <c r="D183" s="10" t="s">
        <v>525</v>
      </c>
      <c r="E183" s="11">
        <v>1490</v>
      </c>
      <c r="F183" s="11">
        <v>1611</v>
      </c>
      <c r="G183" s="11">
        <v>3101</v>
      </c>
      <c r="H183" s="11">
        <v>1292</v>
      </c>
    </row>
    <row r="184" spans="1:8" x14ac:dyDescent="0.2">
      <c r="A184" s="10">
        <v>15</v>
      </c>
      <c r="B184" s="10" t="s">
        <v>514</v>
      </c>
      <c r="C184" s="10">
        <v>1594</v>
      </c>
      <c r="D184" s="10" t="s">
        <v>526</v>
      </c>
      <c r="E184" s="11">
        <v>1946</v>
      </c>
      <c r="F184" s="11">
        <v>2140</v>
      </c>
      <c r="G184" s="11">
        <v>4086</v>
      </c>
      <c r="H184" s="11">
        <v>1536</v>
      </c>
    </row>
    <row r="185" spans="1:8" x14ac:dyDescent="0.2">
      <c r="A185" s="10">
        <v>15</v>
      </c>
      <c r="B185" s="10" t="s">
        <v>514</v>
      </c>
      <c r="C185" s="10">
        <v>1595</v>
      </c>
      <c r="D185" s="10" t="s">
        <v>527</v>
      </c>
      <c r="E185" s="11">
        <v>1923</v>
      </c>
      <c r="F185" s="11">
        <v>2158</v>
      </c>
      <c r="G185" s="11">
        <v>4081</v>
      </c>
      <c r="H185" s="11">
        <v>1766</v>
      </c>
    </row>
    <row r="186" spans="1:8" x14ac:dyDescent="0.2">
      <c r="A186" s="10">
        <v>15</v>
      </c>
      <c r="B186" s="10" t="s">
        <v>514</v>
      </c>
      <c r="C186" s="10">
        <v>1596</v>
      </c>
      <c r="D186" s="10" t="s">
        <v>528</v>
      </c>
      <c r="E186" s="11">
        <v>5925</v>
      </c>
      <c r="F186" s="11">
        <v>6380</v>
      </c>
      <c r="G186" s="11">
        <v>12305</v>
      </c>
      <c r="H186" s="11">
        <v>4352</v>
      </c>
    </row>
    <row r="187" spans="1:8" x14ac:dyDescent="0.2">
      <c r="A187" s="10">
        <v>15</v>
      </c>
      <c r="B187" s="10" t="s">
        <v>514</v>
      </c>
      <c r="C187" s="10">
        <v>1597</v>
      </c>
      <c r="D187" s="10" t="s">
        <v>529</v>
      </c>
      <c r="E187" s="11">
        <v>1305</v>
      </c>
      <c r="F187" s="11">
        <v>1398</v>
      </c>
      <c r="G187" s="11">
        <v>2703</v>
      </c>
      <c r="H187" s="11">
        <v>1047</v>
      </c>
    </row>
    <row r="188" spans="1:8" x14ac:dyDescent="0.2">
      <c r="A188" s="10">
        <v>15</v>
      </c>
      <c r="B188" s="10" t="s">
        <v>514</v>
      </c>
      <c r="C188" s="10">
        <v>1598</v>
      </c>
      <c r="D188" s="10" t="s">
        <v>530</v>
      </c>
      <c r="E188" s="11">
        <v>4001</v>
      </c>
      <c r="F188" s="11">
        <v>4436</v>
      </c>
      <c r="G188" s="11">
        <v>8437</v>
      </c>
      <c r="H188" s="11">
        <v>3645</v>
      </c>
    </row>
    <row r="189" spans="1:8" x14ac:dyDescent="0.2">
      <c r="A189" s="10">
        <v>15</v>
      </c>
      <c r="B189" s="10" t="s">
        <v>514</v>
      </c>
      <c r="C189" s="10">
        <v>1599</v>
      </c>
      <c r="D189" s="10" t="s">
        <v>531</v>
      </c>
      <c r="E189" s="11">
        <v>5283</v>
      </c>
      <c r="F189" s="11">
        <v>5940</v>
      </c>
      <c r="G189" s="11">
        <v>11223</v>
      </c>
      <c r="H189" s="11">
        <v>6704</v>
      </c>
    </row>
    <row r="190" spans="1:8" x14ac:dyDescent="0.2">
      <c r="A190" s="10">
        <v>16</v>
      </c>
      <c r="B190" s="10" t="s">
        <v>532</v>
      </c>
      <c r="C190" s="10">
        <v>1601</v>
      </c>
      <c r="D190" s="10" t="s">
        <v>533</v>
      </c>
      <c r="E190" s="11">
        <v>48899</v>
      </c>
      <c r="F190" s="11">
        <v>50068</v>
      </c>
      <c r="G190" s="11">
        <v>98967</v>
      </c>
      <c r="H190" s="11">
        <v>42967</v>
      </c>
    </row>
    <row r="191" spans="1:8" x14ac:dyDescent="0.2">
      <c r="A191" s="10">
        <v>16</v>
      </c>
      <c r="B191" s="10" t="s">
        <v>532</v>
      </c>
      <c r="C191" s="10">
        <v>1602</v>
      </c>
      <c r="D191" s="10" t="s">
        <v>534</v>
      </c>
      <c r="E191" s="11">
        <v>27092</v>
      </c>
      <c r="F191" s="11">
        <v>28062</v>
      </c>
      <c r="G191" s="11">
        <v>55154</v>
      </c>
      <c r="H191" s="11">
        <v>24942</v>
      </c>
    </row>
    <row r="192" spans="1:8" x14ac:dyDescent="0.2">
      <c r="A192" s="10">
        <v>16</v>
      </c>
      <c r="B192" s="10" t="s">
        <v>532</v>
      </c>
      <c r="C192" s="10">
        <v>1603</v>
      </c>
      <c r="D192" s="10" t="s">
        <v>535</v>
      </c>
      <c r="E192" s="11">
        <v>36982</v>
      </c>
      <c r="F192" s="11">
        <v>37818</v>
      </c>
      <c r="G192" s="11">
        <v>74800</v>
      </c>
      <c r="H192" s="11">
        <v>29980</v>
      </c>
    </row>
    <row r="193" spans="1:8" x14ac:dyDescent="0.2">
      <c r="A193" s="10">
        <v>16</v>
      </c>
      <c r="B193" s="10" t="s">
        <v>532</v>
      </c>
      <c r="C193" s="10">
        <v>1604</v>
      </c>
      <c r="D193" s="10" t="s">
        <v>536</v>
      </c>
      <c r="E193" s="11">
        <v>36093</v>
      </c>
      <c r="F193" s="11">
        <v>36928</v>
      </c>
      <c r="G193" s="11">
        <v>73021</v>
      </c>
      <c r="H193" s="11">
        <v>29362</v>
      </c>
    </row>
    <row r="194" spans="1:8" x14ac:dyDescent="0.2">
      <c r="A194" s="10">
        <v>16</v>
      </c>
      <c r="B194" s="10" t="s">
        <v>532</v>
      </c>
      <c r="C194" s="10">
        <v>1605</v>
      </c>
      <c r="D194" s="10" t="s">
        <v>537</v>
      </c>
      <c r="E194" s="11">
        <v>20612</v>
      </c>
      <c r="F194" s="11">
        <v>22431</v>
      </c>
      <c r="G194" s="11">
        <v>43043</v>
      </c>
      <c r="H194" s="11">
        <v>14624</v>
      </c>
    </row>
    <row r="195" spans="1:8" x14ac:dyDescent="0.2">
      <c r="A195" s="10">
        <v>16</v>
      </c>
      <c r="B195" s="10" t="s">
        <v>532</v>
      </c>
      <c r="C195" s="10">
        <v>1606</v>
      </c>
      <c r="D195" s="10" t="s">
        <v>538</v>
      </c>
      <c r="E195" s="11">
        <v>32006</v>
      </c>
      <c r="F195" s="11">
        <v>34773</v>
      </c>
      <c r="G195" s="11">
        <v>66779</v>
      </c>
      <c r="H195" s="11">
        <v>24176</v>
      </c>
    </row>
    <row r="196" spans="1:8" x14ac:dyDescent="0.2">
      <c r="A196" s="10">
        <v>16</v>
      </c>
      <c r="B196" s="10" t="s">
        <v>532</v>
      </c>
      <c r="C196" s="10">
        <v>1607</v>
      </c>
      <c r="D196" s="10" t="s">
        <v>539</v>
      </c>
      <c r="E196" s="11">
        <v>12697</v>
      </c>
      <c r="F196" s="11">
        <v>13021</v>
      </c>
      <c r="G196" s="11">
        <v>25718</v>
      </c>
      <c r="H196" s="11">
        <v>8933</v>
      </c>
    </row>
    <row r="197" spans="1:8" x14ac:dyDescent="0.2">
      <c r="A197" s="10">
        <v>16</v>
      </c>
      <c r="B197" s="10" t="s">
        <v>532</v>
      </c>
      <c r="C197" s="10">
        <v>1608</v>
      </c>
      <c r="D197" s="10" t="s">
        <v>540</v>
      </c>
      <c r="E197" s="11">
        <v>7034</v>
      </c>
      <c r="F197" s="11">
        <v>6901</v>
      </c>
      <c r="G197" s="11">
        <v>13935</v>
      </c>
      <c r="H197" s="11">
        <v>5500</v>
      </c>
    </row>
    <row r="198" spans="1:8" x14ac:dyDescent="0.2">
      <c r="A198" s="10">
        <v>16</v>
      </c>
      <c r="B198" s="10" t="s">
        <v>532</v>
      </c>
      <c r="C198" s="10">
        <v>1609</v>
      </c>
      <c r="D198" s="10" t="s">
        <v>541</v>
      </c>
      <c r="E198" s="11">
        <v>12049</v>
      </c>
      <c r="F198" s="11">
        <v>12080</v>
      </c>
      <c r="G198" s="11">
        <v>24129</v>
      </c>
      <c r="H198" s="11">
        <v>8178</v>
      </c>
    </row>
    <row r="199" spans="1:8" x14ac:dyDescent="0.2">
      <c r="A199" s="10">
        <v>16</v>
      </c>
      <c r="B199" s="10" t="s">
        <v>532</v>
      </c>
      <c r="C199" s="10">
        <v>1610</v>
      </c>
      <c r="D199" s="10" t="s">
        <v>542</v>
      </c>
      <c r="E199" s="11">
        <v>13320</v>
      </c>
      <c r="F199" s="11">
        <v>13602</v>
      </c>
      <c r="G199" s="11">
        <v>26922</v>
      </c>
      <c r="H199" s="11">
        <v>9872</v>
      </c>
    </row>
    <row r="200" spans="1:8" x14ac:dyDescent="0.2">
      <c r="A200" s="10">
        <v>16</v>
      </c>
      <c r="B200" s="10" t="s">
        <v>532</v>
      </c>
      <c r="C200" s="10">
        <v>1611</v>
      </c>
      <c r="D200" s="10" t="s">
        <v>543</v>
      </c>
      <c r="E200" s="11">
        <v>13460</v>
      </c>
      <c r="F200" s="11">
        <v>13956</v>
      </c>
      <c r="G200" s="11">
        <v>27416</v>
      </c>
      <c r="H200" s="11">
        <v>10512</v>
      </c>
    </row>
    <row r="201" spans="1:8" x14ac:dyDescent="0.2">
      <c r="A201" s="10">
        <v>16</v>
      </c>
      <c r="B201" s="10" t="s">
        <v>532</v>
      </c>
      <c r="C201" s="10">
        <v>1681</v>
      </c>
      <c r="D201" s="10" t="s">
        <v>544</v>
      </c>
      <c r="E201" s="11">
        <v>5180</v>
      </c>
      <c r="F201" s="11">
        <v>6093</v>
      </c>
      <c r="G201" s="11">
        <v>11273</v>
      </c>
      <c r="H201" s="11">
        <v>6169</v>
      </c>
    </row>
    <row r="202" spans="1:8" x14ac:dyDescent="0.2">
      <c r="A202" s="10">
        <v>16</v>
      </c>
      <c r="B202" s="10" t="s">
        <v>532</v>
      </c>
      <c r="C202" s="10">
        <v>1682</v>
      </c>
      <c r="D202" s="10" t="s">
        <v>545</v>
      </c>
      <c r="E202" s="11">
        <v>6044</v>
      </c>
      <c r="F202" s="11">
        <v>5086</v>
      </c>
      <c r="G202" s="11">
        <v>11130</v>
      </c>
      <c r="H202" s="11">
        <v>5000</v>
      </c>
    </row>
    <row r="203" spans="1:8" x14ac:dyDescent="0.2">
      <c r="A203" s="10">
        <v>16</v>
      </c>
      <c r="B203" s="10" t="s">
        <v>532</v>
      </c>
      <c r="C203" s="10">
        <v>1683</v>
      </c>
      <c r="D203" s="10" t="s">
        <v>546</v>
      </c>
      <c r="E203" s="11">
        <v>15304</v>
      </c>
      <c r="F203" s="11">
        <v>12993</v>
      </c>
      <c r="G203" s="11">
        <v>28297</v>
      </c>
      <c r="H203" s="11">
        <v>13166</v>
      </c>
    </row>
    <row r="204" spans="1:8" x14ac:dyDescent="0.2">
      <c r="A204" s="10">
        <v>16</v>
      </c>
      <c r="B204" s="10" t="s">
        <v>532</v>
      </c>
      <c r="C204" s="10">
        <v>1684</v>
      </c>
      <c r="D204" s="10" t="s">
        <v>547</v>
      </c>
      <c r="E204" s="11">
        <v>6730</v>
      </c>
      <c r="F204" s="11">
        <v>7628</v>
      </c>
      <c r="G204" s="11">
        <v>14358</v>
      </c>
      <c r="H204" s="11">
        <v>7340</v>
      </c>
    </row>
    <row r="205" spans="1:8" x14ac:dyDescent="0.2">
      <c r="A205" s="10">
        <v>16</v>
      </c>
      <c r="B205" s="10" t="s">
        <v>532</v>
      </c>
      <c r="C205" s="10">
        <v>1685</v>
      </c>
      <c r="D205" s="10" t="s">
        <v>548</v>
      </c>
      <c r="E205" s="11">
        <v>3889</v>
      </c>
      <c r="F205" s="11">
        <v>4167</v>
      </c>
      <c r="G205" s="11">
        <v>8056</v>
      </c>
      <c r="H205" s="11">
        <v>3955</v>
      </c>
    </row>
    <row r="206" spans="1:8" x14ac:dyDescent="0.2">
      <c r="A206" s="10">
        <v>16</v>
      </c>
      <c r="B206" s="10" t="s">
        <v>532</v>
      </c>
      <c r="C206" s="10">
        <v>1686</v>
      </c>
      <c r="D206" s="10" t="s">
        <v>549</v>
      </c>
      <c r="E206" s="11">
        <v>14600</v>
      </c>
      <c r="F206" s="11">
        <v>8666</v>
      </c>
      <c r="G206" s="11">
        <v>23266</v>
      </c>
      <c r="H206" s="11">
        <v>12062</v>
      </c>
    </row>
    <row r="207" spans="1:8" x14ac:dyDescent="0.2">
      <c r="A207" s="10">
        <v>16</v>
      </c>
      <c r="B207" s="10" t="s">
        <v>532</v>
      </c>
      <c r="C207" s="10">
        <v>1688</v>
      </c>
      <c r="D207" s="10" t="s">
        <v>550</v>
      </c>
      <c r="E207" s="11">
        <v>3337</v>
      </c>
      <c r="F207" s="11">
        <v>3610</v>
      </c>
      <c r="G207" s="11">
        <v>6947</v>
      </c>
      <c r="H207" s="11">
        <v>3246</v>
      </c>
    </row>
    <row r="208" spans="1:8" x14ac:dyDescent="0.2">
      <c r="A208" s="10">
        <v>16</v>
      </c>
      <c r="B208" s="10" t="s">
        <v>532</v>
      </c>
      <c r="C208" s="10">
        <v>1689</v>
      </c>
      <c r="D208" s="10" t="s">
        <v>551</v>
      </c>
      <c r="E208" s="11">
        <v>1853</v>
      </c>
      <c r="F208" s="11">
        <v>1882</v>
      </c>
      <c r="G208" s="11">
        <v>3735</v>
      </c>
      <c r="H208" s="11">
        <v>2222</v>
      </c>
    </row>
    <row r="209" spans="1:8" x14ac:dyDescent="0.2">
      <c r="A209" s="10">
        <v>16</v>
      </c>
      <c r="B209" s="10" t="s">
        <v>532</v>
      </c>
      <c r="C209" s="10">
        <v>1690</v>
      </c>
      <c r="D209" s="10" t="s">
        <v>552</v>
      </c>
      <c r="E209" s="10">
        <v>992</v>
      </c>
      <c r="F209" s="11">
        <v>1053</v>
      </c>
      <c r="G209" s="11">
        <v>2045</v>
      </c>
      <c r="H209" s="10">
        <v>916</v>
      </c>
    </row>
    <row r="210" spans="1:8" x14ac:dyDescent="0.2">
      <c r="A210" s="10">
        <v>16</v>
      </c>
      <c r="B210" s="10" t="s">
        <v>532</v>
      </c>
      <c r="C210" s="10">
        <v>1691</v>
      </c>
      <c r="D210" s="10" t="s">
        <v>553</v>
      </c>
      <c r="E210" s="11">
        <v>1017</v>
      </c>
      <c r="F210" s="11">
        <v>1181</v>
      </c>
      <c r="G210" s="11">
        <v>2198</v>
      </c>
      <c r="H210" s="11">
        <v>1044</v>
      </c>
    </row>
    <row r="211" spans="1:8" x14ac:dyDescent="0.2">
      <c r="A211" s="10">
        <v>16</v>
      </c>
      <c r="B211" s="10" t="s">
        <v>532</v>
      </c>
      <c r="C211" s="10">
        <v>1692</v>
      </c>
      <c r="D211" s="10" t="s">
        <v>554</v>
      </c>
      <c r="E211" s="11">
        <v>7288</v>
      </c>
      <c r="F211" s="11">
        <v>7844</v>
      </c>
      <c r="G211" s="11">
        <v>15132</v>
      </c>
      <c r="H211" s="11">
        <v>8808</v>
      </c>
    </row>
    <row r="212" spans="1:8" x14ac:dyDescent="0.2">
      <c r="A212" s="10">
        <v>16</v>
      </c>
      <c r="B212" s="10" t="s">
        <v>532</v>
      </c>
      <c r="C212" s="10">
        <v>1693</v>
      </c>
      <c r="D212" s="10" t="s">
        <v>555</v>
      </c>
      <c r="E212" s="11">
        <v>2298</v>
      </c>
      <c r="F212" s="11">
        <v>2454</v>
      </c>
      <c r="G212" s="11">
        <v>4752</v>
      </c>
      <c r="H212" s="11">
        <v>2181</v>
      </c>
    </row>
    <row r="213" spans="1:8" x14ac:dyDescent="0.2">
      <c r="A213" s="10">
        <v>16</v>
      </c>
      <c r="B213" s="10" t="s">
        <v>532</v>
      </c>
      <c r="C213" s="10">
        <v>1694</v>
      </c>
      <c r="D213" s="10" t="s">
        <v>556</v>
      </c>
      <c r="E213" s="11">
        <v>1430</v>
      </c>
      <c r="F213" s="11">
        <v>1608</v>
      </c>
      <c r="G213" s="11">
        <v>3038</v>
      </c>
      <c r="H213" s="11">
        <v>1485</v>
      </c>
    </row>
    <row r="214" spans="1:8" x14ac:dyDescent="0.2">
      <c r="A214" s="10">
        <v>16</v>
      </c>
      <c r="B214" s="10" t="s">
        <v>532</v>
      </c>
      <c r="C214" s="10">
        <v>1695</v>
      </c>
      <c r="D214" s="10" t="s">
        <v>557</v>
      </c>
      <c r="E214" s="11">
        <v>1382</v>
      </c>
      <c r="F214" s="11">
        <v>1424</v>
      </c>
      <c r="G214" s="11">
        <v>2806</v>
      </c>
      <c r="H214" s="11">
        <v>1151</v>
      </c>
    </row>
    <row r="215" spans="1:8" x14ac:dyDescent="0.2">
      <c r="A215" s="10">
        <v>16</v>
      </c>
      <c r="B215" s="10" t="s">
        <v>532</v>
      </c>
      <c r="C215" s="10">
        <v>1696</v>
      </c>
      <c r="D215" s="10" t="s">
        <v>558</v>
      </c>
      <c r="E215" s="11">
        <v>14913</v>
      </c>
      <c r="F215" s="11">
        <v>15304</v>
      </c>
      <c r="G215" s="11">
        <v>30217</v>
      </c>
      <c r="H215" s="11">
        <v>12398</v>
      </c>
    </row>
    <row r="216" spans="1:8" x14ac:dyDescent="0.2">
      <c r="A216" s="10">
        <v>16</v>
      </c>
      <c r="B216" s="10" t="s">
        <v>532</v>
      </c>
      <c r="C216" s="10">
        <v>1697</v>
      </c>
      <c r="D216" s="10" t="s">
        <v>559</v>
      </c>
      <c r="E216" s="11">
        <v>2636</v>
      </c>
      <c r="F216" s="11">
        <v>2855</v>
      </c>
      <c r="G216" s="11">
        <v>5491</v>
      </c>
      <c r="H216" s="11">
        <v>2445</v>
      </c>
    </row>
    <row r="217" spans="1:8" x14ac:dyDescent="0.2">
      <c r="A217" s="10">
        <v>16</v>
      </c>
      <c r="B217" s="10" t="s">
        <v>532</v>
      </c>
      <c r="C217" s="10">
        <v>1698</v>
      </c>
      <c r="D217" s="10" t="s">
        <v>560</v>
      </c>
      <c r="E217" s="11">
        <v>1410</v>
      </c>
      <c r="F217" s="11">
        <v>1572</v>
      </c>
      <c r="G217" s="11">
        <v>2982</v>
      </c>
      <c r="H217" s="11">
        <v>1345</v>
      </c>
    </row>
    <row r="218" spans="1:8" x14ac:dyDescent="0.2">
      <c r="A218" s="10">
        <v>16</v>
      </c>
      <c r="B218" s="10" t="s">
        <v>532</v>
      </c>
      <c r="C218" s="10">
        <v>1699</v>
      </c>
      <c r="D218" s="10" t="s">
        <v>561</v>
      </c>
      <c r="E218" s="11">
        <v>9493</v>
      </c>
      <c r="F218" s="11">
        <v>10166</v>
      </c>
      <c r="G218" s="11">
        <v>19659</v>
      </c>
      <c r="H218" s="11">
        <v>12808</v>
      </c>
    </row>
    <row r="219" spans="1:8" x14ac:dyDescent="0.2">
      <c r="A219" s="10">
        <v>17</v>
      </c>
      <c r="B219" s="10" t="s">
        <v>562</v>
      </c>
      <c r="C219" s="10">
        <v>1701</v>
      </c>
      <c r="D219" s="10" t="s">
        <v>563</v>
      </c>
      <c r="E219" s="11">
        <v>16819</v>
      </c>
      <c r="F219" s="11">
        <v>19331</v>
      </c>
      <c r="G219" s="11">
        <v>36150</v>
      </c>
      <c r="H219" s="11">
        <v>14194</v>
      </c>
    </row>
    <row r="220" spans="1:8" x14ac:dyDescent="0.2">
      <c r="A220" s="10">
        <v>17</v>
      </c>
      <c r="B220" s="10" t="s">
        <v>562</v>
      </c>
      <c r="C220" s="10">
        <v>1702</v>
      </c>
      <c r="D220" s="10" t="s">
        <v>564</v>
      </c>
      <c r="E220" s="11">
        <v>9154</v>
      </c>
      <c r="F220" s="11">
        <v>9773</v>
      </c>
      <c r="G220" s="11">
        <v>18927</v>
      </c>
      <c r="H220" s="11">
        <v>7396</v>
      </c>
    </row>
    <row r="221" spans="1:8" x14ac:dyDescent="0.2">
      <c r="A221" s="10">
        <v>17</v>
      </c>
      <c r="B221" s="10" t="s">
        <v>562</v>
      </c>
      <c r="C221" s="10">
        <v>1703</v>
      </c>
      <c r="D221" s="10" t="s">
        <v>565</v>
      </c>
      <c r="E221" s="11">
        <v>12264</v>
      </c>
      <c r="F221" s="11">
        <v>13165</v>
      </c>
      <c r="G221" s="11">
        <v>25429</v>
      </c>
      <c r="H221" s="11">
        <v>9318</v>
      </c>
    </row>
    <row r="222" spans="1:8" x14ac:dyDescent="0.2">
      <c r="A222" s="10">
        <v>17</v>
      </c>
      <c r="B222" s="10" t="s">
        <v>562</v>
      </c>
      <c r="C222" s="10">
        <v>1704</v>
      </c>
      <c r="D222" s="10" t="s">
        <v>566</v>
      </c>
      <c r="E222" s="11">
        <v>7587</v>
      </c>
      <c r="F222" s="11">
        <v>8421</v>
      </c>
      <c r="G222" s="11">
        <v>16008</v>
      </c>
      <c r="H222" s="11">
        <v>6153</v>
      </c>
    </row>
    <row r="223" spans="1:8" x14ac:dyDescent="0.2">
      <c r="A223" s="10">
        <v>17</v>
      </c>
      <c r="B223" s="10" t="s">
        <v>562</v>
      </c>
      <c r="C223" s="10">
        <v>1705</v>
      </c>
      <c r="D223" s="10" t="s">
        <v>567</v>
      </c>
      <c r="E223" s="11">
        <v>2482</v>
      </c>
      <c r="F223" s="11">
        <v>2803</v>
      </c>
      <c r="G223" s="11">
        <v>5285</v>
      </c>
      <c r="H223" s="11">
        <v>1928</v>
      </c>
    </row>
    <row r="224" spans="1:8" x14ac:dyDescent="0.2">
      <c r="A224" s="10">
        <v>17</v>
      </c>
      <c r="B224" s="10" t="s">
        <v>562</v>
      </c>
      <c r="C224" s="10">
        <v>1706</v>
      </c>
      <c r="D224" s="10" t="s">
        <v>568</v>
      </c>
      <c r="E224" s="11">
        <v>22738</v>
      </c>
      <c r="F224" s="11">
        <v>24680</v>
      </c>
      <c r="G224" s="11">
        <v>47418</v>
      </c>
      <c r="H224" s="11">
        <v>18239</v>
      </c>
    </row>
    <row r="225" spans="1:8" x14ac:dyDescent="0.2">
      <c r="A225" s="10">
        <v>17</v>
      </c>
      <c r="B225" s="10" t="s">
        <v>562</v>
      </c>
      <c r="C225" s="10">
        <v>1793</v>
      </c>
      <c r="D225" s="10" t="s">
        <v>569</v>
      </c>
      <c r="E225" s="11">
        <v>1998</v>
      </c>
      <c r="F225" s="11">
        <v>2195</v>
      </c>
      <c r="G225" s="11">
        <v>4193</v>
      </c>
      <c r="H225" s="11">
        <v>2304</v>
      </c>
    </row>
    <row r="226" spans="1:8" x14ac:dyDescent="0.2">
      <c r="A226" s="10">
        <v>17</v>
      </c>
      <c r="B226" s="10" t="s">
        <v>562</v>
      </c>
      <c r="C226" s="10">
        <v>1794</v>
      </c>
      <c r="D226" s="10" t="s">
        <v>570</v>
      </c>
      <c r="E226" s="11">
        <v>4017</v>
      </c>
      <c r="F226" s="11">
        <v>4374</v>
      </c>
      <c r="G226" s="11">
        <v>8391</v>
      </c>
      <c r="H226" s="11">
        <v>3544</v>
      </c>
    </row>
    <row r="227" spans="1:8" x14ac:dyDescent="0.2">
      <c r="A227" s="10">
        <v>17</v>
      </c>
      <c r="B227" s="10" t="s">
        <v>562</v>
      </c>
      <c r="C227" s="10">
        <v>1795</v>
      </c>
      <c r="D227" s="10" t="s">
        <v>571</v>
      </c>
      <c r="E227" s="11">
        <v>1479</v>
      </c>
      <c r="F227" s="11">
        <v>1582</v>
      </c>
      <c r="G227" s="11">
        <v>3061</v>
      </c>
      <c r="H227" s="11">
        <v>1335</v>
      </c>
    </row>
    <row r="228" spans="1:8" x14ac:dyDescent="0.2">
      <c r="A228" s="10">
        <v>17</v>
      </c>
      <c r="B228" s="10" t="s">
        <v>562</v>
      </c>
      <c r="C228" s="10">
        <v>1796</v>
      </c>
      <c r="D228" s="10" t="s">
        <v>572</v>
      </c>
      <c r="E228" s="11">
        <v>1561</v>
      </c>
      <c r="F228" s="11">
        <v>1709</v>
      </c>
      <c r="G228" s="11">
        <v>3270</v>
      </c>
      <c r="H228" s="11">
        <v>1426</v>
      </c>
    </row>
    <row r="229" spans="1:8" x14ac:dyDescent="0.2">
      <c r="A229" s="10">
        <v>17</v>
      </c>
      <c r="B229" s="10" t="s">
        <v>562</v>
      </c>
      <c r="C229" s="10">
        <v>1797</v>
      </c>
      <c r="D229" s="10" t="s">
        <v>573</v>
      </c>
      <c r="E229" s="10">
        <v>910</v>
      </c>
      <c r="F229" s="11">
        <v>1015</v>
      </c>
      <c r="G229" s="11">
        <v>1925</v>
      </c>
      <c r="H229" s="10">
        <v>868</v>
      </c>
    </row>
    <row r="230" spans="1:8" x14ac:dyDescent="0.2">
      <c r="A230" s="10">
        <v>17</v>
      </c>
      <c r="B230" s="10" t="s">
        <v>562</v>
      </c>
      <c r="C230" s="10">
        <v>1798</v>
      </c>
      <c r="D230" s="10" t="s">
        <v>574</v>
      </c>
      <c r="E230" s="11">
        <v>6289</v>
      </c>
      <c r="F230" s="11">
        <v>7093</v>
      </c>
      <c r="G230" s="11">
        <v>13382</v>
      </c>
      <c r="H230" s="11">
        <v>5839</v>
      </c>
    </row>
    <row r="231" spans="1:8" x14ac:dyDescent="0.2">
      <c r="A231" s="10">
        <v>17</v>
      </c>
      <c r="B231" s="10" t="s">
        <v>562</v>
      </c>
      <c r="C231" s="10">
        <v>1799</v>
      </c>
      <c r="D231" s="10" t="s">
        <v>575</v>
      </c>
      <c r="E231" s="11">
        <v>7597</v>
      </c>
      <c r="F231" s="11">
        <v>8767</v>
      </c>
      <c r="G231" s="11">
        <v>16364</v>
      </c>
      <c r="H231" s="11">
        <v>9448</v>
      </c>
    </row>
    <row r="232" spans="1:8" x14ac:dyDescent="0.2">
      <c r="A232" s="10">
        <v>18</v>
      </c>
      <c r="B232" s="10" t="s">
        <v>576</v>
      </c>
      <c r="C232" s="10">
        <v>1801</v>
      </c>
      <c r="D232" s="10" t="s">
        <v>577</v>
      </c>
      <c r="E232" s="11">
        <v>10954</v>
      </c>
      <c r="F232" s="11">
        <v>11729</v>
      </c>
      <c r="G232" s="11">
        <v>22683</v>
      </c>
      <c r="H232" s="11">
        <v>9117</v>
      </c>
    </row>
    <row r="233" spans="1:8" x14ac:dyDescent="0.2">
      <c r="A233" s="10">
        <v>18</v>
      </c>
      <c r="B233" s="10" t="s">
        <v>576</v>
      </c>
      <c r="C233" s="10">
        <v>1802</v>
      </c>
      <c r="D233" s="10" t="s">
        <v>578</v>
      </c>
      <c r="E233" s="11">
        <v>11065</v>
      </c>
      <c r="F233" s="11">
        <v>12139</v>
      </c>
      <c r="G233" s="11">
        <v>23204</v>
      </c>
      <c r="H233" s="11">
        <v>9341</v>
      </c>
    </row>
    <row r="234" spans="1:8" x14ac:dyDescent="0.2">
      <c r="A234" s="10">
        <v>18</v>
      </c>
      <c r="B234" s="10" t="s">
        <v>576</v>
      </c>
      <c r="C234" s="10">
        <v>1803</v>
      </c>
      <c r="D234" s="10" t="s">
        <v>579</v>
      </c>
      <c r="E234" s="11">
        <v>10487</v>
      </c>
      <c r="F234" s="11">
        <v>11203</v>
      </c>
      <c r="G234" s="11">
        <v>21690</v>
      </c>
      <c r="H234" s="11">
        <v>9659</v>
      </c>
    </row>
    <row r="235" spans="1:8" x14ac:dyDescent="0.2">
      <c r="A235" s="10">
        <v>18</v>
      </c>
      <c r="B235" s="10" t="s">
        <v>576</v>
      </c>
      <c r="C235" s="10">
        <v>1804</v>
      </c>
      <c r="D235" s="10" t="s">
        <v>580</v>
      </c>
      <c r="E235" s="11">
        <v>14409</v>
      </c>
      <c r="F235" s="11">
        <v>15479</v>
      </c>
      <c r="G235" s="11">
        <v>29888</v>
      </c>
      <c r="H235" s="11">
        <v>12121</v>
      </c>
    </row>
    <row r="236" spans="1:8" x14ac:dyDescent="0.2">
      <c r="A236" s="10">
        <v>18</v>
      </c>
      <c r="B236" s="10" t="s">
        <v>576</v>
      </c>
      <c r="C236" s="10">
        <v>1805</v>
      </c>
      <c r="D236" s="10" t="s">
        <v>581</v>
      </c>
      <c r="E236" s="11">
        <v>28442</v>
      </c>
      <c r="F236" s="11">
        <v>30956</v>
      </c>
      <c r="G236" s="11">
        <v>59398</v>
      </c>
      <c r="H236" s="11">
        <v>22886</v>
      </c>
    </row>
    <row r="237" spans="1:8" x14ac:dyDescent="0.2">
      <c r="A237" s="10">
        <v>18</v>
      </c>
      <c r="B237" s="10" t="s">
        <v>576</v>
      </c>
      <c r="C237" s="10">
        <v>1806</v>
      </c>
      <c r="D237" s="10" t="s">
        <v>582</v>
      </c>
      <c r="E237" s="11">
        <v>19462</v>
      </c>
      <c r="F237" s="11">
        <v>20748</v>
      </c>
      <c r="G237" s="11">
        <v>40210</v>
      </c>
      <c r="H237" s="11">
        <v>15267</v>
      </c>
    </row>
    <row r="238" spans="1:8" x14ac:dyDescent="0.2">
      <c r="A238" s="10">
        <v>18</v>
      </c>
      <c r="B238" s="10" t="s">
        <v>576</v>
      </c>
      <c r="C238" s="10">
        <v>1807</v>
      </c>
      <c r="D238" s="10" t="s">
        <v>583</v>
      </c>
      <c r="E238" s="11">
        <v>6199</v>
      </c>
      <c r="F238" s="11">
        <v>6426</v>
      </c>
      <c r="G238" s="11">
        <v>12625</v>
      </c>
      <c r="H238" s="11">
        <v>5316</v>
      </c>
    </row>
    <row r="239" spans="1:8" x14ac:dyDescent="0.2">
      <c r="A239" s="10">
        <v>18</v>
      </c>
      <c r="B239" s="10" t="s">
        <v>576</v>
      </c>
      <c r="C239" s="10">
        <v>1808</v>
      </c>
      <c r="D239" s="10" t="s">
        <v>584</v>
      </c>
      <c r="E239" s="11">
        <v>5241</v>
      </c>
      <c r="F239" s="11">
        <v>5436</v>
      </c>
      <c r="G239" s="11">
        <v>10677</v>
      </c>
      <c r="H239" s="11">
        <v>4139</v>
      </c>
    </row>
    <row r="240" spans="1:8" x14ac:dyDescent="0.2">
      <c r="A240" s="10">
        <v>18</v>
      </c>
      <c r="B240" s="10" t="s">
        <v>576</v>
      </c>
      <c r="C240" s="10">
        <v>1880</v>
      </c>
      <c r="D240" s="10" t="s">
        <v>457</v>
      </c>
      <c r="E240" s="11">
        <v>2396</v>
      </c>
      <c r="F240" s="11">
        <v>2684</v>
      </c>
      <c r="G240" s="11">
        <v>5080</v>
      </c>
      <c r="H240" s="11">
        <v>2670</v>
      </c>
    </row>
    <row r="241" spans="1:8" x14ac:dyDescent="0.2">
      <c r="A241" s="10">
        <v>18</v>
      </c>
      <c r="B241" s="10" t="s">
        <v>576</v>
      </c>
      <c r="C241" s="10">
        <v>1881</v>
      </c>
      <c r="D241" s="10" t="s">
        <v>585</v>
      </c>
      <c r="E241" s="11">
        <v>3469</v>
      </c>
      <c r="F241" s="11">
        <v>3879</v>
      </c>
      <c r="G241" s="11">
        <v>7348</v>
      </c>
      <c r="H241" s="11">
        <v>2656</v>
      </c>
    </row>
    <row r="242" spans="1:8" x14ac:dyDescent="0.2">
      <c r="A242" s="10">
        <v>18</v>
      </c>
      <c r="B242" s="10" t="s">
        <v>576</v>
      </c>
      <c r="C242" s="10">
        <v>1882</v>
      </c>
      <c r="D242" s="10" t="s">
        <v>586</v>
      </c>
      <c r="E242" s="11">
        <v>3604</v>
      </c>
      <c r="F242" s="11">
        <v>3787</v>
      </c>
      <c r="G242" s="11">
        <v>7391</v>
      </c>
      <c r="H242" s="11">
        <v>2559</v>
      </c>
    </row>
    <row r="243" spans="1:8" x14ac:dyDescent="0.2">
      <c r="A243" s="10">
        <v>18</v>
      </c>
      <c r="B243" s="10" t="s">
        <v>576</v>
      </c>
      <c r="C243" s="10">
        <v>1883</v>
      </c>
      <c r="D243" s="10" t="s">
        <v>587</v>
      </c>
      <c r="E243" s="11">
        <v>2391</v>
      </c>
      <c r="F243" s="11">
        <v>2539</v>
      </c>
      <c r="G243" s="11">
        <v>4930</v>
      </c>
      <c r="H243" s="11">
        <v>1886</v>
      </c>
    </row>
    <row r="244" spans="1:8" x14ac:dyDescent="0.2">
      <c r="A244" s="10">
        <v>18</v>
      </c>
      <c r="B244" s="10" t="s">
        <v>576</v>
      </c>
      <c r="C244" s="10">
        <v>1884</v>
      </c>
      <c r="D244" s="10" t="s">
        <v>588</v>
      </c>
      <c r="E244" s="11">
        <v>3511</v>
      </c>
      <c r="F244" s="11">
        <v>4250</v>
      </c>
      <c r="G244" s="11">
        <v>7761</v>
      </c>
      <c r="H244" s="11">
        <v>2794</v>
      </c>
    </row>
    <row r="245" spans="1:8" x14ac:dyDescent="0.2">
      <c r="A245" s="10">
        <v>18</v>
      </c>
      <c r="B245" s="10" t="s">
        <v>576</v>
      </c>
      <c r="C245" s="10">
        <v>1885</v>
      </c>
      <c r="D245" s="10" t="s">
        <v>589</v>
      </c>
      <c r="E245" s="11">
        <v>3322</v>
      </c>
      <c r="F245" s="11">
        <v>3775</v>
      </c>
      <c r="G245" s="11">
        <v>7097</v>
      </c>
      <c r="H245" s="11">
        <v>3800</v>
      </c>
    </row>
    <row r="246" spans="1:8" x14ac:dyDescent="0.2">
      <c r="A246" s="10">
        <v>18</v>
      </c>
      <c r="B246" s="10" t="s">
        <v>576</v>
      </c>
      <c r="C246" s="10">
        <v>1887</v>
      </c>
      <c r="D246" s="10" t="s">
        <v>590</v>
      </c>
      <c r="E246" s="11">
        <v>3682</v>
      </c>
      <c r="F246" s="11">
        <v>3844</v>
      </c>
      <c r="G246" s="11">
        <v>7526</v>
      </c>
      <c r="H246" s="11">
        <v>2908</v>
      </c>
    </row>
    <row r="247" spans="1:8" x14ac:dyDescent="0.2">
      <c r="A247" s="10">
        <v>18</v>
      </c>
      <c r="B247" s="10" t="s">
        <v>576</v>
      </c>
      <c r="C247" s="10">
        <v>1889</v>
      </c>
      <c r="D247" s="10" t="s">
        <v>591</v>
      </c>
      <c r="E247" s="11">
        <v>3212</v>
      </c>
      <c r="F247" s="11">
        <v>3381</v>
      </c>
      <c r="G247" s="11">
        <v>6593</v>
      </c>
      <c r="H247" s="11">
        <v>2587</v>
      </c>
    </row>
    <row r="248" spans="1:8" x14ac:dyDescent="0.2">
      <c r="A248" s="10">
        <v>18</v>
      </c>
      <c r="B248" s="10" t="s">
        <v>576</v>
      </c>
      <c r="C248" s="10">
        <v>1890</v>
      </c>
      <c r="D248" s="10" t="s">
        <v>592</v>
      </c>
      <c r="E248" s="11">
        <v>2799</v>
      </c>
      <c r="F248" s="11">
        <v>3095</v>
      </c>
      <c r="G248" s="11">
        <v>5894</v>
      </c>
      <c r="H248" s="11">
        <v>2800</v>
      </c>
    </row>
    <row r="249" spans="1:8" x14ac:dyDescent="0.2">
      <c r="A249" s="10">
        <v>18</v>
      </c>
      <c r="B249" s="10" t="s">
        <v>576</v>
      </c>
      <c r="C249" s="10">
        <v>1891</v>
      </c>
      <c r="D249" s="10" t="s">
        <v>593</v>
      </c>
      <c r="E249" s="11">
        <v>1845</v>
      </c>
      <c r="F249" s="11">
        <v>2070</v>
      </c>
      <c r="G249" s="11">
        <v>3915</v>
      </c>
      <c r="H249" s="11">
        <v>2504</v>
      </c>
    </row>
    <row r="250" spans="1:8" x14ac:dyDescent="0.2">
      <c r="A250" s="10">
        <v>18</v>
      </c>
      <c r="B250" s="10" t="s">
        <v>576</v>
      </c>
      <c r="C250" s="10">
        <v>1892</v>
      </c>
      <c r="D250" s="10" t="s">
        <v>594</v>
      </c>
      <c r="E250" s="10">
        <v>597</v>
      </c>
      <c r="F250" s="10">
        <v>644</v>
      </c>
      <c r="G250" s="11">
        <v>1241</v>
      </c>
      <c r="H250" s="10">
        <v>492</v>
      </c>
    </row>
    <row r="251" spans="1:8" x14ac:dyDescent="0.2">
      <c r="A251" s="10">
        <v>18</v>
      </c>
      <c r="B251" s="10" t="s">
        <v>576</v>
      </c>
      <c r="C251" s="10">
        <v>1893</v>
      </c>
      <c r="D251" s="10" t="s">
        <v>595</v>
      </c>
      <c r="E251" s="11">
        <v>1110</v>
      </c>
      <c r="F251" s="11">
        <v>1264</v>
      </c>
      <c r="G251" s="11">
        <v>2374</v>
      </c>
      <c r="H251" s="11">
        <v>1401</v>
      </c>
    </row>
    <row r="252" spans="1:8" x14ac:dyDescent="0.2">
      <c r="A252" s="10">
        <v>18</v>
      </c>
      <c r="B252" s="10" t="s">
        <v>576</v>
      </c>
      <c r="C252" s="10">
        <v>1894</v>
      </c>
      <c r="D252" s="10" t="s">
        <v>596</v>
      </c>
      <c r="E252" s="11">
        <v>1421</v>
      </c>
      <c r="F252" s="11">
        <v>1509</v>
      </c>
      <c r="G252" s="11">
        <v>2930</v>
      </c>
      <c r="H252" s="11">
        <v>1399</v>
      </c>
    </row>
    <row r="253" spans="1:8" x14ac:dyDescent="0.2">
      <c r="A253" s="10">
        <v>18</v>
      </c>
      <c r="B253" s="10" t="s">
        <v>576</v>
      </c>
      <c r="C253" s="10">
        <v>1895</v>
      </c>
      <c r="D253" s="10" t="s">
        <v>597</v>
      </c>
      <c r="E253" s="10">
        <v>689</v>
      </c>
      <c r="F253" s="10">
        <v>781</v>
      </c>
      <c r="G253" s="11">
        <v>1470</v>
      </c>
      <c r="H253" s="10">
        <v>585</v>
      </c>
    </row>
    <row r="254" spans="1:8" x14ac:dyDescent="0.2">
      <c r="A254" s="10">
        <v>18</v>
      </c>
      <c r="B254" s="10" t="s">
        <v>576</v>
      </c>
      <c r="C254" s="10">
        <v>1896</v>
      </c>
      <c r="D254" s="10" t="s">
        <v>598</v>
      </c>
      <c r="E254" s="11">
        <v>2886</v>
      </c>
      <c r="F254" s="11">
        <v>3140</v>
      </c>
      <c r="G254" s="11">
        <v>6026</v>
      </c>
      <c r="H254" s="11">
        <v>3329</v>
      </c>
    </row>
    <row r="255" spans="1:8" x14ac:dyDescent="0.2">
      <c r="A255" s="10">
        <v>18</v>
      </c>
      <c r="B255" s="10" t="s">
        <v>576</v>
      </c>
      <c r="C255" s="10">
        <v>1897</v>
      </c>
      <c r="D255" s="10" t="s">
        <v>599</v>
      </c>
      <c r="E255" s="10">
        <v>845</v>
      </c>
      <c r="F255" s="10">
        <v>929</v>
      </c>
      <c r="G255" s="11">
        <v>1774</v>
      </c>
      <c r="H255" s="11">
        <v>1015</v>
      </c>
    </row>
    <row r="256" spans="1:8" x14ac:dyDescent="0.2">
      <c r="A256" s="10">
        <v>18</v>
      </c>
      <c r="B256" s="10" t="s">
        <v>576</v>
      </c>
      <c r="C256" s="10">
        <v>1898</v>
      </c>
      <c r="D256" s="10" t="s">
        <v>600</v>
      </c>
      <c r="E256" s="11">
        <v>1418</v>
      </c>
      <c r="F256" s="11">
        <v>1587</v>
      </c>
      <c r="G256" s="11">
        <v>3005</v>
      </c>
      <c r="H256" s="11">
        <v>1989</v>
      </c>
    </row>
    <row r="257" spans="1:8" x14ac:dyDescent="0.2">
      <c r="A257" s="10">
        <v>18</v>
      </c>
      <c r="B257" s="10" t="s">
        <v>576</v>
      </c>
      <c r="C257" s="10">
        <v>1899</v>
      </c>
      <c r="D257" s="10" t="s">
        <v>601</v>
      </c>
      <c r="E257" s="11">
        <v>5039</v>
      </c>
      <c r="F257" s="11">
        <v>5990</v>
      </c>
      <c r="G257" s="11">
        <v>11029</v>
      </c>
      <c r="H257" s="11">
        <v>7688</v>
      </c>
    </row>
    <row r="258" spans="1:8" x14ac:dyDescent="0.2">
      <c r="A258" s="10">
        <v>19</v>
      </c>
      <c r="B258" s="10" t="s">
        <v>602</v>
      </c>
      <c r="C258" s="10">
        <v>1901</v>
      </c>
      <c r="D258" s="10" t="s">
        <v>603</v>
      </c>
      <c r="E258" s="11">
        <v>26031</v>
      </c>
      <c r="F258" s="11">
        <v>22612</v>
      </c>
      <c r="G258" s="11">
        <v>48643</v>
      </c>
      <c r="H258" s="11">
        <v>21717</v>
      </c>
    </row>
    <row r="259" spans="1:8" x14ac:dyDescent="0.2">
      <c r="A259" s="10">
        <v>19</v>
      </c>
      <c r="B259" s="10" t="s">
        <v>602</v>
      </c>
      <c r="C259" s="10">
        <v>1902</v>
      </c>
      <c r="D259" s="10" t="s">
        <v>604</v>
      </c>
      <c r="E259" s="11">
        <v>34838</v>
      </c>
      <c r="F259" s="11">
        <v>35823</v>
      </c>
      <c r="G259" s="11">
        <v>70661</v>
      </c>
      <c r="H259" s="11">
        <v>33528</v>
      </c>
    </row>
    <row r="260" spans="1:8" x14ac:dyDescent="0.2">
      <c r="A260" s="10">
        <v>19</v>
      </c>
      <c r="B260" s="10" t="s">
        <v>602</v>
      </c>
      <c r="C260" s="10">
        <v>1903</v>
      </c>
      <c r="D260" s="10" t="s">
        <v>605</v>
      </c>
      <c r="E260" s="11">
        <v>33161</v>
      </c>
      <c r="F260" s="11">
        <v>35329</v>
      </c>
      <c r="G260" s="11">
        <v>68490</v>
      </c>
      <c r="H260" s="11">
        <v>36588</v>
      </c>
    </row>
    <row r="261" spans="1:8" x14ac:dyDescent="0.2">
      <c r="A261" s="10">
        <v>19</v>
      </c>
      <c r="B261" s="10" t="s">
        <v>602</v>
      </c>
      <c r="C261" s="10">
        <v>1904</v>
      </c>
      <c r="D261" s="10" t="s">
        <v>606</v>
      </c>
      <c r="E261" s="11">
        <v>16252</v>
      </c>
      <c r="F261" s="11">
        <v>17001</v>
      </c>
      <c r="G261" s="11">
        <v>33253</v>
      </c>
      <c r="H261" s="11">
        <v>12991</v>
      </c>
    </row>
    <row r="262" spans="1:8" x14ac:dyDescent="0.2">
      <c r="A262" s="10">
        <v>19</v>
      </c>
      <c r="B262" s="10" t="s">
        <v>602</v>
      </c>
      <c r="C262" s="10">
        <v>1905</v>
      </c>
      <c r="D262" s="10" t="s">
        <v>607</v>
      </c>
      <c r="E262" s="11">
        <v>6158</v>
      </c>
      <c r="F262" s="11">
        <v>6875</v>
      </c>
      <c r="G262" s="11">
        <v>13033</v>
      </c>
      <c r="H262" s="11">
        <v>4803</v>
      </c>
    </row>
    <row r="263" spans="1:8" x14ac:dyDescent="0.2">
      <c r="A263" s="10">
        <v>19</v>
      </c>
      <c r="B263" s="10" t="s">
        <v>602</v>
      </c>
      <c r="C263" s="10">
        <v>1906</v>
      </c>
      <c r="D263" s="10" t="s">
        <v>608</v>
      </c>
      <c r="E263" s="11">
        <v>15150</v>
      </c>
      <c r="F263" s="11">
        <v>16198</v>
      </c>
      <c r="G263" s="11">
        <v>31348</v>
      </c>
      <c r="H263" s="11">
        <v>13085</v>
      </c>
    </row>
    <row r="264" spans="1:8" x14ac:dyDescent="0.2">
      <c r="A264" s="10">
        <v>19</v>
      </c>
      <c r="B264" s="10" t="s">
        <v>602</v>
      </c>
      <c r="C264" s="10">
        <v>1907</v>
      </c>
      <c r="D264" s="10" t="s">
        <v>609</v>
      </c>
      <c r="E264" s="10">
        <v>977</v>
      </c>
      <c r="F264" s="11">
        <v>1072</v>
      </c>
      <c r="G264" s="11">
        <v>2049</v>
      </c>
      <c r="H264" s="10">
        <v>685</v>
      </c>
    </row>
    <row r="265" spans="1:8" x14ac:dyDescent="0.2">
      <c r="A265" s="10">
        <v>19</v>
      </c>
      <c r="B265" s="10" t="s">
        <v>602</v>
      </c>
      <c r="C265" s="10">
        <v>1908</v>
      </c>
      <c r="D265" s="10" t="s">
        <v>610</v>
      </c>
      <c r="E265" s="11">
        <v>5497</v>
      </c>
      <c r="F265" s="11">
        <v>5825</v>
      </c>
      <c r="G265" s="11">
        <v>11322</v>
      </c>
      <c r="H265" s="11">
        <v>4811</v>
      </c>
    </row>
    <row r="266" spans="1:8" x14ac:dyDescent="0.2">
      <c r="A266" s="10">
        <v>19</v>
      </c>
      <c r="B266" s="10" t="s">
        <v>602</v>
      </c>
      <c r="C266" s="10">
        <v>1909</v>
      </c>
      <c r="D266" s="10" t="s">
        <v>611</v>
      </c>
      <c r="E266" s="11">
        <v>12169</v>
      </c>
      <c r="F266" s="11">
        <v>12970</v>
      </c>
      <c r="G266" s="11">
        <v>25139</v>
      </c>
      <c r="H266" s="11">
        <v>10928</v>
      </c>
    </row>
    <row r="267" spans="1:8" x14ac:dyDescent="0.2">
      <c r="A267" s="10">
        <v>19</v>
      </c>
      <c r="B267" s="10" t="s">
        <v>602</v>
      </c>
      <c r="C267" s="10">
        <v>1910</v>
      </c>
      <c r="D267" s="10" t="s">
        <v>612</v>
      </c>
      <c r="E267" s="11">
        <v>10617</v>
      </c>
      <c r="F267" s="11">
        <v>11643</v>
      </c>
      <c r="G267" s="11">
        <v>22260</v>
      </c>
      <c r="H267" s="11">
        <v>9050</v>
      </c>
    </row>
    <row r="268" spans="1:8" x14ac:dyDescent="0.2">
      <c r="A268" s="10">
        <v>19</v>
      </c>
      <c r="B268" s="10" t="s">
        <v>602</v>
      </c>
      <c r="C268" s="10">
        <v>1911</v>
      </c>
      <c r="D268" s="10" t="s">
        <v>613</v>
      </c>
      <c r="E268" s="11">
        <v>24982</v>
      </c>
      <c r="F268" s="11">
        <v>24992</v>
      </c>
      <c r="G268" s="11">
        <v>49974</v>
      </c>
      <c r="H268" s="11">
        <v>23406</v>
      </c>
    </row>
    <row r="269" spans="1:8" x14ac:dyDescent="0.2">
      <c r="A269" s="10">
        <v>19</v>
      </c>
      <c r="B269" s="10" t="s">
        <v>602</v>
      </c>
      <c r="C269" s="10">
        <v>1912</v>
      </c>
      <c r="D269" s="10" t="s">
        <v>614</v>
      </c>
      <c r="E269" s="11">
        <v>5638</v>
      </c>
      <c r="F269" s="11">
        <v>5929</v>
      </c>
      <c r="G269" s="11">
        <v>11567</v>
      </c>
      <c r="H269" s="11">
        <v>4845</v>
      </c>
    </row>
    <row r="270" spans="1:8" x14ac:dyDescent="0.2">
      <c r="A270" s="10">
        <v>19</v>
      </c>
      <c r="B270" s="10" t="s">
        <v>602</v>
      </c>
      <c r="C270" s="10">
        <v>1913</v>
      </c>
      <c r="D270" s="10" t="s">
        <v>615</v>
      </c>
      <c r="E270" s="11">
        <v>14832</v>
      </c>
      <c r="F270" s="11">
        <v>15760</v>
      </c>
      <c r="G270" s="11">
        <v>30592</v>
      </c>
      <c r="H270" s="11">
        <v>13862</v>
      </c>
    </row>
    <row r="271" spans="1:8" x14ac:dyDescent="0.2">
      <c r="A271" s="10">
        <v>19</v>
      </c>
      <c r="B271" s="10" t="s">
        <v>602</v>
      </c>
      <c r="C271" s="10">
        <v>1974</v>
      </c>
      <c r="D271" s="10" t="s">
        <v>616</v>
      </c>
      <c r="E271" s="11">
        <v>3295</v>
      </c>
      <c r="F271" s="11">
        <v>3502</v>
      </c>
      <c r="G271" s="11">
        <v>6797</v>
      </c>
      <c r="H271" s="11">
        <v>2581</v>
      </c>
    </row>
    <row r="272" spans="1:8" x14ac:dyDescent="0.2">
      <c r="A272" s="10">
        <v>19</v>
      </c>
      <c r="B272" s="10" t="s">
        <v>602</v>
      </c>
      <c r="C272" s="10">
        <v>1975</v>
      </c>
      <c r="D272" s="10" t="s">
        <v>617</v>
      </c>
      <c r="E272" s="11">
        <v>2099</v>
      </c>
      <c r="F272" s="11">
        <v>2182</v>
      </c>
      <c r="G272" s="11">
        <v>4281</v>
      </c>
      <c r="H272" s="11">
        <v>2230</v>
      </c>
    </row>
    <row r="273" spans="1:8" x14ac:dyDescent="0.2">
      <c r="A273" s="10">
        <v>19</v>
      </c>
      <c r="B273" s="10" t="s">
        <v>602</v>
      </c>
      <c r="C273" s="10">
        <v>1976</v>
      </c>
      <c r="D273" s="10" t="s">
        <v>618</v>
      </c>
      <c r="E273" s="11">
        <v>2084</v>
      </c>
      <c r="F273" s="11">
        <v>2129</v>
      </c>
      <c r="G273" s="11">
        <v>4213</v>
      </c>
      <c r="H273" s="11">
        <v>2425</v>
      </c>
    </row>
    <row r="274" spans="1:8" x14ac:dyDescent="0.2">
      <c r="A274" s="10">
        <v>19</v>
      </c>
      <c r="B274" s="10" t="s">
        <v>602</v>
      </c>
      <c r="C274" s="10">
        <v>1977</v>
      </c>
      <c r="D274" s="10" t="s">
        <v>619</v>
      </c>
      <c r="E274" s="11">
        <v>2375</v>
      </c>
      <c r="F274" s="11">
        <v>2527</v>
      </c>
      <c r="G274" s="11">
        <v>4902</v>
      </c>
      <c r="H274" s="11">
        <v>2445</v>
      </c>
    </row>
    <row r="275" spans="1:8" x14ac:dyDescent="0.2">
      <c r="A275" s="10">
        <v>19</v>
      </c>
      <c r="B275" s="10" t="s">
        <v>602</v>
      </c>
      <c r="C275" s="10">
        <v>1978</v>
      </c>
      <c r="D275" s="10" t="s">
        <v>620</v>
      </c>
      <c r="E275" s="11">
        <v>3053</v>
      </c>
      <c r="F275" s="11">
        <v>3251</v>
      </c>
      <c r="G275" s="11">
        <v>6304</v>
      </c>
      <c r="H275" s="11">
        <v>2863</v>
      </c>
    </row>
    <row r="276" spans="1:8" x14ac:dyDescent="0.2">
      <c r="A276" s="10">
        <v>19</v>
      </c>
      <c r="B276" s="10" t="s">
        <v>602</v>
      </c>
      <c r="C276" s="10">
        <v>1979</v>
      </c>
      <c r="D276" s="10" t="s">
        <v>621</v>
      </c>
      <c r="E276" s="11">
        <v>3717</v>
      </c>
      <c r="F276" s="11">
        <v>3730</v>
      </c>
      <c r="G276" s="11">
        <v>7447</v>
      </c>
      <c r="H276" s="11">
        <v>3414</v>
      </c>
    </row>
    <row r="277" spans="1:8" x14ac:dyDescent="0.2">
      <c r="A277" s="10">
        <v>19</v>
      </c>
      <c r="B277" s="10" t="s">
        <v>602</v>
      </c>
      <c r="C277" s="10">
        <v>1980</v>
      </c>
      <c r="D277" s="10" t="s">
        <v>622</v>
      </c>
      <c r="E277" s="11">
        <v>2095</v>
      </c>
      <c r="F277" s="11">
        <v>2215</v>
      </c>
      <c r="G277" s="11">
        <v>4310</v>
      </c>
      <c r="H277" s="11">
        <v>2723</v>
      </c>
    </row>
    <row r="278" spans="1:8" x14ac:dyDescent="0.2">
      <c r="A278" s="10">
        <v>19</v>
      </c>
      <c r="B278" s="10" t="s">
        <v>602</v>
      </c>
      <c r="C278" s="10">
        <v>1981</v>
      </c>
      <c r="D278" s="10" t="s">
        <v>623</v>
      </c>
      <c r="E278" s="11">
        <v>3179</v>
      </c>
      <c r="F278" s="11">
        <v>3410</v>
      </c>
      <c r="G278" s="11">
        <v>6589</v>
      </c>
      <c r="H278" s="11">
        <v>4531</v>
      </c>
    </row>
    <row r="279" spans="1:8" x14ac:dyDescent="0.2">
      <c r="A279" s="10">
        <v>19</v>
      </c>
      <c r="B279" s="10" t="s">
        <v>602</v>
      </c>
      <c r="C279" s="10">
        <v>1982</v>
      </c>
      <c r="D279" s="10" t="s">
        <v>624</v>
      </c>
      <c r="E279" s="11">
        <v>1441</v>
      </c>
      <c r="F279" s="11">
        <v>1583</v>
      </c>
      <c r="G279" s="11">
        <v>3024</v>
      </c>
      <c r="H279" s="11">
        <v>1581</v>
      </c>
    </row>
    <row r="280" spans="1:8" x14ac:dyDescent="0.2">
      <c r="A280" s="10">
        <v>19</v>
      </c>
      <c r="B280" s="10" t="s">
        <v>602</v>
      </c>
      <c r="C280" s="10">
        <v>1983</v>
      </c>
      <c r="D280" s="10" t="s">
        <v>625</v>
      </c>
      <c r="E280" s="11">
        <v>3748</v>
      </c>
      <c r="F280" s="11">
        <v>4176</v>
      </c>
      <c r="G280" s="11">
        <v>7924</v>
      </c>
      <c r="H280" s="11">
        <v>4461</v>
      </c>
    </row>
    <row r="281" spans="1:8" x14ac:dyDescent="0.2">
      <c r="A281" s="10">
        <v>19</v>
      </c>
      <c r="B281" s="10" t="s">
        <v>602</v>
      </c>
      <c r="C281" s="10">
        <v>1984</v>
      </c>
      <c r="D281" s="10" t="s">
        <v>626</v>
      </c>
      <c r="E281" s="10">
        <v>721</v>
      </c>
      <c r="F281" s="10">
        <v>766</v>
      </c>
      <c r="G281" s="11">
        <v>1487</v>
      </c>
      <c r="H281" s="10">
        <v>419</v>
      </c>
    </row>
    <row r="282" spans="1:8" x14ac:dyDescent="0.2">
      <c r="A282" s="10">
        <v>19</v>
      </c>
      <c r="B282" s="10" t="s">
        <v>602</v>
      </c>
      <c r="C282" s="10">
        <v>1985</v>
      </c>
      <c r="D282" s="10" t="s">
        <v>627</v>
      </c>
      <c r="E282" s="11">
        <v>1104</v>
      </c>
      <c r="F282" s="11">
        <v>1227</v>
      </c>
      <c r="G282" s="11">
        <v>2331</v>
      </c>
      <c r="H282" s="11">
        <v>1063</v>
      </c>
    </row>
    <row r="283" spans="1:8" x14ac:dyDescent="0.2">
      <c r="A283" s="10">
        <v>19</v>
      </c>
      <c r="B283" s="10" t="s">
        <v>602</v>
      </c>
      <c r="C283" s="10">
        <v>1986</v>
      </c>
      <c r="D283" s="10" t="s">
        <v>628</v>
      </c>
      <c r="E283" s="11">
        <v>2260</v>
      </c>
      <c r="F283" s="11">
        <v>2312</v>
      </c>
      <c r="G283" s="11">
        <v>4572</v>
      </c>
      <c r="H283" s="11">
        <v>1918</v>
      </c>
    </row>
    <row r="284" spans="1:8" x14ac:dyDescent="0.2">
      <c r="A284" s="10">
        <v>19</v>
      </c>
      <c r="B284" s="10" t="s">
        <v>602</v>
      </c>
      <c r="C284" s="10">
        <v>1987</v>
      </c>
      <c r="D284" s="10" t="s">
        <v>629</v>
      </c>
      <c r="E284" s="11">
        <v>1177</v>
      </c>
      <c r="F284" s="11">
        <v>1282</v>
      </c>
      <c r="G284" s="11">
        <v>2459</v>
      </c>
      <c r="H284" s="11">
        <v>1352</v>
      </c>
    </row>
    <row r="285" spans="1:8" x14ac:dyDescent="0.2">
      <c r="A285" s="10">
        <v>19</v>
      </c>
      <c r="B285" s="10" t="s">
        <v>602</v>
      </c>
      <c r="C285" s="10">
        <v>1988</v>
      </c>
      <c r="D285" s="10" t="s">
        <v>630</v>
      </c>
      <c r="E285" s="11">
        <v>3573</v>
      </c>
      <c r="F285" s="11">
        <v>3832</v>
      </c>
      <c r="G285" s="11">
        <v>7405</v>
      </c>
      <c r="H285" s="11">
        <v>4072</v>
      </c>
    </row>
    <row r="286" spans="1:8" x14ac:dyDescent="0.2">
      <c r="A286" s="10">
        <v>19</v>
      </c>
      <c r="B286" s="10" t="s">
        <v>602</v>
      </c>
      <c r="C286" s="10">
        <v>1989</v>
      </c>
      <c r="D286" s="10" t="s">
        <v>590</v>
      </c>
      <c r="E286" s="11">
        <v>1342</v>
      </c>
      <c r="F286" s="11">
        <v>1464</v>
      </c>
      <c r="G286" s="11">
        <v>2806</v>
      </c>
      <c r="H286" s="11">
        <v>1067</v>
      </c>
    </row>
    <row r="287" spans="1:8" x14ac:dyDescent="0.2">
      <c r="A287" s="10">
        <v>19</v>
      </c>
      <c r="B287" s="10" t="s">
        <v>602</v>
      </c>
      <c r="C287" s="10">
        <v>1990</v>
      </c>
      <c r="D287" s="10" t="s">
        <v>631</v>
      </c>
      <c r="E287" s="10">
        <v>812</v>
      </c>
      <c r="F287" s="10">
        <v>858</v>
      </c>
      <c r="G287" s="11">
        <v>1670</v>
      </c>
      <c r="H287" s="10">
        <v>511</v>
      </c>
    </row>
    <row r="288" spans="1:8" x14ac:dyDescent="0.2">
      <c r="A288" s="10">
        <v>19</v>
      </c>
      <c r="B288" s="10" t="s">
        <v>602</v>
      </c>
      <c r="C288" s="10">
        <v>1991</v>
      </c>
      <c r="D288" s="10" t="s">
        <v>632</v>
      </c>
      <c r="E288" s="11">
        <v>1814</v>
      </c>
      <c r="F288" s="11">
        <v>1999</v>
      </c>
      <c r="G288" s="11">
        <v>3813</v>
      </c>
      <c r="H288" s="11">
        <v>2016</v>
      </c>
    </row>
    <row r="289" spans="1:8" x14ac:dyDescent="0.2">
      <c r="A289" s="10">
        <v>19</v>
      </c>
      <c r="B289" s="10" t="s">
        <v>602</v>
      </c>
      <c r="C289" s="10">
        <v>1992</v>
      </c>
      <c r="D289" s="10" t="s">
        <v>633</v>
      </c>
      <c r="E289" s="11">
        <v>4415</v>
      </c>
      <c r="F289" s="11">
        <v>4893</v>
      </c>
      <c r="G289" s="11">
        <v>9308</v>
      </c>
      <c r="H289" s="11">
        <v>5847</v>
      </c>
    </row>
    <row r="290" spans="1:8" x14ac:dyDescent="0.2">
      <c r="A290" s="10">
        <v>19</v>
      </c>
      <c r="B290" s="10" t="s">
        <v>602</v>
      </c>
      <c r="C290" s="10">
        <v>1993</v>
      </c>
      <c r="D290" s="10" t="s">
        <v>634</v>
      </c>
      <c r="E290" s="10">
        <v>626</v>
      </c>
      <c r="F290" s="10">
        <v>697</v>
      </c>
      <c r="G290" s="11">
        <v>1323</v>
      </c>
      <c r="H290" s="10">
        <v>694</v>
      </c>
    </row>
    <row r="291" spans="1:8" x14ac:dyDescent="0.2">
      <c r="A291" s="10">
        <v>19</v>
      </c>
      <c r="B291" s="10" t="s">
        <v>602</v>
      </c>
      <c r="C291" s="10">
        <v>1994</v>
      </c>
      <c r="D291" s="10" t="s">
        <v>635</v>
      </c>
      <c r="E291" s="11">
        <v>10275</v>
      </c>
      <c r="F291" s="11">
        <v>10274</v>
      </c>
      <c r="G291" s="11">
        <v>20549</v>
      </c>
      <c r="H291" s="11">
        <v>10521</v>
      </c>
    </row>
    <row r="292" spans="1:8" x14ac:dyDescent="0.2">
      <c r="A292" s="10">
        <v>19</v>
      </c>
      <c r="B292" s="10" t="s">
        <v>602</v>
      </c>
      <c r="C292" s="10">
        <v>1995</v>
      </c>
      <c r="D292" s="10" t="s">
        <v>636</v>
      </c>
      <c r="E292" s="10">
        <v>356</v>
      </c>
      <c r="F292" s="10">
        <v>400</v>
      </c>
      <c r="G292" s="10">
        <v>756</v>
      </c>
      <c r="H292" s="10">
        <v>450</v>
      </c>
    </row>
    <row r="293" spans="1:8" x14ac:dyDescent="0.2">
      <c r="A293" s="10">
        <v>19</v>
      </c>
      <c r="B293" s="10" t="s">
        <v>602</v>
      </c>
      <c r="C293" s="10">
        <v>1996</v>
      </c>
      <c r="D293" s="10" t="s">
        <v>637</v>
      </c>
      <c r="E293" s="11">
        <v>12826</v>
      </c>
      <c r="F293" s="11">
        <v>14861</v>
      </c>
      <c r="G293" s="11">
        <v>27687</v>
      </c>
      <c r="H293" s="11">
        <v>13868</v>
      </c>
    </row>
    <row r="294" spans="1:8" x14ac:dyDescent="0.2">
      <c r="A294" s="10">
        <v>19</v>
      </c>
      <c r="B294" s="10" t="s">
        <v>602</v>
      </c>
      <c r="C294" s="10">
        <v>1997</v>
      </c>
      <c r="D294" s="10" t="s">
        <v>638</v>
      </c>
      <c r="E294" s="11">
        <v>5841</v>
      </c>
      <c r="F294" s="11">
        <v>6182</v>
      </c>
      <c r="G294" s="11">
        <v>12023</v>
      </c>
      <c r="H294" s="11">
        <v>6594</v>
      </c>
    </row>
    <row r="295" spans="1:8" x14ac:dyDescent="0.2">
      <c r="A295" s="10">
        <v>19</v>
      </c>
      <c r="B295" s="10" t="s">
        <v>602</v>
      </c>
      <c r="C295" s="10">
        <v>1998</v>
      </c>
      <c r="D295" s="10" t="s">
        <v>639</v>
      </c>
      <c r="E295" s="11">
        <v>4972</v>
      </c>
      <c r="F295" s="11">
        <v>5406</v>
      </c>
      <c r="G295" s="11">
        <v>10378</v>
      </c>
      <c r="H295" s="11">
        <v>6305</v>
      </c>
    </row>
    <row r="296" spans="1:8" x14ac:dyDescent="0.2">
      <c r="A296" s="10">
        <v>19</v>
      </c>
      <c r="B296" s="10" t="s">
        <v>602</v>
      </c>
      <c r="C296" s="10">
        <v>1999</v>
      </c>
      <c r="D296" s="10" t="s">
        <v>640</v>
      </c>
      <c r="E296" s="11">
        <v>27760</v>
      </c>
      <c r="F296" s="11">
        <v>28716</v>
      </c>
      <c r="G296" s="11">
        <v>56476</v>
      </c>
      <c r="H296" s="11">
        <v>29276</v>
      </c>
    </row>
    <row r="297" spans="1:8" x14ac:dyDescent="0.2">
      <c r="A297" s="10">
        <v>20</v>
      </c>
      <c r="B297" s="10" t="s">
        <v>641</v>
      </c>
      <c r="C297" s="10">
        <v>2001</v>
      </c>
      <c r="D297" s="10" t="s">
        <v>642</v>
      </c>
      <c r="E297" s="11">
        <v>22493</v>
      </c>
      <c r="F297" s="11">
        <v>24077</v>
      </c>
      <c r="G297" s="11">
        <v>46570</v>
      </c>
      <c r="H297" s="11">
        <v>29911</v>
      </c>
    </row>
    <row r="298" spans="1:8" x14ac:dyDescent="0.2">
      <c r="A298" s="10">
        <v>20</v>
      </c>
      <c r="B298" s="10" t="s">
        <v>641</v>
      </c>
      <c r="C298" s="10">
        <v>2002</v>
      </c>
      <c r="D298" s="10" t="s">
        <v>643</v>
      </c>
      <c r="E298" s="11">
        <v>42638</v>
      </c>
      <c r="F298" s="11">
        <v>44181</v>
      </c>
      <c r="G298" s="11">
        <v>86819</v>
      </c>
      <c r="H298" s="11">
        <v>51018</v>
      </c>
    </row>
    <row r="299" spans="1:8" x14ac:dyDescent="0.2">
      <c r="A299" s="10">
        <v>20</v>
      </c>
      <c r="B299" s="10" t="s">
        <v>641</v>
      </c>
      <c r="C299" s="10">
        <v>2003</v>
      </c>
      <c r="D299" s="10" t="s">
        <v>644</v>
      </c>
      <c r="E299" s="11">
        <v>7656</v>
      </c>
      <c r="F299" s="11">
        <v>7659</v>
      </c>
      <c r="G299" s="11">
        <v>15315</v>
      </c>
      <c r="H299" s="11">
        <v>7378</v>
      </c>
    </row>
    <row r="300" spans="1:8" x14ac:dyDescent="0.2">
      <c r="A300" s="10">
        <v>20</v>
      </c>
      <c r="B300" s="10" t="s">
        <v>641</v>
      </c>
      <c r="C300" s="10">
        <v>2004</v>
      </c>
      <c r="D300" s="10" t="s">
        <v>645</v>
      </c>
      <c r="E300" s="11">
        <v>15347</v>
      </c>
      <c r="F300" s="11">
        <v>17433</v>
      </c>
      <c r="G300" s="11">
        <v>32780</v>
      </c>
      <c r="H300" s="11">
        <v>20786</v>
      </c>
    </row>
    <row r="301" spans="1:8" x14ac:dyDescent="0.2">
      <c r="A301" s="10">
        <v>20</v>
      </c>
      <c r="B301" s="10" t="s">
        <v>641</v>
      </c>
      <c r="C301" s="10">
        <v>2005</v>
      </c>
      <c r="D301" s="10" t="s">
        <v>646</v>
      </c>
      <c r="E301" s="11">
        <v>25755</v>
      </c>
      <c r="F301" s="11">
        <v>26832</v>
      </c>
      <c r="G301" s="11">
        <v>52587</v>
      </c>
      <c r="H301" s="11">
        <v>46495</v>
      </c>
    </row>
    <row r="302" spans="1:8" x14ac:dyDescent="0.2">
      <c r="A302" s="10">
        <v>20</v>
      </c>
      <c r="B302" s="10" t="s">
        <v>641</v>
      </c>
      <c r="C302" s="10">
        <v>2006</v>
      </c>
      <c r="D302" s="10" t="s">
        <v>647</v>
      </c>
      <c r="E302" s="11">
        <v>49977</v>
      </c>
      <c r="F302" s="11">
        <v>53110</v>
      </c>
      <c r="G302" s="11">
        <v>103087</v>
      </c>
      <c r="H302" s="11">
        <v>41090</v>
      </c>
    </row>
    <row r="303" spans="1:8" x14ac:dyDescent="0.2">
      <c r="A303" s="10">
        <v>20</v>
      </c>
      <c r="B303" s="10" t="s">
        <v>641</v>
      </c>
      <c r="C303" s="10">
        <v>2007</v>
      </c>
      <c r="D303" s="10" t="s">
        <v>648</v>
      </c>
      <c r="E303" s="11">
        <v>29401</v>
      </c>
      <c r="F303" s="11">
        <v>29925</v>
      </c>
      <c r="G303" s="11">
        <v>59326</v>
      </c>
      <c r="H303" s="11">
        <v>52114</v>
      </c>
    </row>
    <row r="304" spans="1:8" x14ac:dyDescent="0.2">
      <c r="A304" s="10">
        <v>20</v>
      </c>
      <c r="B304" s="10" t="s">
        <v>641</v>
      </c>
      <c r="C304" s="10">
        <v>2009</v>
      </c>
      <c r="D304" s="10" t="s">
        <v>649</v>
      </c>
      <c r="E304" s="11">
        <v>27158</v>
      </c>
      <c r="F304" s="11">
        <v>26846</v>
      </c>
      <c r="G304" s="11">
        <v>54004</v>
      </c>
      <c r="H304" s="11">
        <v>31247</v>
      </c>
    </row>
    <row r="305" spans="1:8" x14ac:dyDescent="0.2">
      <c r="A305" s="10">
        <v>20</v>
      </c>
      <c r="B305" s="10" t="s">
        <v>641</v>
      </c>
      <c r="C305" s="10">
        <v>2010</v>
      </c>
      <c r="D305" s="10" t="s">
        <v>650</v>
      </c>
      <c r="E305" s="11">
        <v>19056</v>
      </c>
      <c r="F305" s="11">
        <v>18862</v>
      </c>
      <c r="G305" s="11">
        <v>37918</v>
      </c>
      <c r="H305" s="11">
        <v>14367</v>
      </c>
    </row>
    <row r="306" spans="1:8" x14ac:dyDescent="0.2">
      <c r="A306" s="10">
        <v>20</v>
      </c>
      <c r="B306" s="10" t="s">
        <v>641</v>
      </c>
      <c r="C306" s="10">
        <v>2011</v>
      </c>
      <c r="D306" s="10" t="s">
        <v>651</v>
      </c>
      <c r="E306" s="11">
        <v>14153</v>
      </c>
      <c r="F306" s="11">
        <v>13166</v>
      </c>
      <c r="G306" s="11">
        <v>27319</v>
      </c>
      <c r="H306" s="11">
        <v>9435</v>
      </c>
    </row>
    <row r="307" spans="1:8" x14ac:dyDescent="0.2">
      <c r="A307" s="10">
        <v>20</v>
      </c>
      <c r="B307" s="10" t="s">
        <v>641</v>
      </c>
      <c r="C307" s="10">
        <v>2060</v>
      </c>
      <c r="D307" s="10" t="s">
        <v>652</v>
      </c>
      <c r="E307" s="11">
        <v>7165</v>
      </c>
      <c r="F307" s="11">
        <v>5894</v>
      </c>
      <c r="G307" s="11">
        <v>13059</v>
      </c>
      <c r="H307" s="11">
        <v>6917</v>
      </c>
    </row>
    <row r="308" spans="1:8" x14ac:dyDescent="0.2">
      <c r="A308" s="10">
        <v>20</v>
      </c>
      <c r="B308" s="10" t="s">
        <v>641</v>
      </c>
      <c r="C308" s="10">
        <v>2061</v>
      </c>
      <c r="D308" s="10" t="s">
        <v>653</v>
      </c>
      <c r="E308" s="11">
        <v>33905</v>
      </c>
      <c r="F308" s="11">
        <v>22232</v>
      </c>
      <c r="G308" s="11">
        <v>56137</v>
      </c>
      <c r="H308" s="11">
        <v>28758</v>
      </c>
    </row>
    <row r="309" spans="1:8" x14ac:dyDescent="0.2">
      <c r="A309" s="10">
        <v>20</v>
      </c>
      <c r="B309" s="10" t="s">
        <v>641</v>
      </c>
      <c r="C309" s="10">
        <v>2063</v>
      </c>
      <c r="D309" s="10" t="s">
        <v>654</v>
      </c>
      <c r="E309" s="11">
        <v>6514</v>
      </c>
      <c r="F309" s="11">
        <v>6976</v>
      </c>
      <c r="G309" s="11">
        <v>13490</v>
      </c>
      <c r="H309" s="11">
        <v>4920</v>
      </c>
    </row>
    <row r="310" spans="1:8" x14ac:dyDescent="0.2">
      <c r="A310" s="10">
        <v>20</v>
      </c>
      <c r="B310" s="10" t="s">
        <v>641</v>
      </c>
      <c r="C310" s="10">
        <v>2064</v>
      </c>
      <c r="D310" s="10" t="s">
        <v>655</v>
      </c>
      <c r="E310" s="11">
        <v>13459</v>
      </c>
      <c r="F310" s="11">
        <v>14689</v>
      </c>
      <c r="G310" s="11">
        <v>28148</v>
      </c>
      <c r="H310" s="11">
        <v>14857</v>
      </c>
    </row>
    <row r="311" spans="1:8" x14ac:dyDescent="0.2">
      <c r="A311" s="10">
        <v>20</v>
      </c>
      <c r="B311" s="10" t="s">
        <v>641</v>
      </c>
      <c r="C311" s="10">
        <v>2065</v>
      </c>
      <c r="D311" s="10" t="s">
        <v>656</v>
      </c>
      <c r="E311" s="11">
        <v>10486</v>
      </c>
      <c r="F311" s="11">
        <v>12746</v>
      </c>
      <c r="G311" s="11">
        <v>23232</v>
      </c>
      <c r="H311" s="11">
        <v>17967</v>
      </c>
    </row>
    <row r="312" spans="1:8" x14ac:dyDescent="0.2">
      <c r="A312" s="10">
        <v>20</v>
      </c>
      <c r="B312" s="10" t="s">
        <v>641</v>
      </c>
      <c r="C312" s="10">
        <v>2066</v>
      </c>
      <c r="D312" s="10" t="s">
        <v>657</v>
      </c>
      <c r="E312" s="11">
        <v>7086</v>
      </c>
      <c r="F312" s="11">
        <v>7331</v>
      </c>
      <c r="G312" s="11">
        <v>14417</v>
      </c>
      <c r="H312" s="11">
        <v>17176</v>
      </c>
    </row>
    <row r="313" spans="1:8" x14ac:dyDescent="0.2">
      <c r="A313" s="10">
        <v>20</v>
      </c>
      <c r="B313" s="10" t="s">
        <v>641</v>
      </c>
      <c r="C313" s="10">
        <v>2067</v>
      </c>
      <c r="D313" s="10" t="s">
        <v>658</v>
      </c>
      <c r="E313" s="11">
        <v>8328</v>
      </c>
      <c r="F313" s="11">
        <v>9558</v>
      </c>
      <c r="G313" s="11">
        <v>17886</v>
      </c>
      <c r="H313" s="11">
        <v>12341</v>
      </c>
    </row>
    <row r="314" spans="1:8" x14ac:dyDescent="0.2">
      <c r="A314" s="10">
        <v>20</v>
      </c>
      <c r="B314" s="10" t="s">
        <v>641</v>
      </c>
      <c r="C314" s="10">
        <v>2068</v>
      </c>
      <c r="D314" s="10" t="s">
        <v>659</v>
      </c>
      <c r="E314" s="11">
        <v>21229</v>
      </c>
      <c r="F314" s="11">
        <v>22455</v>
      </c>
      <c r="G314" s="11">
        <v>43684</v>
      </c>
      <c r="H314" s="11">
        <v>28247</v>
      </c>
    </row>
    <row r="315" spans="1:8" x14ac:dyDescent="0.2">
      <c r="A315" s="10">
        <v>20</v>
      </c>
      <c r="B315" s="10" t="s">
        <v>641</v>
      </c>
      <c r="C315" s="10">
        <v>2069</v>
      </c>
      <c r="D315" s="10" t="s">
        <v>660</v>
      </c>
      <c r="E315" s="11">
        <v>6943</v>
      </c>
      <c r="F315" s="11">
        <v>6581</v>
      </c>
      <c r="G315" s="11">
        <v>13524</v>
      </c>
      <c r="H315" s="11">
        <v>11613</v>
      </c>
    </row>
    <row r="316" spans="1:8" x14ac:dyDescent="0.2">
      <c r="A316" s="10">
        <v>20</v>
      </c>
      <c r="B316" s="10" t="s">
        <v>641</v>
      </c>
      <c r="C316" s="10">
        <v>2070</v>
      </c>
      <c r="D316" s="10" t="s">
        <v>661</v>
      </c>
      <c r="E316" s="11">
        <v>3840</v>
      </c>
      <c r="F316" s="11">
        <v>3979</v>
      </c>
      <c r="G316" s="11">
        <v>7819</v>
      </c>
      <c r="H316" s="11">
        <v>2908</v>
      </c>
    </row>
    <row r="317" spans="1:8" x14ac:dyDescent="0.2">
      <c r="A317" s="10">
        <v>20</v>
      </c>
      <c r="B317" s="10" t="s">
        <v>641</v>
      </c>
      <c r="C317" s="10">
        <v>2071</v>
      </c>
      <c r="D317" s="10" t="s">
        <v>662</v>
      </c>
      <c r="E317" s="11">
        <v>5858</v>
      </c>
      <c r="F317" s="11">
        <v>6435</v>
      </c>
      <c r="G317" s="11">
        <v>12293</v>
      </c>
      <c r="H317" s="11">
        <v>7634</v>
      </c>
    </row>
    <row r="318" spans="1:8" x14ac:dyDescent="0.2">
      <c r="A318" s="10">
        <v>20</v>
      </c>
      <c r="B318" s="10" t="s">
        <v>641</v>
      </c>
      <c r="C318" s="10">
        <v>2072</v>
      </c>
      <c r="D318" s="10" t="s">
        <v>663</v>
      </c>
      <c r="E318" s="11">
        <v>42168</v>
      </c>
      <c r="F318" s="11">
        <v>51957</v>
      </c>
      <c r="G318" s="11">
        <v>94125</v>
      </c>
      <c r="H318" s="11">
        <v>53868</v>
      </c>
    </row>
    <row r="319" spans="1:8" x14ac:dyDescent="0.2">
      <c r="A319" s="10">
        <v>20</v>
      </c>
      <c r="B319" s="10" t="s">
        <v>641</v>
      </c>
      <c r="C319" s="10">
        <v>2073</v>
      </c>
      <c r="D319" s="10" t="s">
        <v>664</v>
      </c>
      <c r="E319" s="11">
        <v>3203</v>
      </c>
      <c r="F319" s="11">
        <v>3417</v>
      </c>
      <c r="G319" s="11">
        <v>6620</v>
      </c>
      <c r="H319" s="11">
        <v>4290</v>
      </c>
    </row>
    <row r="320" spans="1:8" x14ac:dyDescent="0.2">
      <c r="A320" s="10">
        <v>20</v>
      </c>
      <c r="B320" s="10" t="s">
        <v>641</v>
      </c>
      <c r="C320" s="10">
        <v>2074</v>
      </c>
      <c r="D320" s="10" t="s">
        <v>665</v>
      </c>
      <c r="E320" s="11">
        <v>4307</v>
      </c>
      <c r="F320" s="11">
        <v>1834</v>
      </c>
      <c r="G320" s="11">
        <v>6141</v>
      </c>
      <c r="H320" s="11">
        <v>2211</v>
      </c>
    </row>
    <row r="321" spans="1:8" x14ac:dyDescent="0.2">
      <c r="A321" s="10">
        <v>20</v>
      </c>
      <c r="B321" s="10" t="s">
        <v>641</v>
      </c>
      <c r="C321" s="10">
        <v>2075</v>
      </c>
      <c r="D321" s="10" t="s">
        <v>666</v>
      </c>
      <c r="E321" s="11">
        <v>1956</v>
      </c>
      <c r="F321" s="11">
        <v>2046</v>
      </c>
      <c r="G321" s="11">
        <v>4002</v>
      </c>
      <c r="H321" s="11">
        <v>2230</v>
      </c>
    </row>
    <row r="322" spans="1:8" x14ac:dyDescent="0.2">
      <c r="A322" s="10">
        <v>20</v>
      </c>
      <c r="B322" s="10" t="s">
        <v>641</v>
      </c>
      <c r="C322" s="10">
        <v>2076</v>
      </c>
      <c r="D322" s="10" t="s">
        <v>667</v>
      </c>
      <c r="E322" s="11">
        <v>9895</v>
      </c>
      <c r="F322" s="11">
        <v>11161</v>
      </c>
      <c r="G322" s="11">
        <v>21056</v>
      </c>
      <c r="H322" s="11">
        <v>12297</v>
      </c>
    </row>
    <row r="323" spans="1:8" x14ac:dyDescent="0.2">
      <c r="A323" s="10">
        <v>20</v>
      </c>
      <c r="B323" s="10" t="s">
        <v>641</v>
      </c>
      <c r="C323" s="10">
        <v>2077</v>
      </c>
      <c r="D323" s="10" t="s">
        <v>668</v>
      </c>
      <c r="E323" s="11">
        <v>5383</v>
      </c>
      <c r="F323" s="11">
        <v>6415</v>
      </c>
      <c r="G323" s="11">
        <v>11798</v>
      </c>
      <c r="H323" s="11">
        <v>9793</v>
      </c>
    </row>
    <row r="324" spans="1:8" x14ac:dyDescent="0.2">
      <c r="A324" s="10">
        <v>20</v>
      </c>
      <c r="B324" s="10" t="s">
        <v>641</v>
      </c>
      <c r="C324" s="10">
        <v>2078</v>
      </c>
      <c r="D324" s="10" t="s">
        <v>669</v>
      </c>
      <c r="E324" s="11">
        <v>3735</v>
      </c>
      <c r="F324" s="11">
        <v>4112</v>
      </c>
      <c r="G324" s="11">
        <v>7847</v>
      </c>
      <c r="H324" s="11">
        <v>17025</v>
      </c>
    </row>
    <row r="325" spans="1:8" x14ac:dyDescent="0.2">
      <c r="A325" s="10">
        <v>20</v>
      </c>
      <c r="B325" s="10" t="s">
        <v>641</v>
      </c>
      <c r="C325" s="10">
        <v>2079</v>
      </c>
      <c r="D325" s="10" t="s">
        <v>670</v>
      </c>
      <c r="E325" s="11">
        <v>2298</v>
      </c>
      <c r="F325" s="11">
        <v>2380</v>
      </c>
      <c r="G325" s="11">
        <v>4678</v>
      </c>
      <c r="H325" s="11">
        <v>2317</v>
      </c>
    </row>
    <row r="326" spans="1:8" x14ac:dyDescent="0.2">
      <c r="A326" s="10">
        <v>20</v>
      </c>
      <c r="B326" s="10" t="s">
        <v>641</v>
      </c>
      <c r="C326" s="10">
        <v>2080</v>
      </c>
      <c r="D326" s="10" t="s">
        <v>671</v>
      </c>
      <c r="E326" s="11">
        <v>77981</v>
      </c>
      <c r="F326" s="11">
        <v>82601</v>
      </c>
      <c r="G326" s="11">
        <v>160582</v>
      </c>
      <c r="H326" s="11">
        <v>113075</v>
      </c>
    </row>
    <row r="327" spans="1:8" x14ac:dyDescent="0.2">
      <c r="A327" s="10">
        <v>20</v>
      </c>
      <c r="B327" s="10" t="s">
        <v>641</v>
      </c>
      <c r="C327" s="10">
        <v>2081</v>
      </c>
      <c r="D327" s="10" t="s">
        <v>672</v>
      </c>
      <c r="E327" s="11">
        <v>6432</v>
      </c>
      <c r="F327" s="11">
        <v>7125</v>
      </c>
      <c r="G327" s="11">
        <v>13557</v>
      </c>
      <c r="H327" s="11">
        <v>8355</v>
      </c>
    </row>
    <row r="328" spans="1:8" x14ac:dyDescent="0.2">
      <c r="A328" s="10">
        <v>20</v>
      </c>
      <c r="B328" s="10" t="s">
        <v>641</v>
      </c>
      <c r="C328" s="10">
        <v>2082</v>
      </c>
      <c r="D328" s="10" t="s">
        <v>673</v>
      </c>
      <c r="E328" s="11">
        <v>11668</v>
      </c>
      <c r="F328" s="11">
        <v>12072</v>
      </c>
      <c r="G328" s="11">
        <v>23740</v>
      </c>
      <c r="H328" s="11">
        <v>18588</v>
      </c>
    </row>
    <row r="329" spans="1:8" x14ac:dyDescent="0.2">
      <c r="A329" s="10">
        <v>20</v>
      </c>
      <c r="B329" s="10" t="s">
        <v>641</v>
      </c>
      <c r="C329" s="10">
        <v>2083</v>
      </c>
      <c r="D329" s="10" t="s">
        <v>674</v>
      </c>
      <c r="E329" s="11">
        <v>3170</v>
      </c>
      <c r="F329" s="11">
        <v>3387</v>
      </c>
      <c r="G329" s="11">
        <v>6557</v>
      </c>
      <c r="H329" s="11">
        <v>3906</v>
      </c>
    </row>
    <row r="330" spans="1:8" x14ac:dyDescent="0.2">
      <c r="A330" s="10">
        <v>20</v>
      </c>
      <c r="B330" s="10" t="s">
        <v>641</v>
      </c>
      <c r="C330" s="10">
        <v>2084</v>
      </c>
      <c r="D330" s="10" t="s">
        <v>675</v>
      </c>
      <c r="E330" s="11">
        <v>15127</v>
      </c>
      <c r="F330" s="11">
        <v>17155</v>
      </c>
      <c r="G330" s="11">
        <v>32282</v>
      </c>
      <c r="H330" s="11">
        <v>20033</v>
      </c>
    </row>
    <row r="331" spans="1:8" x14ac:dyDescent="0.2">
      <c r="A331" s="10">
        <v>20</v>
      </c>
      <c r="B331" s="10" t="s">
        <v>641</v>
      </c>
      <c r="C331" s="10">
        <v>2085</v>
      </c>
      <c r="D331" s="10" t="s">
        <v>676</v>
      </c>
      <c r="E331" s="11">
        <v>6429</v>
      </c>
      <c r="F331" s="11">
        <v>7139</v>
      </c>
      <c r="G331" s="11">
        <v>13568</v>
      </c>
      <c r="H331" s="11">
        <v>9373</v>
      </c>
    </row>
    <row r="332" spans="1:8" x14ac:dyDescent="0.2">
      <c r="A332" s="10">
        <v>20</v>
      </c>
      <c r="B332" s="10" t="s">
        <v>641</v>
      </c>
      <c r="C332" s="10">
        <v>2086</v>
      </c>
      <c r="D332" s="10" t="s">
        <v>677</v>
      </c>
      <c r="E332" s="11">
        <v>4426</v>
      </c>
      <c r="F332" s="11">
        <v>4245</v>
      </c>
      <c r="G332" s="11">
        <v>8671</v>
      </c>
      <c r="H332" s="11">
        <v>3999</v>
      </c>
    </row>
    <row r="333" spans="1:8" x14ac:dyDescent="0.2">
      <c r="A333" s="10">
        <v>20</v>
      </c>
      <c r="B333" s="10" t="s">
        <v>641</v>
      </c>
      <c r="C333" s="10">
        <v>2087</v>
      </c>
      <c r="D333" s="10" t="s">
        <v>678</v>
      </c>
      <c r="E333" s="11">
        <v>1612</v>
      </c>
      <c r="F333" s="11">
        <v>1820</v>
      </c>
      <c r="G333" s="11">
        <v>3432</v>
      </c>
      <c r="H333" s="11">
        <v>2221</v>
      </c>
    </row>
    <row r="334" spans="1:8" x14ac:dyDescent="0.2">
      <c r="A334" s="10">
        <v>20</v>
      </c>
      <c r="B334" s="10" t="s">
        <v>641</v>
      </c>
      <c r="C334" s="10">
        <v>2088</v>
      </c>
      <c r="D334" s="10" t="s">
        <v>679</v>
      </c>
      <c r="E334" s="11">
        <v>1089</v>
      </c>
      <c r="F334" s="11">
        <v>1168</v>
      </c>
      <c r="G334" s="11">
        <v>2257</v>
      </c>
      <c r="H334" s="11">
        <v>1662</v>
      </c>
    </row>
    <row r="335" spans="1:8" x14ac:dyDescent="0.2">
      <c r="A335" s="10">
        <v>20</v>
      </c>
      <c r="B335" s="10" t="s">
        <v>641</v>
      </c>
      <c r="C335" s="10">
        <v>2089</v>
      </c>
      <c r="D335" s="10" t="s">
        <v>680</v>
      </c>
      <c r="E335" s="11">
        <v>17287</v>
      </c>
      <c r="F335" s="11">
        <v>20307</v>
      </c>
      <c r="G335" s="11">
        <v>37594</v>
      </c>
      <c r="H335" s="11">
        <v>23259</v>
      </c>
    </row>
    <row r="336" spans="1:8" x14ac:dyDescent="0.2">
      <c r="A336" s="10">
        <v>20</v>
      </c>
      <c r="B336" s="10" t="s">
        <v>641</v>
      </c>
      <c r="C336" s="10">
        <v>2090</v>
      </c>
      <c r="D336" s="10" t="s">
        <v>681</v>
      </c>
      <c r="E336" s="11">
        <v>34340</v>
      </c>
      <c r="F336" s="11">
        <v>34817</v>
      </c>
      <c r="G336" s="11">
        <v>69157</v>
      </c>
      <c r="H336" s="11">
        <v>46736</v>
      </c>
    </row>
    <row r="337" spans="1:8" x14ac:dyDescent="0.2">
      <c r="A337" s="10">
        <v>20</v>
      </c>
      <c r="B337" s="10" t="s">
        <v>641</v>
      </c>
      <c r="C337" s="10">
        <v>2091</v>
      </c>
      <c r="D337" s="10" t="s">
        <v>682</v>
      </c>
      <c r="E337" s="11">
        <v>6043</v>
      </c>
      <c r="F337" s="11">
        <v>4893</v>
      </c>
      <c r="G337" s="11">
        <v>10936</v>
      </c>
      <c r="H337" s="11">
        <v>7492</v>
      </c>
    </row>
    <row r="338" spans="1:8" x14ac:dyDescent="0.2">
      <c r="A338" s="10">
        <v>20</v>
      </c>
      <c r="B338" s="10" t="s">
        <v>641</v>
      </c>
      <c r="C338" s="10">
        <v>2092</v>
      </c>
      <c r="D338" s="10" t="s">
        <v>683</v>
      </c>
      <c r="E338" s="11">
        <v>2200</v>
      </c>
      <c r="F338" s="11">
        <v>2480</v>
      </c>
      <c r="G338" s="11">
        <v>4680</v>
      </c>
      <c r="H338" s="11">
        <v>7403</v>
      </c>
    </row>
    <row r="339" spans="1:8" x14ac:dyDescent="0.2">
      <c r="A339" s="10">
        <v>20</v>
      </c>
      <c r="B339" s="10" t="s">
        <v>641</v>
      </c>
      <c r="C339" s="10">
        <v>2093</v>
      </c>
      <c r="D339" s="10" t="s">
        <v>684</v>
      </c>
      <c r="E339" s="11">
        <v>45951</v>
      </c>
      <c r="F339" s="11">
        <v>47715</v>
      </c>
      <c r="G339" s="11">
        <v>93666</v>
      </c>
      <c r="H339" s="11">
        <v>86790</v>
      </c>
    </row>
    <row r="340" spans="1:8" x14ac:dyDescent="0.2">
      <c r="A340" s="10">
        <v>20</v>
      </c>
      <c r="B340" s="10" t="s">
        <v>641</v>
      </c>
      <c r="C340" s="10">
        <v>2094</v>
      </c>
      <c r="D340" s="10" t="s">
        <v>685</v>
      </c>
      <c r="E340" s="11">
        <v>21544</v>
      </c>
      <c r="F340" s="11">
        <v>24848</v>
      </c>
      <c r="G340" s="11">
        <v>46392</v>
      </c>
      <c r="H340" s="11">
        <v>41230</v>
      </c>
    </row>
    <row r="341" spans="1:8" x14ac:dyDescent="0.2">
      <c r="A341" s="10">
        <v>20</v>
      </c>
      <c r="B341" s="10" t="s">
        <v>641</v>
      </c>
      <c r="C341" s="10">
        <v>2095</v>
      </c>
      <c r="D341" s="10" t="s">
        <v>686</v>
      </c>
      <c r="E341" s="11">
        <v>9017</v>
      </c>
      <c r="F341" s="11">
        <v>10324</v>
      </c>
      <c r="G341" s="11">
        <v>19341</v>
      </c>
      <c r="H341" s="11">
        <v>10935</v>
      </c>
    </row>
    <row r="342" spans="1:8" x14ac:dyDescent="0.2">
      <c r="A342" s="10">
        <v>20</v>
      </c>
      <c r="B342" s="10" t="s">
        <v>641</v>
      </c>
      <c r="C342" s="10">
        <v>2096</v>
      </c>
      <c r="D342" s="10" t="s">
        <v>687</v>
      </c>
      <c r="E342" s="11">
        <v>53005</v>
      </c>
      <c r="F342" s="11">
        <v>63499</v>
      </c>
      <c r="G342" s="11">
        <v>116504</v>
      </c>
      <c r="H342" s="11">
        <v>179568</v>
      </c>
    </row>
    <row r="343" spans="1:8" x14ac:dyDescent="0.2">
      <c r="A343" s="10">
        <v>20</v>
      </c>
      <c r="B343" s="10" t="s">
        <v>641</v>
      </c>
      <c r="C343" s="10">
        <v>2097</v>
      </c>
      <c r="D343" s="10" t="s">
        <v>688</v>
      </c>
      <c r="E343" s="11">
        <v>10949</v>
      </c>
      <c r="F343" s="11">
        <v>13692</v>
      </c>
      <c r="G343" s="11">
        <v>24641</v>
      </c>
      <c r="H343" s="11">
        <v>8991</v>
      </c>
    </row>
    <row r="344" spans="1:8" x14ac:dyDescent="0.2">
      <c r="A344" s="10">
        <v>20</v>
      </c>
      <c r="B344" s="10" t="s">
        <v>641</v>
      </c>
      <c r="C344" s="10">
        <v>2098</v>
      </c>
      <c r="D344" s="10" t="s">
        <v>689</v>
      </c>
      <c r="E344" s="11">
        <v>4453</v>
      </c>
      <c r="F344" s="11">
        <v>5271</v>
      </c>
      <c r="G344" s="11">
        <v>9724</v>
      </c>
      <c r="H344" s="11">
        <v>5093</v>
      </c>
    </row>
    <row r="345" spans="1:8" x14ac:dyDescent="0.2">
      <c r="A345" s="10">
        <v>20</v>
      </c>
      <c r="B345" s="10" t="s">
        <v>641</v>
      </c>
      <c r="C345" s="10">
        <v>2099</v>
      </c>
      <c r="D345" s="10" t="s">
        <v>690</v>
      </c>
      <c r="E345" s="11">
        <v>10668</v>
      </c>
      <c r="F345" s="11">
        <v>11895</v>
      </c>
      <c r="G345" s="11">
        <v>22563</v>
      </c>
      <c r="H345" s="11">
        <v>12506</v>
      </c>
    </row>
    <row r="346" spans="1:8" x14ac:dyDescent="0.2">
      <c r="A346" s="10">
        <v>21</v>
      </c>
      <c r="B346" s="10" t="s">
        <v>691</v>
      </c>
      <c r="C346" s="10">
        <v>2101</v>
      </c>
      <c r="D346" s="10" t="s">
        <v>692</v>
      </c>
      <c r="E346" s="11">
        <v>51178</v>
      </c>
      <c r="F346" s="11">
        <v>53322</v>
      </c>
      <c r="G346" s="11">
        <v>104500</v>
      </c>
      <c r="H346" s="11">
        <v>70408</v>
      </c>
    </row>
    <row r="347" spans="1:8" x14ac:dyDescent="0.2">
      <c r="A347" s="10">
        <v>21</v>
      </c>
      <c r="B347" s="10" t="s">
        <v>691</v>
      </c>
      <c r="C347" s="10">
        <v>2102</v>
      </c>
      <c r="D347" s="10" t="s">
        <v>693</v>
      </c>
      <c r="E347" s="11">
        <v>5662</v>
      </c>
      <c r="F347" s="11">
        <v>5371</v>
      </c>
      <c r="G347" s="11">
        <v>11033</v>
      </c>
      <c r="H347" s="11">
        <v>5459</v>
      </c>
    </row>
    <row r="348" spans="1:8" x14ac:dyDescent="0.2">
      <c r="A348" s="10">
        <v>21</v>
      </c>
      <c r="B348" s="10" t="s">
        <v>691</v>
      </c>
      <c r="C348" s="10">
        <v>2103</v>
      </c>
      <c r="D348" s="10" t="s">
        <v>694</v>
      </c>
      <c r="E348" s="11">
        <v>32450</v>
      </c>
      <c r="F348" s="11">
        <v>35036</v>
      </c>
      <c r="G348" s="11">
        <v>67486</v>
      </c>
      <c r="H348" s="11">
        <v>33340</v>
      </c>
    </row>
    <row r="349" spans="1:8" x14ac:dyDescent="0.2">
      <c r="A349" s="10">
        <v>21</v>
      </c>
      <c r="B349" s="10" t="s">
        <v>691</v>
      </c>
      <c r="C349" s="10">
        <v>2104</v>
      </c>
      <c r="D349" s="10" t="s">
        <v>695</v>
      </c>
      <c r="E349" s="11">
        <v>11121</v>
      </c>
      <c r="F349" s="11">
        <v>11172</v>
      </c>
      <c r="G349" s="11">
        <v>22293</v>
      </c>
      <c r="H349" s="11">
        <v>11834</v>
      </c>
    </row>
    <row r="350" spans="1:8" x14ac:dyDescent="0.2">
      <c r="A350" s="10">
        <v>21</v>
      </c>
      <c r="B350" s="10" t="s">
        <v>691</v>
      </c>
      <c r="C350" s="10">
        <v>2105</v>
      </c>
      <c r="D350" s="10" t="s">
        <v>696</v>
      </c>
      <c r="E350" s="11">
        <v>34112</v>
      </c>
      <c r="F350" s="11">
        <v>35903</v>
      </c>
      <c r="G350" s="11">
        <v>70015</v>
      </c>
      <c r="H350" s="11">
        <v>39451</v>
      </c>
    </row>
    <row r="351" spans="1:8" x14ac:dyDescent="0.2">
      <c r="A351" s="10">
        <v>21</v>
      </c>
      <c r="B351" s="10" t="s">
        <v>691</v>
      </c>
      <c r="C351" s="10">
        <v>2106</v>
      </c>
      <c r="D351" s="10" t="s">
        <v>697</v>
      </c>
      <c r="E351" s="11">
        <v>42285</v>
      </c>
      <c r="F351" s="11">
        <v>41383</v>
      </c>
      <c r="G351" s="11">
        <v>83668</v>
      </c>
      <c r="H351" s="11">
        <v>116865</v>
      </c>
    </row>
    <row r="352" spans="1:8" x14ac:dyDescent="0.2">
      <c r="A352" s="10">
        <v>21</v>
      </c>
      <c r="B352" s="10" t="s">
        <v>691</v>
      </c>
      <c r="C352" s="10">
        <v>2107</v>
      </c>
      <c r="D352" s="10" t="s">
        <v>698</v>
      </c>
      <c r="E352" s="11">
        <v>11672</v>
      </c>
      <c r="F352" s="11">
        <v>11906</v>
      </c>
      <c r="G352" s="11">
        <v>23578</v>
      </c>
      <c r="H352" s="11">
        <v>11651</v>
      </c>
    </row>
    <row r="353" spans="1:8" x14ac:dyDescent="0.2">
      <c r="A353" s="10">
        <v>21</v>
      </c>
      <c r="B353" s="10" t="s">
        <v>691</v>
      </c>
      <c r="C353" s="10">
        <v>2108</v>
      </c>
      <c r="D353" s="10" t="s">
        <v>699</v>
      </c>
      <c r="E353" s="11">
        <v>13056</v>
      </c>
      <c r="F353" s="11">
        <v>13119</v>
      </c>
      <c r="G353" s="11">
        <v>26175</v>
      </c>
      <c r="H353" s="11">
        <v>23199</v>
      </c>
    </row>
    <row r="354" spans="1:8" x14ac:dyDescent="0.2">
      <c r="A354" s="10">
        <v>21</v>
      </c>
      <c r="B354" s="10" t="s">
        <v>691</v>
      </c>
      <c r="C354" s="10">
        <v>2177</v>
      </c>
      <c r="D354" s="10" t="s">
        <v>700</v>
      </c>
      <c r="E354" s="11">
        <v>4372</v>
      </c>
      <c r="F354" s="11">
        <v>4360</v>
      </c>
      <c r="G354" s="11">
        <v>8732</v>
      </c>
      <c r="H354" s="11">
        <v>5900</v>
      </c>
    </row>
    <row r="355" spans="1:8" x14ac:dyDescent="0.2">
      <c r="A355" s="10">
        <v>21</v>
      </c>
      <c r="B355" s="10" t="s">
        <v>691</v>
      </c>
      <c r="C355" s="10">
        <v>2178</v>
      </c>
      <c r="D355" s="10" t="s">
        <v>701</v>
      </c>
      <c r="E355" s="11">
        <v>2216</v>
      </c>
      <c r="F355" s="11">
        <v>2345</v>
      </c>
      <c r="G355" s="11">
        <v>4561</v>
      </c>
      <c r="H355" s="11">
        <v>2084</v>
      </c>
    </row>
    <row r="356" spans="1:8" x14ac:dyDescent="0.2">
      <c r="A356" s="10">
        <v>21</v>
      </c>
      <c r="B356" s="10" t="s">
        <v>691</v>
      </c>
      <c r="C356" s="10">
        <v>2179</v>
      </c>
      <c r="D356" s="10" t="s">
        <v>702</v>
      </c>
      <c r="E356" s="11">
        <v>12917</v>
      </c>
      <c r="F356" s="11">
        <v>13219</v>
      </c>
      <c r="G356" s="11">
        <v>26136</v>
      </c>
      <c r="H356" s="11">
        <v>18648</v>
      </c>
    </row>
    <row r="357" spans="1:8" x14ac:dyDescent="0.2">
      <c r="A357" s="10">
        <v>21</v>
      </c>
      <c r="B357" s="10" t="s">
        <v>691</v>
      </c>
      <c r="C357" s="10">
        <v>2180</v>
      </c>
      <c r="D357" s="10" t="s">
        <v>703</v>
      </c>
      <c r="E357" s="11">
        <v>4213</v>
      </c>
      <c r="F357" s="11">
        <v>4435</v>
      </c>
      <c r="G357" s="11">
        <v>8648</v>
      </c>
      <c r="H357" s="11">
        <v>3640</v>
      </c>
    </row>
    <row r="358" spans="1:8" x14ac:dyDescent="0.2">
      <c r="A358" s="10">
        <v>21</v>
      </c>
      <c r="B358" s="10" t="s">
        <v>691</v>
      </c>
      <c r="C358" s="10">
        <v>2181</v>
      </c>
      <c r="D358" s="10" t="s">
        <v>704</v>
      </c>
      <c r="E358" s="11">
        <v>6037</v>
      </c>
      <c r="F358" s="11">
        <v>6055</v>
      </c>
      <c r="G358" s="11">
        <v>12092</v>
      </c>
      <c r="H358" s="11">
        <v>8827</v>
      </c>
    </row>
    <row r="359" spans="1:8" x14ac:dyDescent="0.2">
      <c r="A359" s="10">
        <v>21</v>
      </c>
      <c r="B359" s="10" t="s">
        <v>691</v>
      </c>
      <c r="C359" s="10">
        <v>2182</v>
      </c>
      <c r="D359" s="10" t="s">
        <v>705</v>
      </c>
      <c r="E359" s="11">
        <v>8261</v>
      </c>
      <c r="F359" s="11">
        <v>8675</v>
      </c>
      <c r="G359" s="11">
        <v>16936</v>
      </c>
      <c r="H359" s="11">
        <v>10242</v>
      </c>
    </row>
    <row r="360" spans="1:8" x14ac:dyDescent="0.2">
      <c r="A360" s="10">
        <v>21</v>
      </c>
      <c r="B360" s="10" t="s">
        <v>691</v>
      </c>
      <c r="C360" s="10">
        <v>2183</v>
      </c>
      <c r="D360" s="10" t="s">
        <v>706</v>
      </c>
      <c r="E360" s="11">
        <v>7660</v>
      </c>
      <c r="F360" s="11">
        <v>7729</v>
      </c>
      <c r="G360" s="11">
        <v>15389</v>
      </c>
      <c r="H360" s="11">
        <v>14410</v>
      </c>
    </row>
    <row r="361" spans="1:8" x14ac:dyDescent="0.2">
      <c r="A361" s="10">
        <v>21</v>
      </c>
      <c r="B361" s="10" t="s">
        <v>691</v>
      </c>
      <c r="C361" s="10">
        <v>2184</v>
      </c>
      <c r="D361" s="10" t="s">
        <v>707</v>
      </c>
      <c r="E361" s="11">
        <v>5742</v>
      </c>
      <c r="F361" s="11">
        <v>5698</v>
      </c>
      <c r="G361" s="11">
        <v>11440</v>
      </c>
      <c r="H361" s="11">
        <v>9067</v>
      </c>
    </row>
    <row r="362" spans="1:8" x14ac:dyDescent="0.2">
      <c r="A362" s="10">
        <v>21</v>
      </c>
      <c r="B362" s="10" t="s">
        <v>691</v>
      </c>
      <c r="C362" s="10">
        <v>2185</v>
      </c>
      <c r="D362" s="10" t="s">
        <v>708</v>
      </c>
      <c r="E362" s="11">
        <v>2601</v>
      </c>
      <c r="F362" s="11">
        <v>2969</v>
      </c>
      <c r="G362" s="11">
        <v>5570</v>
      </c>
      <c r="H362" s="11">
        <v>4609</v>
      </c>
    </row>
    <row r="363" spans="1:8" x14ac:dyDescent="0.2">
      <c r="A363" s="10">
        <v>21</v>
      </c>
      <c r="B363" s="10" t="s">
        <v>691</v>
      </c>
      <c r="C363" s="10">
        <v>2186</v>
      </c>
      <c r="D363" s="10" t="s">
        <v>709</v>
      </c>
      <c r="E363" s="10">
        <v>204</v>
      </c>
      <c r="F363" s="10">
        <v>189</v>
      </c>
      <c r="G363" s="10">
        <v>393</v>
      </c>
      <c r="H363" s="10">
        <v>620</v>
      </c>
    </row>
    <row r="364" spans="1:8" x14ac:dyDescent="0.2">
      <c r="A364" s="10">
        <v>21</v>
      </c>
      <c r="B364" s="10" t="s">
        <v>691</v>
      </c>
      <c r="C364" s="10">
        <v>2187</v>
      </c>
      <c r="D364" s="10" t="s">
        <v>710</v>
      </c>
      <c r="E364" s="11">
        <v>1621</v>
      </c>
      <c r="F364" s="11">
        <v>1768</v>
      </c>
      <c r="G364" s="11">
        <v>3389</v>
      </c>
      <c r="H364" s="11">
        <v>2183</v>
      </c>
    </row>
    <row r="365" spans="1:8" x14ac:dyDescent="0.2">
      <c r="A365" s="10">
        <v>21</v>
      </c>
      <c r="B365" s="10" t="s">
        <v>691</v>
      </c>
      <c r="C365" s="10">
        <v>2188</v>
      </c>
      <c r="D365" s="10" t="s">
        <v>711</v>
      </c>
      <c r="E365" s="11">
        <v>1820</v>
      </c>
      <c r="F365" s="11">
        <v>1896</v>
      </c>
      <c r="G365" s="11">
        <v>3716</v>
      </c>
      <c r="H365" s="11">
        <v>2499</v>
      </c>
    </row>
    <row r="366" spans="1:8" x14ac:dyDescent="0.2">
      <c r="A366" s="10">
        <v>21</v>
      </c>
      <c r="B366" s="10" t="s">
        <v>691</v>
      </c>
      <c r="C366" s="10">
        <v>2189</v>
      </c>
      <c r="D366" s="10" t="s">
        <v>712</v>
      </c>
      <c r="E366" s="11">
        <v>7189</v>
      </c>
      <c r="F366" s="11">
        <v>7983</v>
      </c>
      <c r="G366" s="11">
        <v>15172</v>
      </c>
      <c r="H366" s="11">
        <v>10601</v>
      </c>
    </row>
    <row r="367" spans="1:8" x14ac:dyDescent="0.2">
      <c r="A367" s="10">
        <v>21</v>
      </c>
      <c r="B367" s="10" t="s">
        <v>691</v>
      </c>
      <c r="C367" s="10">
        <v>2190</v>
      </c>
      <c r="D367" s="10" t="s">
        <v>713</v>
      </c>
      <c r="E367" s="11">
        <v>2242</v>
      </c>
      <c r="F367" s="11">
        <v>2378</v>
      </c>
      <c r="G367" s="11">
        <v>4620</v>
      </c>
      <c r="H367" s="11">
        <v>2113</v>
      </c>
    </row>
    <row r="368" spans="1:8" x14ac:dyDescent="0.2">
      <c r="A368" s="10">
        <v>21</v>
      </c>
      <c r="B368" s="10" t="s">
        <v>691</v>
      </c>
      <c r="C368" s="10">
        <v>2191</v>
      </c>
      <c r="D368" s="10" t="s">
        <v>714</v>
      </c>
      <c r="E368" s="11">
        <v>3075</v>
      </c>
      <c r="F368" s="11">
        <v>3418</v>
      </c>
      <c r="G368" s="11">
        <v>6493</v>
      </c>
      <c r="H368" s="11">
        <v>4223</v>
      </c>
    </row>
    <row r="369" spans="1:8" x14ac:dyDescent="0.2">
      <c r="A369" s="10">
        <v>21</v>
      </c>
      <c r="B369" s="10" t="s">
        <v>691</v>
      </c>
      <c r="C369" s="10">
        <v>2192</v>
      </c>
      <c r="D369" s="10" t="s">
        <v>715</v>
      </c>
      <c r="E369" s="11">
        <v>2322</v>
      </c>
      <c r="F369" s="11">
        <v>2368</v>
      </c>
      <c r="G369" s="11">
        <v>4690</v>
      </c>
      <c r="H369" s="11">
        <v>1919</v>
      </c>
    </row>
    <row r="370" spans="1:8" x14ac:dyDescent="0.2">
      <c r="A370" s="10">
        <v>21</v>
      </c>
      <c r="B370" s="10" t="s">
        <v>691</v>
      </c>
      <c r="C370" s="10">
        <v>2193</v>
      </c>
      <c r="D370" s="10" t="s">
        <v>716</v>
      </c>
      <c r="E370" s="11">
        <v>5589</v>
      </c>
      <c r="F370" s="11">
        <v>5791</v>
      </c>
      <c r="G370" s="11">
        <v>11380</v>
      </c>
      <c r="H370" s="11">
        <v>6402</v>
      </c>
    </row>
    <row r="371" spans="1:8" x14ac:dyDescent="0.2">
      <c r="A371" s="10">
        <v>21</v>
      </c>
      <c r="B371" s="10" t="s">
        <v>691</v>
      </c>
      <c r="C371" s="10">
        <v>2194</v>
      </c>
      <c r="D371" s="10" t="s">
        <v>717</v>
      </c>
      <c r="E371" s="11">
        <v>15485</v>
      </c>
      <c r="F371" s="11">
        <v>16505</v>
      </c>
      <c r="G371" s="11">
        <v>31990</v>
      </c>
      <c r="H371" s="11">
        <v>22168</v>
      </c>
    </row>
    <row r="372" spans="1:8" x14ac:dyDescent="0.2">
      <c r="A372" s="10">
        <v>21</v>
      </c>
      <c r="B372" s="10" t="s">
        <v>691</v>
      </c>
      <c r="C372" s="10">
        <v>2195</v>
      </c>
      <c r="D372" s="10" t="s">
        <v>718</v>
      </c>
      <c r="E372" s="11">
        <v>8625</v>
      </c>
      <c r="F372" s="11">
        <v>9571</v>
      </c>
      <c r="G372" s="11">
        <v>18196</v>
      </c>
      <c r="H372" s="11">
        <v>12698</v>
      </c>
    </row>
    <row r="373" spans="1:8" x14ac:dyDescent="0.2">
      <c r="A373" s="10">
        <v>21</v>
      </c>
      <c r="B373" s="10" t="s">
        <v>691</v>
      </c>
      <c r="C373" s="10">
        <v>2196</v>
      </c>
      <c r="D373" s="10" t="s">
        <v>719</v>
      </c>
      <c r="E373" s="11">
        <v>3427</v>
      </c>
      <c r="F373" s="11">
        <v>3724</v>
      </c>
      <c r="G373" s="11">
        <v>7151</v>
      </c>
      <c r="H373" s="11">
        <v>3567</v>
      </c>
    </row>
    <row r="374" spans="1:8" x14ac:dyDescent="0.2">
      <c r="A374" s="10">
        <v>21</v>
      </c>
      <c r="B374" s="10" t="s">
        <v>691</v>
      </c>
      <c r="C374" s="10">
        <v>2197</v>
      </c>
      <c r="D374" s="10" t="s">
        <v>720</v>
      </c>
      <c r="E374" s="11">
        <v>39769</v>
      </c>
      <c r="F374" s="11">
        <v>40004</v>
      </c>
      <c r="G374" s="11">
        <v>79773</v>
      </c>
      <c r="H374" s="11">
        <v>69179</v>
      </c>
    </row>
    <row r="375" spans="1:8" x14ac:dyDescent="0.2">
      <c r="A375" s="10">
        <v>21</v>
      </c>
      <c r="B375" s="10" t="s">
        <v>691</v>
      </c>
      <c r="C375" s="10">
        <v>2198</v>
      </c>
      <c r="D375" s="10" t="s">
        <v>721</v>
      </c>
      <c r="E375" s="11">
        <v>8647</v>
      </c>
      <c r="F375" s="11">
        <v>9695</v>
      </c>
      <c r="G375" s="11">
        <v>18342</v>
      </c>
      <c r="H375" s="11">
        <v>12071</v>
      </c>
    </row>
    <row r="376" spans="1:8" x14ac:dyDescent="0.2">
      <c r="A376" s="10">
        <v>21</v>
      </c>
      <c r="B376" s="10" t="s">
        <v>691</v>
      </c>
      <c r="C376" s="10">
        <v>2199</v>
      </c>
      <c r="D376" s="10" t="s">
        <v>722</v>
      </c>
      <c r="E376" s="11">
        <v>27409</v>
      </c>
      <c r="F376" s="11">
        <v>31205</v>
      </c>
      <c r="G376" s="11">
        <v>58614</v>
      </c>
      <c r="H376" s="11">
        <v>38537</v>
      </c>
    </row>
    <row r="377" spans="1:8" x14ac:dyDescent="0.2">
      <c r="A377" s="10">
        <v>22</v>
      </c>
      <c r="B377" s="10" t="s">
        <v>723</v>
      </c>
      <c r="C377" s="10">
        <v>2201</v>
      </c>
      <c r="D377" s="10" t="s">
        <v>724</v>
      </c>
      <c r="E377" s="11">
        <v>23026</v>
      </c>
      <c r="F377" s="11">
        <v>25609</v>
      </c>
      <c r="G377" s="11">
        <v>48635</v>
      </c>
      <c r="H377" s="11">
        <v>24450</v>
      </c>
    </row>
    <row r="378" spans="1:8" x14ac:dyDescent="0.2">
      <c r="A378" s="10">
        <v>22</v>
      </c>
      <c r="B378" s="10" t="s">
        <v>723</v>
      </c>
      <c r="C378" s="10">
        <v>2202</v>
      </c>
      <c r="D378" s="10" t="s">
        <v>725</v>
      </c>
      <c r="E378" s="11">
        <v>12459</v>
      </c>
      <c r="F378" s="11">
        <v>13001</v>
      </c>
      <c r="G378" s="11">
        <v>25460</v>
      </c>
      <c r="H378" s="11">
        <v>10815</v>
      </c>
    </row>
    <row r="379" spans="1:8" x14ac:dyDescent="0.2">
      <c r="A379" s="10">
        <v>22</v>
      </c>
      <c r="B379" s="10" t="s">
        <v>723</v>
      </c>
      <c r="C379" s="10">
        <v>2203</v>
      </c>
      <c r="D379" s="10" t="s">
        <v>726</v>
      </c>
      <c r="E379" s="11">
        <v>23241</v>
      </c>
      <c r="F379" s="11">
        <v>24302</v>
      </c>
      <c r="G379" s="11">
        <v>47543</v>
      </c>
      <c r="H379" s="11">
        <v>19239</v>
      </c>
    </row>
    <row r="380" spans="1:8" x14ac:dyDescent="0.2">
      <c r="A380" s="10">
        <v>22</v>
      </c>
      <c r="B380" s="10" t="s">
        <v>723</v>
      </c>
      <c r="C380" s="10">
        <v>2204</v>
      </c>
      <c r="D380" s="10" t="s">
        <v>727</v>
      </c>
      <c r="E380" s="11">
        <v>11005</v>
      </c>
      <c r="F380" s="11">
        <v>10527</v>
      </c>
      <c r="G380" s="11">
        <v>21532</v>
      </c>
      <c r="H380" s="11">
        <v>9196</v>
      </c>
    </row>
    <row r="381" spans="1:8" x14ac:dyDescent="0.2">
      <c r="A381" s="10">
        <v>22</v>
      </c>
      <c r="B381" s="10" t="s">
        <v>723</v>
      </c>
      <c r="C381" s="10">
        <v>2205</v>
      </c>
      <c r="D381" s="10" t="s">
        <v>728</v>
      </c>
      <c r="E381" s="11">
        <v>15269</v>
      </c>
      <c r="F381" s="11">
        <v>15915</v>
      </c>
      <c r="G381" s="11">
        <v>31184</v>
      </c>
      <c r="H381" s="11">
        <v>14383</v>
      </c>
    </row>
    <row r="382" spans="1:8" x14ac:dyDescent="0.2">
      <c r="A382" s="10">
        <v>22</v>
      </c>
      <c r="B382" s="10" t="s">
        <v>723</v>
      </c>
      <c r="C382" s="10">
        <v>2206</v>
      </c>
      <c r="D382" s="10" t="s">
        <v>729</v>
      </c>
      <c r="E382" s="11">
        <v>6763</v>
      </c>
      <c r="F382" s="11">
        <v>7084</v>
      </c>
      <c r="G382" s="11">
        <v>13847</v>
      </c>
      <c r="H382" s="11">
        <v>5522</v>
      </c>
    </row>
    <row r="383" spans="1:8" x14ac:dyDescent="0.2">
      <c r="A383" s="10">
        <v>22</v>
      </c>
      <c r="B383" s="10" t="s">
        <v>723</v>
      </c>
      <c r="C383" s="10">
        <v>2207</v>
      </c>
      <c r="D383" s="10" t="s">
        <v>730</v>
      </c>
      <c r="E383" s="11">
        <v>18607</v>
      </c>
      <c r="F383" s="11">
        <v>18346</v>
      </c>
      <c r="G383" s="11">
        <v>36953</v>
      </c>
      <c r="H383" s="11">
        <v>15547</v>
      </c>
    </row>
    <row r="384" spans="1:8" x14ac:dyDescent="0.2">
      <c r="A384" s="10">
        <v>22</v>
      </c>
      <c r="B384" s="10" t="s">
        <v>723</v>
      </c>
      <c r="C384" s="10">
        <v>2208</v>
      </c>
      <c r="D384" s="10" t="s">
        <v>731</v>
      </c>
      <c r="E384" s="11">
        <v>21455</v>
      </c>
      <c r="F384" s="11">
        <v>21366</v>
      </c>
      <c r="G384" s="11">
        <v>42821</v>
      </c>
      <c r="H384" s="11">
        <v>22728</v>
      </c>
    </row>
    <row r="385" spans="1:8" x14ac:dyDescent="0.2">
      <c r="A385" s="10">
        <v>22</v>
      </c>
      <c r="B385" s="10" t="s">
        <v>723</v>
      </c>
      <c r="C385" s="10">
        <v>2209</v>
      </c>
      <c r="D385" s="10" t="s">
        <v>732</v>
      </c>
      <c r="E385" s="11">
        <v>14890</v>
      </c>
      <c r="F385" s="11">
        <v>15938</v>
      </c>
      <c r="G385" s="11">
        <v>30828</v>
      </c>
      <c r="H385" s="11">
        <v>12712</v>
      </c>
    </row>
    <row r="386" spans="1:8" x14ac:dyDescent="0.2">
      <c r="A386" s="10">
        <v>22</v>
      </c>
      <c r="B386" s="10" t="s">
        <v>723</v>
      </c>
      <c r="C386" s="10">
        <v>2210</v>
      </c>
      <c r="D386" s="10" t="s">
        <v>733</v>
      </c>
      <c r="E386" s="11">
        <v>6325</v>
      </c>
      <c r="F386" s="11">
        <v>6530</v>
      </c>
      <c r="G386" s="11">
        <v>12855</v>
      </c>
      <c r="H386" s="11">
        <v>5863</v>
      </c>
    </row>
    <row r="387" spans="1:8" x14ac:dyDescent="0.2">
      <c r="A387" s="10">
        <v>22</v>
      </c>
      <c r="B387" s="10" t="s">
        <v>723</v>
      </c>
      <c r="C387" s="10">
        <v>2272</v>
      </c>
      <c r="D387" s="10" t="s">
        <v>734</v>
      </c>
      <c r="E387" s="11">
        <v>3061</v>
      </c>
      <c r="F387" s="11">
        <v>3218</v>
      </c>
      <c r="G387" s="11">
        <v>6279</v>
      </c>
      <c r="H387" s="11">
        <v>2658</v>
      </c>
    </row>
    <row r="388" spans="1:8" x14ac:dyDescent="0.2">
      <c r="A388" s="10">
        <v>22</v>
      </c>
      <c r="B388" s="10" t="s">
        <v>723</v>
      </c>
      <c r="C388" s="10">
        <v>2273</v>
      </c>
      <c r="D388" s="10" t="s">
        <v>735</v>
      </c>
      <c r="E388" s="11">
        <v>2698</v>
      </c>
      <c r="F388" s="11">
        <v>2710</v>
      </c>
      <c r="G388" s="11">
        <v>5408</v>
      </c>
      <c r="H388" s="11">
        <v>2192</v>
      </c>
    </row>
    <row r="389" spans="1:8" x14ac:dyDescent="0.2">
      <c r="A389" s="10">
        <v>22</v>
      </c>
      <c r="B389" s="10" t="s">
        <v>723</v>
      </c>
      <c r="C389" s="10">
        <v>2274</v>
      </c>
      <c r="D389" s="10" t="s">
        <v>736</v>
      </c>
      <c r="E389" s="11">
        <v>5206</v>
      </c>
      <c r="F389" s="11">
        <v>4960</v>
      </c>
      <c r="G389" s="11">
        <v>10166</v>
      </c>
      <c r="H389" s="11">
        <v>4188</v>
      </c>
    </row>
    <row r="390" spans="1:8" x14ac:dyDescent="0.2">
      <c r="A390" s="10">
        <v>22</v>
      </c>
      <c r="B390" s="10" t="s">
        <v>723</v>
      </c>
      <c r="C390" s="10">
        <v>2275</v>
      </c>
      <c r="D390" s="10" t="s">
        <v>737</v>
      </c>
      <c r="E390" s="11">
        <v>1980</v>
      </c>
      <c r="F390" s="11">
        <v>2143</v>
      </c>
      <c r="G390" s="11">
        <v>4123</v>
      </c>
      <c r="H390" s="11">
        <v>1710</v>
      </c>
    </row>
    <row r="391" spans="1:8" x14ac:dyDescent="0.2">
      <c r="A391" s="10">
        <v>22</v>
      </c>
      <c r="B391" s="10" t="s">
        <v>723</v>
      </c>
      <c r="C391" s="10">
        <v>2276</v>
      </c>
      <c r="D391" s="10" t="s">
        <v>738</v>
      </c>
      <c r="E391" s="11">
        <v>2152</v>
      </c>
      <c r="F391" s="11">
        <v>2503</v>
      </c>
      <c r="G391" s="11">
        <v>4655</v>
      </c>
      <c r="H391" s="11">
        <v>2384</v>
      </c>
    </row>
    <row r="392" spans="1:8" x14ac:dyDescent="0.2">
      <c r="A392" s="10">
        <v>22</v>
      </c>
      <c r="B392" s="10" t="s">
        <v>723</v>
      </c>
      <c r="C392" s="10">
        <v>2277</v>
      </c>
      <c r="D392" s="10" t="s">
        <v>739</v>
      </c>
      <c r="E392" s="11">
        <v>3443</v>
      </c>
      <c r="F392" s="11">
        <v>3621</v>
      </c>
      <c r="G392" s="11">
        <v>7064</v>
      </c>
      <c r="H392" s="11">
        <v>2912</v>
      </c>
    </row>
    <row r="393" spans="1:8" x14ac:dyDescent="0.2">
      <c r="A393" s="10">
        <v>22</v>
      </c>
      <c r="B393" s="10" t="s">
        <v>723</v>
      </c>
      <c r="C393" s="10">
        <v>2278</v>
      </c>
      <c r="D393" s="10" t="s">
        <v>740</v>
      </c>
      <c r="E393" s="11">
        <v>2133</v>
      </c>
      <c r="F393" s="11">
        <v>2259</v>
      </c>
      <c r="G393" s="11">
        <v>4392</v>
      </c>
      <c r="H393" s="11">
        <v>1974</v>
      </c>
    </row>
    <row r="394" spans="1:8" x14ac:dyDescent="0.2">
      <c r="A394" s="10">
        <v>22</v>
      </c>
      <c r="B394" s="10" t="s">
        <v>723</v>
      </c>
      <c r="C394" s="10">
        <v>2279</v>
      </c>
      <c r="D394" s="10" t="s">
        <v>741</v>
      </c>
      <c r="E394" s="11">
        <v>2388</v>
      </c>
      <c r="F394" s="11">
        <v>2354</v>
      </c>
      <c r="G394" s="11">
        <v>4742</v>
      </c>
      <c r="H394" s="11">
        <v>1931</v>
      </c>
    </row>
    <row r="395" spans="1:8" x14ac:dyDescent="0.2">
      <c r="A395" s="10">
        <v>22</v>
      </c>
      <c r="B395" s="10" t="s">
        <v>723</v>
      </c>
      <c r="C395" s="10">
        <v>2280</v>
      </c>
      <c r="D395" s="10" t="s">
        <v>742</v>
      </c>
      <c r="E395" s="11">
        <v>8557</v>
      </c>
      <c r="F395" s="11">
        <v>9548</v>
      </c>
      <c r="G395" s="11">
        <v>18105</v>
      </c>
      <c r="H395" s="11">
        <v>9022</v>
      </c>
    </row>
    <row r="396" spans="1:8" x14ac:dyDescent="0.2">
      <c r="A396" s="10">
        <v>22</v>
      </c>
      <c r="B396" s="10" t="s">
        <v>723</v>
      </c>
      <c r="C396" s="10">
        <v>2281</v>
      </c>
      <c r="D396" s="10" t="s">
        <v>743</v>
      </c>
      <c r="E396" s="11">
        <v>2269</v>
      </c>
      <c r="F396" s="11">
        <v>2118</v>
      </c>
      <c r="G396" s="11">
        <v>4387</v>
      </c>
      <c r="H396" s="11">
        <v>2720</v>
      </c>
    </row>
    <row r="397" spans="1:8" x14ac:dyDescent="0.2">
      <c r="A397" s="10">
        <v>22</v>
      </c>
      <c r="B397" s="10" t="s">
        <v>723</v>
      </c>
      <c r="C397" s="10">
        <v>2282</v>
      </c>
      <c r="D397" s="10" t="s">
        <v>744</v>
      </c>
      <c r="E397" s="11">
        <v>3576</v>
      </c>
      <c r="F397" s="11">
        <v>3776</v>
      </c>
      <c r="G397" s="11">
        <v>7352</v>
      </c>
      <c r="H397" s="11">
        <v>4364</v>
      </c>
    </row>
    <row r="398" spans="1:8" x14ac:dyDescent="0.2">
      <c r="A398" s="10">
        <v>22</v>
      </c>
      <c r="B398" s="10" t="s">
        <v>723</v>
      </c>
      <c r="C398" s="10">
        <v>2283</v>
      </c>
      <c r="D398" s="10" t="s">
        <v>745</v>
      </c>
      <c r="E398" s="11">
        <v>8098</v>
      </c>
      <c r="F398" s="11">
        <v>8078</v>
      </c>
      <c r="G398" s="11">
        <v>16176</v>
      </c>
      <c r="H398" s="11">
        <v>6331</v>
      </c>
    </row>
    <row r="399" spans="1:8" x14ac:dyDescent="0.2">
      <c r="A399" s="10">
        <v>22</v>
      </c>
      <c r="B399" s="10" t="s">
        <v>723</v>
      </c>
      <c r="C399" s="10">
        <v>2284</v>
      </c>
      <c r="D399" s="10" t="s">
        <v>746</v>
      </c>
      <c r="E399" s="11">
        <v>1605</v>
      </c>
      <c r="F399" s="11">
        <v>1796</v>
      </c>
      <c r="G399" s="11">
        <v>3401</v>
      </c>
      <c r="H399" s="11">
        <v>2034</v>
      </c>
    </row>
    <row r="400" spans="1:8" x14ac:dyDescent="0.2">
      <c r="A400" s="10">
        <v>22</v>
      </c>
      <c r="B400" s="10" t="s">
        <v>723</v>
      </c>
      <c r="C400" s="10">
        <v>2285</v>
      </c>
      <c r="D400" s="10" t="s">
        <v>747</v>
      </c>
      <c r="E400" s="11">
        <v>5505</v>
      </c>
      <c r="F400" s="11">
        <v>5703</v>
      </c>
      <c r="G400" s="11">
        <v>11208</v>
      </c>
      <c r="H400" s="11">
        <v>6611</v>
      </c>
    </row>
    <row r="401" spans="1:8" x14ac:dyDescent="0.2">
      <c r="A401" s="10">
        <v>22</v>
      </c>
      <c r="B401" s="10" t="s">
        <v>723</v>
      </c>
      <c r="C401" s="10">
        <v>2286</v>
      </c>
      <c r="D401" s="10" t="s">
        <v>748</v>
      </c>
      <c r="E401" s="11">
        <v>3198</v>
      </c>
      <c r="F401" s="11">
        <v>3687</v>
      </c>
      <c r="G401" s="11">
        <v>6885</v>
      </c>
      <c r="H401" s="11">
        <v>3243</v>
      </c>
    </row>
    <row r="402" spans="1:8" x14ac:dyDescent="0.2">
      <c r="A402" s="10">
        <v>22</v>
      </c>
      <c r="B402" s="10" t="s">
        <v>723</v>
      </c>
      <c r="C402" s="10">
        <v>2287</v>
      </c>
      <c r="D402" s="10" t="s">
        <v>749</v>
      </c>
      <c r="E402" s="11">
        <v>4108</v>
      </c>
      <c r="F402" s="11">
        <v>4368</v>
      </c>
      <c r="G402" s="11">
        <v>8476</v>
      </c>
      <c r="H402" s="11">
        <v>3543</v>
      </c>
    </row>
    <row r="403" spans="1:8" x14ac:dyDescent="0.2">
      <c r="A403" s="10">
        <v>22</v>
      </c>
      <c r="B403" s="10" t="s">
        <v>723</v>
      </c>
      <c r="C403" s="10">
        <v>2288</v>
      </c>
      <c r="D403" s="10" t="s">
        <v>750</v>
      </c>
      <c r="E403" s="10">
        <v>784</v>
      </c>
      <c r="F403" s="10">
        <v>897</v>
      </c>
      <c r="G403" s="11">
        <v>1681</v>
      </c>
      <c r="H403" s="11">
        <v>1041</v>
      </c>
    </row>
    <row r="404" spans="1:8" x14ac:dyDescent="0.2">
      <c r="A404" s="10">
        <v>22</v>
      </c>
      <c r="B404" s="10" t="s">
        <v>723</v>
      </c>
      <c r="C404" s="10">
        <v>2289</v>
      </c>
      <c r="D404" s="10" t="s">
        <v>751</v>
      </c>
      <c r="E404" s="11">
        <v>5129</v>
      </c>
      <c r="F404" s="11">
        <v>4292</v>
      </c>
      <c r="G404" s="11">
        <v>9421</v>
      </c>
      <c r="H404" s="11">
        <v>4492</v>
      </c>
    </row>
    <row r="405" spans="1:8" x14ac:dyDescent="0.2">
      <c r="A405" s="10">
        <v>22</v>
      </c>
      <c r="B405" s="10" t="s">
        <v>723</v>
      </c>
      <c r="C405" s="10">
        <v>2290</v>
      </c>
      <c r="D405" s="10" t="s">
        <v>752</v>
      </c>
      <c r="E405" s="11">
        <v>1752</v>
      </c>
      <c r="F405" s="11">
        <v>1963</v>
      </c>
      <c r="G405" s="11">
        <v>3715</v>
      </c>
      <c r="H405" s="11">
        <v>2249</v>
      </c>
    </row>
    <row r="406" spans="1:8" x14ac:dyDescent="0.2">
      <c r="A406" s="10">
        <v>22</v>
      </c>
      <c r="B406" s="10" t="s">
        <v>723</v>
      </c>
      <c r="C406" s="10">
        <v>2291</v>
      </c>
      <c r="D406" s="10" t="s">
        <v>753</v>
      </c>
      <c r="E406" s="11">
        <v>1481</v>
      </c>
      <c r="F406" s="11">
        <v>1567</v>
      </c>
      <c r="G406" s="11">
        <v>3048</v>
      </c>
      <c r="H406" s="11">
        <v>1789</v>
      </c>
    </row>
    <row r="407" spans="1:8" x14ac:dyDescent="0.2">
      <c r="A407" s="10">
        <v>22</v>
      </c>
      <c r="B407" s="10" t="s">
        <v>723</v>
      </c>
      <c r="C407" s="10">
        <v>2292</v>
      </c>
      <c r="D407" s="10" t="s">
        <v>754</v>
      </c>
      <c r="E407" s="10">
        <v>998</v>
      </c>
      <c r="F407" s="11">
        <v>1152</v>
      </c>
      <c r="G407" s="11">
        <v>2150</v>
      </c>
      <c r="H407" s="10">
        <v>992</v>
      </c>
    </row>
    <row r="408" spans="1:8" x14ac:dyDescent="0.2">
      <c r="A408" s="10">
        <v>22</v>
      </c>
      <c r="B408" s="10" t="s">
        <v>723</v>
      </c>
      <c r="C408" s="10">
        <v>2293</v>
      </c>
      <c r="D408" s="10" t="s">
        <v>755</v>
      </c>
      <c r="E408" s="11">
        <v>4859</v>
      </c>
      <c r="F408" s="11">
        <v>5430</v>
      </c>
      <c r="G408" s="11">
        <v>10289</v>
      </c>
      <c r="H408" s="11">
        <v>6832</v>
      </c>
    </row>
    <row r="409" spans="1:8" x14ac:dyDescent="0.2">
      <c r="A409" s="10">
        <v>22</v>
      </c>
      <c r="B409" s="10" t="s">
        <v>723</v>
      </c>
      <c r="C409" s="10">
        <v>2294</v>
      </c>
      <c r="D409" s="10" t="s">
        <v>756</v>
      </c>
      <c r="E409" s="11">
        <v>2474</v>
      </c>
      <c r="F409" s="11">
        <v>2669</v>
      </c>
      <c r="G409" s="11">
        <v>5143</v>
      </c>
      <c r="H409" s="11">
        <v>2333</v>
      </c>
    </row>
    <row r="410" spans="1:8" x14ac:dyDescent="0.2">
      <c r="A410" s="10">
        <v>22</v>
      </c>
      <c r="B410" s="10" t="s">
        <v>723</v>
      </c>
      <c r="C410" s="10">
        <v>2295</v>
      </c>
      <c r="D410" s="10" t="s">
        <v>757</v>
      </c>
      <c r="E410" s="11">
        <v>6468</v>
      </c>
      <c r="F410" s="11">
        <v>7637</v>
      </c>
      <c r="G410" s="11">
        <v>14105</v>
      </c>
      <c r="H410" s="11">
        <v>11403</v>
      </c>
    </row>
    <row r="411" spans="1:8" x14ac:dyDescent="0.2">
      <c r="A411" s="10">
        <v>22</v>
      </c>
      <c r="B411" s="10" t="s">
        <v>723</v>
      </c>
      <c r="C411" s="10">
        <v>2296</v>
      </c>
      <c r="D411" s="10" t="s">
        <v>758</v>
      </c>
      <c r="E411" s="11">
        <v>5342</v>
      </c>
      <c r="F411" s="11">
        <v>6103</v>
      </c>
      <c r="G411" s="11">
        <v>11445</v>
      </c>
      <c r="H411" s="11">
        <v>8015</v>
      </c>
    </row>
    <row r="412" spans="1:8" x14ac:dyDescent="0.2">
      <c r="A412" s="10">
        <v>22</v>
      </c>
      <c r="B412" s="10" t="s">
        <v>723</v>
      </c>
      <c r="C412" s="10">
        <v>2297</v>
      </c>
      <c r="D412" s="10" t="s">
        <v>759</v>
      </c>
      <c r="E412" s="11">
        <v>4701</v>
      </c>
      <c r="F412" s="11">
        <v>5359</v>
      </c>
      <c r="G412" s="11">
        <v>10060</v>
      </c>
      <c r="H412" s="11">
        <v>4339</v>
      </c>
    </row>
    <row r="413" spans="1:8" x14ac:dyDescent="0.2">
      <c r="A413" s="10">
        <v>22</v>
      </c>
      <c r="B413" s="10" t="s">
        <v>723</v>
      </c>
      <c r="C413" s="10">
        <v>2298</v>
      </c>
      <c r="D413" s="10" t="s">
        <v>760</v>
      </c>
      <c r="E413" s="11">
        <v>4611</v>
      </c>
      <c r="F413" s="11">
        <v>5299</v>
      </c>
      <c r="G413" s="11">
        <v>9910</v>
      </c>
      <c r="H413" s="11">
        <v>4826</v>
      </c>
    </row>
    <row r="414" spans="1:8" x14ac:dyDescent="0.2">
      <c r="A414" s="10">
        <v>22</v>
      </c>
      <c r="B414" s="10" t="s">
        <v>723</v>
      </c>
      <c r="C414" s="10">
        <v>2299</v>
      </c>
      <c r="D414" s="10" t="s">
        <v>761</v>
      </c>
      <c r="E414" s="11">
        <v>9939</v>
      </c>
      <c r="F414" s="11">
        <v>11005</v>
      </c>
      <c r="G414" s="11">
        <v>20944</v>
      </c>
      <c r="H414" s="11">
        <v>15066</v>
      </c>
    </row>
    <row r="415" spans="1:8" x14ac:dyDescent="0.2">
      <c r="A415" s="10">
        <v>23</v>
      </c>
      <c r="B415" s="10" t="s">
        <v>762</v>
      </c>
      <c r="C415" s="10">
        <v>2301</v>
      </c>
      <c r="D415" s="10" t="s">
        <v>763</v>
      </c>
      <c r="E415" s="11">
        <v>36036</v>
      </c>
      <c r="F415" s="11">
        <v>38610</v>
      </c>
      <c r="G415" s="11">
        <v>74646</v>
      </c>
      <c r="H415" s="11">
        <v>37597</v>
      </c>
    </row>
    <row r="416" spans="1:8" x14ac:dyDescent="0.2">
      <c r="A416" s="10">
        <v>23</v>
      </c>
      <c r="B416" s="10" t="s">
        <v>762</v>
      </c>
      <c r="C416" s="10">
        <v>2302</v>
      </c>
      <c r="D416" s="10" t="s">
        <v>764</v>
      </c>
      <c r="E416" s="11">
        <v>7294</v>
      </c>
      <c r="F416" s="11">
        <v>7120</v>
      </c>
      <c r="G416" s="11">
        <v>14414</v>
      </c>
      <c r="H416" s="11">
        <v>5664</v>
      </c>
    </row>
    <row r="417" spans="1:8" x14ac:dyDescent="0.2">
      <c r="A417" s="10">
        <v>23</v>
      </c>
      <c r="B417" s="10" t="s">
        <v>762</v>
      </c>
      <c r="C417" s="10">
        <v>2303</v>
      </c>
      <c r="D417" s="10" t="s">
        <v>765</v>
      </c>
      <c r="E417" s="11">
        <v>19764</v>
      </c>
      <c r="F417" s="11">
        <v>20058</v>
      </c>
      <c r="G417" s="11">
        <v>39822</v>
      </c>
      <c r="H417" s="11">
        <v>18700</v>
      </c>
    </row>
    <row r="418" spans="1:8" x14ac:dyDescent="0.2">
      <c r="A418" s="10">
        <v>23</v>
      </c>
      <c r="B418" s="10" t="s">
        <v>762</v>
      </c>
      <c r="C418" s="10">
        <v>2304</v>
      </c>
      <c r="D418" s="10" t="s">
        <v>766</v>
      </c>
      <c r="E418" s="11">
        <v>9508</v>
      </c>
      <c r="F418" s="11">
        <v>9034</v>
      </c>
      <c r="G418" s="11">
        <v>18542</v>
      </c>
      <c r="H418" s="11">
        <v>7901</v>
      </c>
    </row>
    <row r="419" spans="1:8" x14ac:dyDescent="0.2">
      <c r="A419" s="10">
        <v>23</v>
      </c>
      <c r="B419" s="10" t="s">
        <v>762</v>
      </c>
      <c r="C419" s="10">
        <v>2305</v>
      </c>
      <c r="D419" s="10" t="s">
        <v>767</v>
      </c>
      <c r="E419" s="11">
        <v>7335</v>
      </c>
      <c r="F419" s="11">
        <v>7031</v>
      </c>
      <c r="G419" s="11">
        <v>14366</v>
      </c>
      <c r="H419" s="11">
        <v>6172</v>
      </c>
    </row>
    <row r="420" spans="1:8" x14ac:dyDescent="0.2">
      <c r="A420" s="10">
        <v>23</v>
      </c>
      <c r="B420" s="10" t="s">
        <v>762</v>
      </c>
      <c r="C420" s="10">
        <v>2306</v>
      </c>
      <c r="D420" s="10" t="s">
        <v>768</v>
      </c>
      <c r="E420" s="11">
        <v>1547</v>
      </c>
      <c r="F420" s="11">
        <v>1415</v>
      </c>
      <c r="G420" s="11">
        <v>2962</v>
      </c>
      <c r="H420" s="11">
        <v>2214</v>
      </c>
    </row>
    <row r="421" spans="1:8" x14ac:dyDescent="0.2">
      <c r="A421" s="10">
        <v>23</v>
      </c>
      <c r="B421" s="10" t="s">
        <v>762</v>
      </c>
      <c r="C421" s="10">
        <v>2307</v>
      </c>
      <c r="D421" s="10" t="s">
        <v>769</v>
      </c>
      <c r="E421" s="11">
        <v>4344</v>
      </c>
      <c r="F421" s="11">
        <v>4384</v>
      </c>
      <c r="G421" s="11">
        <v>8728</v>
      </c>
      <c r="H421" s="11">
        <v>6392</v>
      </c>
    </row>
    <row r="422" spans="1:8" x14ac:dyDescent="0.2">
      <c r="A422" s="10">
        <v>23</v>
      </c>
      <c r="B422" s="10" t="s">
        <v>762</v>
      </c>
      <c r="C422" s="10">
        <v>2389</v>
      </c>
      <c r="D422" s="10" t="s">
        <v>770</v>
      </c>
      <c r="E422" s="11">
        <v>1252</v>
      </c>
      <c r="F422" s="11">
        <v>1350</v>
      </c>
      <c r="G422" s="11">
        <v>2602</v>
      </c>
      <c r="H422" s="11">
        <v>1416</v>
      </c>
    </row>
    <row r="423" spans="1:8" x14ac:dyDescent="0.2">
      <c r="A423" s="10">
        <v>23</v>
      </c>
      <c r="B423" s="10" t="s">
        <v>762</v>
      </c>
      <c r="C423" s="10">
        <v>2390</v>
      </c>
      <c r="D423" s="10" t="s">
        <v>771</v>
      </c>
      <c r="E423" s="11">
        <v>3655</v>
      </c>
      <c r="F423" s="11">
        <v>3568</v>
      </c>
      <c r="G423" s="11">
        <v>7223</v>
      </c>
      <c r="H423" s="11">
        <v>4009</v>
      </c>
    </row>
    <row r="424" spans="1:8" x14ac:dyDescent="0.2">
      <c r="A424" s="10">
        <v>23</v>
      </c>
      <c r="B424" s="10" t="s">
        <v>762</v>
      </c>
      <c r="C424" s="10">
        <v>2391</v>
      </c>
      <c r="D424" s="10" t="s">
        <v>772</v>
      </c>
      <c r="E424" s="10">
        <v>833</v>
      </c>
      <c r="F424" s="10">
        <v>850</v>
      </c>
      <c r="G424" s="11">
        <v>1683</v>
      </c>
      <c r="H424" s="10">
        <v>764</v>
      </c>
    </row>
    <row r="425" spans="1:8" x14ac:dyDescent="0.2">
      <c r="A425" s="10">
        <v>23</v>
      </c>
      <c r="B425" s="10" t="s">
        <v>762</v>
      </c>
      <c r="C425" s="10">
        <v>2392</v>
      </c>
      <c r="D425" s="10" t="s">
        <v>773</v>
      </c>
      <c r="E425" s="11">
        <v>1494</v>
      </c>
      <c r="F425" s="11">
        <v>1603</v>
      </c>
      <c r="G425" s="11">
        <v>3097</v>
      </c>
      <c r="H425" s="11">
        <v>1350</v>
      </c>
    </row>
    <row r="426" spans="1:8" x14ac:dyDescent="0.2">
      <c r="A426" s="10">
        <v>23</v>
      </c>
      <c r="B426" s="10" t="s">
        <v>762</v>
      </c>
      <c r="C426" s="10">
        <v>2393</v>
      </c>
      <c r="D426" s="10" t="s">
        <v>774</v>
      </c>
      <c r="E426" s="11">
        <v>4224</v>
      </c>
      <c r="F426" s="11">
        <v>4298</v>
      </c>
      <c r="G426" s="11">
        <v>8522</v>
      </c>
      <c r="H426" s="11">
        <v>5867</v>
      </c>
    </row>
    <row r="427" spans="1:8" x14ac:dyDescent="0.2">
      <c r="A427" s="10">
        <v>23</v>
      </c>
      <c r="B427" s="10" t="s">
        <v>762</v>
      </c>
      <c r="C427" s="10">
        <v>2394</v>
      </c>
      <c r="D427" s="10" t="s">
        <v>775</v>
      </c>
      <c r="E427" s="11">
        <v>1525</v>
      </c>
      <c r="F427" s="11">
        <v>1580</v>
      </c>
      <c r="G427" s="11">
        <v>3105</v>
      </c>
      <c r="H427" s="11">
        <v>2441</v>
      </c>
    </row>
    <row r="428" spans="1:8" x14ac:dyDescent="0.2">
      <c r="A428" s="10">
        <v>23</v>
      </c>
      <c r="B428" s="10" t="s">
        <v>762</v>
      </c>
      <c r="C428" s="10">
        <v>2395</v>
      </c>
      <c r="D428" s="10" t="s">
        <v>776</v>
      </c>
      <c r="E428" s="10">
        <v>769</v>
      </c>
      <c r="F428" s="10">
        <v>748</v>
      </c>
      <c r="G428" s="11">
        <v>1517</v>
      </c>
      <c r="H428" s="10">
        <v>617</v>
      </c>
    </row>
    <row r="429" spans="1:8" x14ac:dyDescent="0.2">
      <c r="A429" s="10">
        <v>23</v>
      </c>
      <c r="B429" s="10" t="s">
        <v>762</v>
      </c>
      <c r="C429" s="10">
        <v>2396</v>
      </c>
      <c r="D429" s="10" t="s">
        <v>777</v>
      </c>
      <c r="E429" s="11">
        <v>2681</v>
      </c>
      <c r="F429" s="11">
        <v>2552</v>
      </c>
      <c r="G429" s="11">
        <v>5233</v>
      </c>
      <c r="H429" s="11">
        <v>2032</v>
      </c>
    </row>
    <row r="430" spans="1:8" x14ac:dyDescent="0.2">
      <c r="A430" s="10">
        <v>23</v>
      </c>
      <c r="B430" s="10" t="s">
        <v>762</v>
      </c>
      <c r="C430" s="10">
        <v>2397</v>
      </c>
      <c r="D430" s="10" t="s">
        <v>735</v>
      </c>
      <c r="E430" s="11">
        <v>2525</v>
      </c>
      <c r="F430" s="11">
        <v>2567</v>
      </c>
      <c r="G430" s="11">
        <v>5092</v>
      </c>
      <c r="H430" s="11">
        <v>2457</v>
      </c>
    </row>
    <row r="431" spans="1:8" x14ac:dyDescent="0.2">
      <c r="A431" s="10">
        <v>23</v>
      </c>
      <c r="B431" s="10" t="s">
        <v>762</v>
      </c>
      <c r="C431" s="10">
        <v>2398</v>
      </c>
      <c r="D431" s="10" t="s">
        <v>778</v>
      </c>
      <c r="E431" s="11">
        <v>3122</v>
      </c>
      <c r="F431" s="11">
        <v>3430</v>
      </c>
      <c r="G431" s="11">
        <v>6552</v>
      </c>
      <c r="H431" s="11">
        <v>3220</v>
      </c>
    </row>
    <row r="432" spans="1:8" x14ac:dyDescent="0.2">
      <c r="A432" s="10">
        <v>23</v>
      </c>
      <c r="B432" s="10" t="s">
        <v>762</v>
      </c>
      <c r="C432" s="10">
        <v>2399</v>
      </c>
      <c r="D432" s="10" t="s">
        <v>779</v>
      </c>
      <c r="E432" s="11">
        <v>3985</v>
      </c>
      <c r="F432" s="11">
        <v>4426</v>
      </c>
      <c r="G432" s="11">
        <v>8411</v>
      </c>
      <c r="H432" s="11">
        <v>5580</v>
      </c>
    </row>
    <row r="433" spans="1:8" x14ac:dyDescent="0.2">
      <c r="A433" s="10">
        <v>24</v>
      </c>
      <c r="B433" s="10" t="s">
        <v>780</v>
      </c>
      <c r="C433" s="10">
        <v>2401</v>
      </c>
      <c r="D433" s="10" t="s">
        <v>781</v>
      </c>
      <c r="E433" s="11">
        <v>61490</v>
      </c>
      <c r="F433" s="11">
        <v>65257</v>
      </c>
      <c r="G433" s="11">
        <v>126747</v>
      </c>
      <c r="H433" s="11">
        <v>56559</v>
      </c>
    </row>
    <row r="434" spans="1:8" x14ac:dyDescent="0.2">
      <c r="A434" s="10">
        <v>24</v>
      </c>
      <c r="B434" s="10" t="s">
        <v>780</v>
      </c>
      <c r="C434" s="10">
        <v>2402</v>
      </c>
      <c r="D434" s="10" t="s">
        <v>782</v>
      </c>
      <c r="E434" s="11">
        <v>14658</v>
      </c>
      <c r="F434" s="11">
        <v>15685</v>
      </c>
      <c r="G434" s="11">
        <v>30343</v>
      </c>
      <c r="H434" s="11">
        <v>13395</v>
      </c>
    </row>
    <row r="435" spans="1:8" x14ac:dyDescent="0.2">
      <c r="A435" s="10">
        <v>24</v>
      </c>
      <c r="B435" s="10" t="s">
        <v>780</v>
      </c>
      <c r="C435" s="10">
        <v>2403</v>
      </c>
      <c r="D435" s="10" t="s">
        <v>783</v>
      </c>
      <c r="E435" s="11">
        <v>36580</v>
      </c>
      <c r="F435" s="11">
        <v>37215</v>
      </c>
      <c r="G435" s="11">
        <v>73795</v>
      </c>
      <c r="H435" s="11">
        <v>24009</v>
      </c>
    </row>
    <row r="436" spans="1:8" x14ac:dyDescent="0.2">
      <c r="A436" s="10">
        <v>24</v>
      </c>
      <c r="B436" s="10" t="s">
        <v>780</v>
      </c>
      <c r="C436" s="10">
        <v>2404</v>
      </c>
      <c r="D436" s="10" t="s">
        <v>784</v>
      </c>
      <c r="E436" s="11">
        <v>29250</v>
      </c>
      <c r="F436" s="11">
        <v>30344</v>
      </c>
      <c r="G436" s="11">
        <v>59594</v>
      </c>
      <c r="H436" s="11">
        <v>29826</v>
      </c>
    </row>
    <row r="437" spans="1:8" x14ac:dyDescent="0.2">
      <c r="A437" s="10">
        <v>24</v>
      </c>
      <c r="B437" s="10" t="s">
        <v>780</v>
      </c>
      <c r="C437" s="10">
        <v>2405</v>
      </c>
      <c r="D437" s="10" t="s">
        <v>785</v>
      </c>
      <c r="E437" s="11">
        <v>22616</v>
      </c>
      <c r="F437" s="11">
        <v>24533</v>
      </c>
      <c r="G437" s="11">
        <v>47149</v>
      </c>
      <c r="H437" s="11">
        <v>22943</v>
      </c>
    </row>
    <row r="438" spans="1:8" x14ac:dyDescent="0.2">
      <c r="A438" s="10">
        <v>24</v>
      </c>
      <c r="B438" s="10" t="s">
        <v>780</v>
      </c>
      <c r="C438" s="10">
        <v>2406</v>
      </c>
      <c r="D438" s="10" t="s">
        <v>786</v>
      </c>
      <c r="E438" s="11">
        <v>34991</v>
      </c>
      <c r="F438" s="11">
        <v>37071</v>
      </c>
      <c r="G438" s="11">
        <v>72062</v>
      </c>
      <c r="H438" s="11">
        <v>32344</v>
      </c>
    </row>
    <row r="439" spans="1:8" x14ac:dyDescent="0.2">
      <c r="A439" s="10">
        <v>24</v>
      </c>
      <c r="B439" s="10" t="s">
        <v>780</v>
      </c>
      <c r="C439" s="10">
        <v>2407</v>
      </c>
      <c r="D439" s="10" t="s">
        <v>787</v>
      </c>
      <c r="E439" s="11">
        <v>6130</v>
      </c>
      <c r="F439" s="11">
        <v>6380</v>
      </c>
      <c r="G439" s="11">
        <v>12510</v>
      </c>
      <c r="H439" s="11">
        <v>5117</v>
      </c>
    </row>
    <row r="440" spans="1:8" x14ac:dyDescent="0.2">
      <c r="A440" s="10">
        <v>24</v>
      </c>
      <c r="B440" s="10" t="s">
        <v>780</v>
      </c>
      <c r="C440" s="10">
        <v>2408</v>
      </c>
      <c r="D440" s="10" t="s">
        <v>788</v>
      </c>
      <c r="E440" s="11">
        <v>35587</v>
      </c>
      <c r="F440" s="11">
        <v>35574</v>
      </c>
      <c r="G440" s="11">
        <v>71161</v>
      </c>
      <c r="H440" s="11">
        <v>24441</v>
      </c>
    </row>
    <row r="441" spans="1:8" x14ac:dyDescent="0.2">
      <c r="A441" s="10">
        <v>24</v>
      </c>
      <c r="B441" s="10" t="s">
        <v>780</v>
      </c>
      <c r="C441" s="10">
        <v>2409</v>
      </c>
      <c r="D441" s="10" t="s">
        <v>789</v>
      </c>
      <c r="E441" s="11">
        <v>12020</v>
      </c>
      <c r="F441" s="11">
        <v>11789</v>
      </c>
      <c r="G441" s="11">
        <v>23809</v>
      </c>
      <c r="H441" s="11">
        <v>14024</v>
      </c>
    </row>
    <row r="442" spans="1:8" x14ac:dyDescent="0.2">
      <c r="A442" s="10">
        <v>24</v>
      </c>
      <c r="B442" s="10" t="s">
        <v>780</v>
      </c>
      <c r="C442" s="10">
        <v>2410</v>
      </c>
      <c r="D442" s="10" t="s">
        <v>790</v>
      </c>
      <c r="E442" s="11">
        <v>23547</v>
      </c>
      <c r="F442" s="11">
        <v>23212</v>
      </c>
      <c r="G442" s="11">
        <v>46759</v>
      </c>
      <c r="H442" s="11">
        <v>18165</v>
      </c>
    </row>
    <row r="443" spans="1:8" x14ac:dyDescent="0.2">
      <c r="A443" s="10">
        <v>24</v>
      </c>
      <c r="B443" s="10" t="s">
        <v>780</v>
      </c>
      <c r="C443" s="10">
        <v>2411</v>
      </c>
      <c r="D443" s="10" t="s">
        <v>791</v>
      </c>
      <c r="E443" s="11">
        <v>6064</v>
      </c>
      <c r="F443" s="11">
        <v>6328</v>
      </c>
      <c r="G443" s="11">
        <v>12392</v>
      </c>
      <c r="H443" s="11">
        <v>4788</v>
      </c>
    </row>
    <row r="444" spans="1:8" x14ac:dyDescent="0.2">
      <c r="A444" s="10">
        <v>24</v>
      </c>
      <c r="B444" s="10" t="s">
        <v>780</v>
      </c>
      <c r="C444" s="10">
        <v>2474</v>
      </c>
      <c r="D444" s="10" t="s">
        <v>792</v>
      </c>
      <c r="E444" s="11">
        <v>5515</v>
      </c>
      <c r="F444" s="11">
        <v>6006</v>
      </c>
      <c r="G444" s="11">
        <v>11521</v>
      </c>
      <c r="H444" s="11">
        <v>9761</v>
      </c>
    </row>
    <row r="445" spans="1:8" x14ac:dyDescent="0.2">
      <c r="A445" s="10">
        <v>24</v>
      </c>
      <c r="B445" s="10" t="s">
        <v>780</v>
      </c>
      <c r="C445" s="10">
        <v>2475</v>
      </c>
      <c r="D445" s="10" t="s">
        <v>793</v>
      </c>
      <c r="E445" s="11">
        <v>1823</v>
      </c>
      <c r="F445" s="11">
        <v>1957</v>
      </c>
      <c r="G445" s="11">
        <v>3780</v>
      </c>
      <c r="H445" s="11">
        <v>4397</v>
      </c>
    </row>
    <row r="446" spans="1:8" x14ac:dyDescent="0.2">
      <c r="A446" s="10">
        <v>24</v>
      </c>
      <c r="B446" s="10" t="s">
        <v>780</v>
      </c>
      <c r="C446" s="10">
        <v>2476</v>
      </c>
      <c r="D446" s="10" t="s">
        <v>794</v>
      </c>
      <c r="E446" s="11">
        <v>4902</v>
      </c>
      <c r="F446" s="11">
        <v>4984</v>
      </c>
      <c r="G446" s="11">
        <v>9886</v>
      </c>
      <c r="H446" s="11">
        <v>3837</v>
      </c>
    </row>
    <row r="447" spans="1:8" x14ac:dyDescent="0.2">
      <c r="A447" s="10">
        <v>24</v>
      </c>
      <c r="B447" s="10" t="s">
        <v>780</v>
      </c>
      <c r="C447" s="10">
        <v>2477</v>
      </c>
      <c r="D447" s="10" t="s">
        <v>795</v>
      </c>
      <c r="E447" s="11">
        <v>4368</v>
      </c>
      <c r="F447" s="11">
        <v>4252</v>
      </c>
      <c r="G447" s="11">
        <v>8620</v>
      </c>
      <c r="H447" s="11">
        <v>2524</v>
      </c>
    </row>
    <row r="448" spans="1:8" x14ac:dyDescent="0.2">
      <c r="A448" s="10">
        <v>24</v>
      </c>
      <c r="B448" s="10" t="s">
        <v>780</v>
      </c>
      <c r="C448" s="10">
        <v>2478</v>
      </c>
      <c r="D448" s="10" t="s">
        <v>796</v>
      </c>
      <c r="E448" s="11">
        <v>3377</v>
      </c>
      <c r="F448" s="11">
        <v>3538</v>
      </c>
      <c r="G448" s="11">
        <v>6915</v>
      </c>
      <c r="H448" s="11">
        <v>4250</v>
      </c>
    </row>
    <row r="449" spans="1:8" x14ac:dyDescent="0.2">
      <c r="A449" s="10">
        <v>24</v>
      </c>
      <c r="B449" s="10" t="s">
        <v>780</v>
      </c>
      <c r="C449" s="10">
        <v>2479</v>
      </c>
      <c r="D449" s="10" t="s">
        <v>797</v>
      </c>
      <c r="E449" s="11">
        <v>3062</v>
      </c>
      <c r="F449" s="11">
        <v>3198</v>
      </c>
      <c r="G449" s="11">
        <v>6260</v>
      </c>
      <c r="H449" s="11">
        <v>3832</v>
      </c>
    </row>
    <row r="450" spans="1:8" x14ac:dyDescent="0.2">
      <c r="A450" s="10">
        <v>24</v>
      </c>
      <c r="B450" s="10" t="s">
        <v>780</v>
      </c>
      <c r="C450" s="10">
        <v>2480</v>
      </c>
      <c r="D450" s="10" t="s">
        <v>798</v>
      </c>
      <c r="E450" s="11">
        <v>3064</v>
      </c>
      <c r="F450" s="11">
        <v>2718</v>
      </c>
      <c r="G450" s="11">
        <v>5782</v>
      </c>
      <c r="H450" s="11">
        <v>4773</v>
      </c>
    </row>
    <row r="451" spans="1:8" x14ac:dyDescent="0.2">
      <c r="A451" s="10">
        <v>24</v>
      </c>
      <c r="B451" s="10" t="s">
        <v>780</v>
      </c>
      <c r="C451" s="10">
        <v>2481</v>
      </c>
      <c r="D451" s="10" t="s">
        <v>799</v>
      </c>
      <c r="E451" s="11">
        <v>1998</v>
      </c>
      <c r="F451" s="11">
        <v>2233</v>
      </c>
      <c r="G451" s="11">
        <v>4231</v>
      </c>
      <c r="H451" s="11">
        <v>3064</v>
      </c>
    </row>
    <row r="452" spans="1:8" x14ac:dyDescent="0.2">
      <c r="A452" s="10">
        <v>24</v>
      </c>
      <c r="B452" s="10" t="s">
        <v>780</v>
      </c>
      <c r="C452" s="10">
        <v>2482</v>
      </c>
      <c r="D452" s="10" t="s">
        <v>800</v>
      </c>
      <c r="E452" s="11">
        <v>2806</v>
      </c>
      <c r="F452" s="11">
        <v>3295</v>
      </c>
      <c r="G452" s="11">
        <v>6101</v>
      </c>
      <c r="H452" s="11">
        <v>4310</v>
      </c>
    </row>
    <row r="453" spans="1:8" x14ac:dyDescent="0.2">
      <c r="A453" s="10">
        <v>24</v>
      </c>
      <c r="B453" s="10" t="s">
        <v>780</v>
      </c>
      <c r="C453" s="10">
        <v>2483</v>
      </c>
      <c r="D453" s="10" t="s">
        <v>801</v>
      </c>
      <c r="E453" s="11">
        <v>1683</v>
      </c>
      <c r="F453" s="11">
        <v>1764</v>
      </c>
      <c r="G453" s="11">
        <v>3447</v>
      </c>
      <c r="H453" s="11">
        <v>2743</v>
      </c>
    </row>
    <row r="454" spans="1:8" x14ac:dyDescent="0.2">
      <c r="A454" s="10">
        <v>24</v>
      </c>
      <c r="B454" s="10" t="s">
        <v>780</v>
      </c>
      <c r="C454" s="10">
        <v>2484</v>
      </c>
      <c r="D454" s="10" t="s">
        <v>802</v>
      </c>
      <c r="E454" s="10">
        <v>967</v>
      </c>
      <c r="F454" s="11">
        <v>1101</v>
      </c>
      <c r="G454" s="11">
        <v>2068</v>
      </c>
      <c r="H454" s="11">
        <v>1129</v>
      </c>
    </row>
    <row r="455" spans="1:8" x14ac:dyDescent="0.2">
      <c r="A455" s="10">
        <v>24</v>
      </c>
      <c r="B455" s="10" t="s">
        <v>780</v>
      </c>
      <c r="C455" s="10">
        <v>2485</v>
      </c>
      <c r="D455" s="10" t="s">
        <v>803</v>
      </c>
      <c r="E455" s="11">
        <v>1402</v>
      </c>
      <c r="F455" s="11">
        <v>1479</v>
      </c>
      <c r="G455" s="11">
        <v>2881</v>
      </c>
      <c r="H455" s="11">
        <v>1458</v>
      </c>
    </row>
    <row r="456" spans="1:8" x14ac:dyDescent="0.2">
      <c r="A456" s="10">
        <v>24</v>
      </c>
      <c r="B456" s="10" t="s">
        <v>780</v>
      </c>
      <c r="C456" s="10">
        <v>2486</v>
      </c>
      <c r="D456" s="10" t="s">
        <v>804</v>
      </c>
      <c r="E456" s="11">
        <v>1988</v>
      </c>
      <c r="F456" s="11">
        <v>2117</v>
      </c>
      <c r="G456" s="11">
        <v>4105</v>
      </c>
      <c r="H456" s="11">
        <v>1313</v>
      </c>
    </row>
    <row r="457" spans="1:8" x14ac:dyDescent="0.2">
      <c r="A457" s="10">
        <v>24</v>
      </c>
      <c r="B457" s="10" t="s">
        <v>780</v>
      </c>
      <c r="C457" s="10">
        <v>2487</v>
      </c>
      <c r="D457" s="10" t="s">
        <v>805</v>
      </c>
      <c r="E457" s="11">
        <v>1198</v>
      </c>
      <c r="F457" s="11">
        <v>1347</v>
      </c>
      <c r="G457" s="11">
        <v>2545</v>
      </c>
      <c r="H457" s="11">
        <v>2031</v>
      </c>
    </row>
    <row r="458" spans="1:8" x14ac:dyDescent="0.2">
      <c r="A458" s="10">
        <v>24</v>
      </c>
      <c r="B458" s="10" t="s">
        <v>780</v>
      </c>
      <c r="C458" s="10">
        <v>2488</v>
      </c>
      <c r="D458" s="10" t="s">
        <v>806</v>
      </c>
      <c r="E458" s="11">
        <v>2822</v>
      </c>
      <c r="F458" s="11">
        <v>3071</v>
      </c>
      <c r="G458" s="11">
        <v>5893</v>
      </c>
      <c r="H458" s="11">
        <v>2959</v>
      </c>
    </row>
    <row r="459" spans="1:8" x14ac:dyDescent="0.2">
      <c r="A459" s="10">
        <v>24</v>
      </c>
      <c r="B459" s="10" t="s">
        <v>780</v>
      </c>
      <c r="C459" s="10">
        <v>2489</v>
      </c>
      <c r="D459" s="10" t="s">
        <v>807</v>
      </c>
      <c r="E459" s="10">
        <v>622</v>
      </c>
      <c r="F459" s="10">
        <v>639</v>
      </c>
      <c r="G459" s="11">
        <v>1261</v>
      </c>
      <c r="H459" s="10">
        <v>327</v>
      </c>
    </row>
    <row r="460" spans="1:8" x14ac:dyDescent="0.2">
      <c r="A460" s="10">
        <v>24</v>
      </c>
      <c r="B460" s="10" t="s">
        <v>780</v>
      </c>
      <c r="C460" s="10">
        <v>2490</v>
      </c>
      <c r="D460" s="10" t="s">
        <v>808</v>
      </c>
      <c r="E460" s="11">
        <v>1868</v>
      </c>
      <c r="F460" s="11">
        <v>1988</v>
      </c>
      <c r="G460" s="11">
        <v>3856</v>
      </c>
      <c r="H460" s="11">
        <v>2837</v>
      </c>
    </row>
    <row r="461" spans="1:8" x14ac:dyDescent="0.2">
      <c r="A461" s="10">
        <v>24</v>
      </c>
      <c r="B461" s="10" t="s">
        <v>780</v>
      </c>
      <c r="C461" s="10">
        <v>2491</v>
      </c>
      <c r="D461" s="10" t="s">
        <v>809</v>
      </c>
      <c r="E461" s="11">
        <v>3555</v>
      </c>
      <c r="F461" s="11">
        <v>3815</v>
      </c>
      <c r="G461" s="11">
        <v>7370</v>
      </c>
      <c r="H461" s="11">
        <v>9606</v>
      </c>
    </row>
    <row r="462" spans="1:8" x14ac:dyDescent="0.2">
      <c r="A462" s="10">
        <v>24</v>
      </c>
      <c r="B462" s="10" t="s">
        <v>780</v>
      </c>
      <c r="C462" s="10">
        <v>2492</v>
      </c>
      <c r="D462" s="10" t="s">
        <v>810</v>
      </c>
      <c r="E462" s="10">
        <v>713</v>
      </c>
      <c r="F462" s="10">
        <v>761</v>
      </c>
      <c r="G462" s="11">
        <v>1474</v>
      </c>
      <c r="H462" s="10">
        <v>566</v>
      </c>
    </row>
    <row r="463" spans="1:8" x14ac:dyDescent="0.2">
      <c r="A463" s="10">
        <v>24</v>
      </c>
      <c r="B463" s="10" t="s">
        <v>780</v>
      </c>
      <c r="C463" s="10">
        <v>2493</v>
      </c>
      <c r="D463" s="10" t="s">
        <v>811</v>
      </c>
      <c r="E463" s="11">
        <v>1097</v>
      </c>
      <c r="F463" s="11">
        <v>1161</v>
      </c>
      <c r="G463" s="11">
        <v>2258</v>
      </c>
      <c r="H463" s="11">
        <v>1238</v>
      </c>
    </row>
    <row r="464" spans="1:8" x14ac:dyDescent="0.2">
      <c r="A464" s="10">
        <v>24</v>
      </c>
      <c r="B464" s="10" t="s">
        <v>780</v>
      </c>
      <c r="C464" s="10">
        <v>2494</v>
      </c>
      <c r="D464" s="10" t="s">
        <v>812</v>
      </c>
      <c r="E464" s="11">
        <v>1067</v>
      </c>
      <c r="F464" s="11">
        <v>1027</v>
      </c>
      <c r="G464" s="11">
        <v>2094</v>
      </c>
      <c r="H464" s="10">
        <v>818</v>
      </c>
    </row>
    <row r="465" spans="1:8" x14ac:dyDescent="0.2">
      <c r="A465" s="10">
        <v>24</v>
      </c>
      <c r="B465" s="10" t="s">
        <v>780</v>
      </c>
      <c r="C465" s="10">
        <v>2495</v>
      </c>
      <c r="D465" s="10" t="s">
        <v>813</v>
      </c>
      <c r="E465" s="10">
        <v>756</v>
      </c>
      <c r="F465" s="10">
        <v>764</v>
      </c>
      <c r="G465" s="11">
        <v>1520</v>
      </c>
      <c r="H465" s="10">
        <v>742</v>
      </c>
    </row>
    <row r="466" spans="1:8" x14ac:dyDescent="0.2">
      <c r="A466" s="10">
        <v>24</v>
      </c>
      <c r="B466" s="10" t="s">
        <v>780</v>
      </c>
      <c r="C466" s="10">
        <v>2496</v>
      </c>
      <c r="D466" s="10" t="s">
        <v>814</v>
      </c>
      <c r="E466" s="11">
        <v>2564</v>
      </c>
      <c r="F466" s="11">
        <v>2800</v>
      </c>
      <c r="G466" s="11">
        <v>5364</v>
      </c>
      <c r="H466" s="11">
        <v>2789</v>
      </c>
    </row>
    <row r="467" spans="1:8" x14ac:dyDescent="0.2">
      <c r="A467" s="10">
        <v>24</v>
      </c>
      <c r="B467" s="10" t="s">
        <v>780</v>
      </c>
      <c r="C467" s="10">
        <v>2497</v>
      </c>
      <c r="D467" s="10" t="s">
        <v>815</v>
      </c>
      <c r="E467" s="10">
        <v>621</v>
      </c>
      <c r="F467" s="10">
        <v>726</v>
      </c>
      <c r="G467" s="11">
        <v>1347</v>
      </c>
      <c r="H467" s="10">
        <v>505</v>
      </c>
    </row>
    <row r="468" spans="1:8" x14ac:dyDescent="0.2">
      <c r="A468" s="10">
        <v>24</v>
      </c>
      <c r="B468" s="10" t="s">
        <v>780</v>
      </c>
      <c r="C468" s="10">
        <v>2498</v>
      </c>
      <c r="D468" s="10" t="s">
        <v>816</v>
      </c>
      <c r="E468" s="11">
        <v>4579</v>
      </c>
      <c r="F468" s="11">
        <v>5334</v>
      </c>
      <c r="G468" s="11">
        <v>9913</v>
      </c>
      <c r="H468" s="11">
        <v>5047</v>
      </c>
    </row>
    <row r="469" spans="1:8" x14ac:dyDescent="0.2">
      <c r="A469" s="10">
        <v>24</v>
      </c>
      <c r="B469" s="10" t="s">
        <v>780</v>
      </c>
      <c r="C469" s="10">
        <v>2499</v>
      </c>
      <c r="D469" s="10" t="s">
        <v>817</v>
      </c>
      <c r="E469" s="11">
        <v>17206</v>
      </c>
      <c r="F469" s="11">
        <v>19112</v>
      </c>
      <c r="G469" s="11">
        <v>36318</v>
      </c>
      <c r="H469" s="11">
        <v>22914</v>
      </c>
    </row>
    <row r="470" spans="1:8" x14ac:dyDescent="0.2">
      <c r="A470" s="10">
        <v>25</v>
      </c>
      <c r="B470" s="10" t="s">
        <v>818</v>
      </c>
      <c r="C470" s="10">
        <v>2501</v>
      </c>
      <c r="D470" s="10" t="s">
        <v>819</v>
      </c>
      <c r="E470" s="11">
        <v>45275</v>
      </c>
      <c r="F470" s="11">
        <v>42736</v>
      </c>
      <c r="G470" s="11">
        <v>88011</v>
      </c>
      <c r="H470" s="11">
        <v>37954</v>
      </c>
    </row>
    <row r="471" spans="1:8" x14ac:dyDescent="0.2">
      <c r="A471" s="10">
        <v>25</v>
      </c>
      <c r="B471" s="10" t="s">
        <v>818</v>
      </c>
      <c r="C471" s="10">
        <v>2502</v>
      </c>
      <c r="D471" s="10" t="s">
        <v>820</v>
      </c>
      <c r="E471" s="11">
        <v>67379</v>
      </c>
      <c r="F471" s="11">
        <v>69718</v>
      </c>
      <c r="G471" s="11">
        <v>137097</v>
      </c>
      <c r="H471" s="11">
        <v>57049</v>
      </c>
    </row>
    <row r="472" spans="1:8" x14ac:dyDescent="0.2">
      <c r="A472" s="10">
        <v>25</v>
      </c>
      <c r="B472" s="10" t="s">
        <v>818</v>
      </c>
      <c r="C472" s="10">
        <v>2503</v>
      </c>
      <c r="D472" s="10" t="s">
        <v>821</v>
      </c>
      <c r="E472" s="11">
        <v>21992</v>
      </c>
      <c r="F472" s="11">
        <v>22299</v>
      </c>
      <c r="G472" s="11">
        <v>44291</v>
      </c>
      <c r="H472" s="11">
        <v>19209</v>
      </c>
    </row>
    <row r="473" spans="1:8" x14ac:dyDescent="0.2">
      <c r="A473" s="10">
        <v>25</v>
      </c>
      <c r="B473" s="10" t="s">
        <v>818</v>
      </c>
      <c r="C473" s="10">
        <v>2506</v>
      </c>
      <c r="D473" s="10" t="s">
        <v>822</v>
      </c>
      <c r="E473" s="11">
        <v>13291</v>
      </c>
      <c r="F473" s="11">
        <v>13871</v>
      </c>
      <c r="G473" s="11">
        <v>27162</v>
      </c>
      <c r="H473" s="11">
        <v>9865</v>
      </c>
    </row>
    <row r="474" spans="1:8" x14ac:dyDescent="0.2">
      <c r="A474" s="10">
        <v>25</v>
      </c>
      <c r="B474" s="10" t="s">
        <v>818</v>
      </c>
      <c r="C474" s="10">
        <v>2507</v>
      </c>
      <c r="D474" s="10" t="s">
        <v>823</v>
      </c>
      <c r="E474" s="11">
        <v>24206</v>
      </c>
      <c r="F474" s="11">
        <v>25474</v>
      </c>
      <c r="G474" s="11">
        <v>49680</v>
      </c>
      <c r="H474" s="11">
        <v>18499</v>
      </c>
    </row>
    <row r="475" spans="1:8" x14ac:dyDescent="0.2">
      <c r="A475" s="10">
        <v>25</v>
      </c>
      <c r="B475" s="10" t="s">
        <v>818</v>
      </c>
      <c r="C475" s="10">
        <v>2508</v>
      </c>
      <c r="D475" s="10" t="s">
        <v>824</v>
      </c>
      <c r="E475" s="11">
        <v>39177</v>
      </c>
      <c r="F475" s="11">
        <v>41327</v>
      </c>
      <c r="G475" s="11">
        <v>80504</v>
      </c>
      <c r="H475" s="11">
        <v>60592</v>
      </c>
    </row>
    <row r="476" spans="1:8" x14ac:dyDescent="0.2">
      <c r="A476" s="10">
        <v>25</v>
      </c>
      <c r="B476" s="10" t="s">
        <v>818</v>
      </c>
      <c r="C476" s="10">
        <v>2509</v>
      </c>
      <c r="D476" s="10" t="s">
        <v>825</v>
      </c>
      <c r="E476" s="11">
        <v>6643</v>
      </c>
      <c r="F476" s="11">
        <v>6869</v>
      </c>
      <c r="G476" s="11">
        <v>13512</v>
      </c>
      <c r="H476" s="11">
        <v>7003</v>
      </c>
    </row>
    <row r="477" spans="1:8" x14ac:dyDescent="0.2">
      <c r="A477" s="10">
        <v>25</v>
      </c>
      <c r="B477" s="10" t="s">
        <v>818</v>
      </c>
      <c r="C477" s="10">
        <v>2587</v>
      </c>
      <c r="D477" s="10" t="s">
        <v>826</v>
      </c>
      <c r="E477" s="11">
        <v>1057</v>
      </c>
      <c r="F477" s="11">
        <v>1174</v>
      </c>
      <c r="G477" s="11">
        <v>2231</v>
      </c>
      <c r="H477" s="10">
        <v>880</v>
      </c>
    </row>
    <row r="478" spans="1:8" x14ac:dyDescent="0.2">
      <c r="A478" s="10">
        <v>25</v>
      </c>
      <c r="B478" s="10" t="s">
        <v>818</v>
      </c>
      <c r="C478" s="10">
        <v>2588</v>
      </c>
      <c r="D478" s="10" t="s">
        <v>827</v>
      </c>
      <c r="E478" s="11">
        <v>2698</v>
      </c>
      <c r="F478" s="11">
        <v>2937</v>
      </c>
      <c r="G478" s="11">
        <v>5635</v>
      </c>
      <c r="H478" s="11">
        <v>2414</v>
      </c>
    </row>
    <row r="479" spans="1:8" x14ac:dyDescent="0.2">
      <c r="A479" s="10">
        <v>25</v>
      </c>
      <c r="B479" s="10" t="s">
        <v>818</v>
      </c>
      <c r="C479" s="10">
        <v>2589</v>
      </c>
      <c r="D479" s="10" t="s">
        <v>828</v>
      </c>
      <c r="E479" s="11">
        <v>1724</v>
      </c>
      <c r="F479" s="11">
        <v>1845</v>
      </c>
      <c r="G479" s="11">
        <v>3569</v>
      </c>
      <c r="H479" s="11">
        <v>2595</v>
      </c>
    </row>
    <row r="480" spans="1:8" x14ac:dyDescent="0.2">
      <c r="A480" s="10">
        <v>25</v>
      </c>
      <c r="B480" s="10" t="s">
        <v>818</v>
      </c>
      <c r="C480" s="10">
        <v>2590</v>
      </c>
      <c r="D480" s="10" t="s">
        <v>829</v>
      </c>
      <c r="E480" s="11">
        <v>1764</v>
      </c>
      <c r="F480" s="11">
        <v>1828</v>
      </c>
      <c r="G480" s="11">
        <v>3592</v>
      </c>
      <c r="H480" s="11">
        <v>1344</v>
      </c>
    </row>
    <row r="481" spans="1:8" x14ac:dyDescent="0.2">
      <c r="A481" s="10">
        <v>25</v>
      </c>
      <c r="B481" s="10" t="s">
        <v>818</v>
      </c>
      <c r="C481" s="10">
        <v>2591</v>
      </c>
      <c r="D481" s="10" t="s">
        <v>830</v>
      </c>
      <c r="E481" s="11">
        <v>2029</v>
      </c>
      <c r="F481" s="11">
        <v>2243</v>
      </c>
      <c r="G481" s="11">
        <v>4272</v>
      </c>
      <c r="H481" s="11">
        <v>2433</v>
      </c>
    </row>
    <row r="482" spans="1:8" x14ac:dyDescent="0.2">
      <c r="A482" s="10">
        <v>25</v>
      </c>
      <c r="B482" s="10" t="s">
        <v>818</v>
      </c>
      <c r="C482" s="10">
        <v>2592</v>
      </c>
      <c r="D482" s="10" t="s">
        <v>499</v>
      </c>
      <c r="E482" s="11">
        <v>1581</v>
      </c>
      <c r="F482" s="11">
        <v>1651</v>
      </c>
      <c r="G482" s="11">
        <v>3232</v>
      </c>
      <c r="H482" s="11">
        <v>1729</v>
      </c>
    </row>
    <row r="483" spans="1:8" x14ac:dyDescent="0.2">
      <c r="A483" s="10">
        <v>25</v>
      </c>
      <c r="B483" s="10" t="s">
        <v>818</v>
      </c>
      <c r="C483" s="10">
        <v>2593</v>
      </c>
      <c r="D483" s="10" t="s">
        <v>831</v>
      </c>
      <c r="E483" s="11">
        <v>3879</v>
      </c>
      <c r="F483" s="11">
        <v>4037</v>
      </c>
      <c r="G483" s="11">
        <v>7916</v>
      </c>
      <c r="H483" s="11">
        <v>3491</v>
      </c>
    </row>
    <row r="484" spans="1:8" x14ac:dyDescent="0.2">
      <c r="A484" s="10">
        <v>25</v>
      </c>
      <c r="B484" s="10" t="s">
        <v>818</v>
      </c>
      <c r="C484" s="10">
        <v>2594</v>
      </c>
      <c r="D484" s="10" t="s">
        <v>832</v>
      </c>
      <c r="E484" s="10">
        <v>865</v>
      </c>
      <c r="F484" s="10">
        <v>908</v>
      </c>
      <c r="G484" s="11">
        <v>1773</v>
      </c>
      <c r="H484" s="10">
        <v>664</v>
      </c>
    </row>
    <row r="485" spans="1:8" x14ac:dyDescent="0.2">
      <c r="A485" s="10">
        <v>25</v>
      </c>
      <c r="B485" s="10" t="s">
        <v>818</v>
      </c>
      <c r="C485" s="10">
        <v>2595</v>
      </c>
      <c r="D485" s="10" t="s">
        <v>833</v>
      </c>
      <c r="E485" s="11">
        <v>3241</v>
      </c>
      <c r="F485" s="11">
        <v>3376</v>
      </c>
      <c r="G485" s="11">
        <v>6617</v>
      </c>
      <c r="H485" s="11">
        <v>4650</v>
      </c>
    </row>
    <row r="486" spans="1:8" x14ac:dyDescent="0.2">
      <c r="A486" s="10">
        <v>25</v>
      </c>
      <c r="B486" s="10" t="s">
        <v>818</v>
      </c>
      <c r="C486" s="10">
        <v>2596</v>
      </c>
      <c r="D486" s="10" t="s">
        <v>834</v>
      </c>
      <c r="E486" s="11">
        <v>1102</v>
      </c>
      <c r="F486" s="11">
        <v>1130</v>
      </c>
      <c r="G486" s="11">
        <v>2232</v>
      </c>
      <c r="H486" s="10">
        <v>837</v>
      </c>
    </row>
    <row r="487" spans="1:8" x14ac:dyDescent="0.2">
      <c r="A487" s="10">
        <v>25</v>
      </c>
      <c r="B487" s="10" t="s">
        <v>818</v>
      </c>
      <c r="C487" s="10">
        <v>2598</v>
      </c>
      <c r="D487" s="10" t="s">
        <v>835</v>
      </c>
      <c r="E487" s="11">
        <v>1643</v>
      </c>
      <c r="F487" s="11">
        <v>1868</v>
      </c>
      <c r="G487" s="11">
        <v>3511</v>
      </c>
      <c r="H487" s="11">
        <v>2216</v>
      </c>
    </row>
    <row r="488" spans="1:8" x14ac:dyDescent="0.2">
      <c r="A488" s="10">
        <v>25</v>
      </c>
      <c r="B488" s="10" t="s">
        <v>818</v>
      </c>
      <c r="C488" s="10">
        <v>2599</v>
      </c>
      <c r="D488" s="10" t="s">
        <v>836</v>
      </c>
      <c r="E488" s="11">
        <v>7289</v>
      </c>
      <c r="F488" s="11">
        <v>8481</v>
      </c>
      <c r="G488" s="11">
        <v>15770</v>
      </c>
      <c r="H488" s="11">
        <v>9170</v>
      </c>
    </row>
    <row r="489" spans="1:8" x14ac:dyDescent="0.2">
      <c r="A489" s="10">
        <v>26</v>
      </c>
      <c r="B489" s="10" t="s">
        <v>837</v>
      </c>
      <c r="C489" s="10">
        <v>2601</v>
      </c>
      <c r="D489" s="10" t="s">
        <v>838</v>
      </c>
      <c r="E489" s="11">
        <v>42555</v>
      </c>
      <c r="F489" s="11">
        <v>42629</v>
      </c>
      <c r="G489" s="11">
        <v>85184</v>
      </c>
      <c r="H489" s="11">
        <v>38011</v>
      </c>
    </row>
    <row r="490" spans="1:8" x14ac:dyDescent="0.2">
      <c r="A490" s="10">
        <v>26</v>
      </c>
      <c r="B490" s="10" t="s">
        <v>837</v>
      </c>
      <c r="C490" s="10">
        <v>2602</v>
      </c>
      <c r="D490" s="10" t="s">
        <v>839</v>
      </c>
      <c r="E490" s="11">
        <v>10779</v>
      </c>
      <c r="F490" s="11">
        <v>11382</v>
      </c>
      <c r="G490" s="11">
        <v>22161</v>
      </c>
      <c r="H490" s="11">
        <v>9215</v>
      </c>
    </row>
    <row r="491" spans="1:8" x14ac:dyDescent="0.2">
      <c r="A491" s="10">
        <v>26</v>
      </c>
      <c r="B491" s="10" t="s">
        <v>837</v>
      </c>
      <c r="C491" s="10">
        <v>2603</v>
      </c>
      <c r="D491" s="10" t="s">
        <v>840</v>
      </c>
      <c r="E491" s="11">
        <v>32047</v>
      </c>
      <c r="F491" s="11">
        <v>32160</v>
      </c>
      <c r="G491" s="11">
        <v>64207</v>
      </c>
      <c r="H491" s="11">
        <v>25935</v>
      </c>
    </row>
    <row r="492" spans="1:8" x14ac:dyDescent="0.2">
      <c r="A492" s="10">
        <v>26</v>
      </c>
      <c r="B492" s="10" t="s">
        <v>837</v>
      </c>
      <c r="C492" s="10">
        <v>2604</v>
      </c>
      <c r="D492" s="10" t="s">
        <v>841</v>
      </c>
      <c r="E492" s="11">
        <v>30999</v>
      </c>
      <c r="F492" s="11">
        <v>31982</v>
      </c>
      <c r="G492" s="11">
        <v>62981</v>
      </c>
      <c r="H492" s="11">
        <v>24023</v>
      </c>
    </row>
    <row r="493" spans="1:8" x14ac:dyDescent="0.2">
      <c r="A493" s="10">
        <v>26</v>
      </c>
      <c r="B493" s="10" t="s">
        <v>837</v>
      </c>
      <c r="C493" s="10">
        <v>2695</v>
      </c>
      <c r="D493" s="10" t="s">
        <v>842</v>
      </c>
      <c r="E493" s="11">
        <v>1227</v>
      </c>
      <c r="F493" s="11">
        <v>1347</v>
      </c>
      <c r="G493" s="11">
        <v>2574</v>
      </c>
      <c r="H493" s="11">
        <v>1394</v>
      </c>
    </row>
    <row r="494" spans="1:8" x14ac:dyDescent="0.2">
      <c r="A494" s="10">
        <v>26</v>
      </c>
      <c r="B494" s="10" t="s">
        <v>837</v>
      </c>
      <c r="C494" s="10">
        <v>2696</v>
      </c>
      <c r="D494" s="10" t="s">
        <v>703</v>
      </c>
      <c r="E494" s="11">
        <v>2144</v>
      </c>
      <c r="F494" s="11">
        <v>2415</v>
      </c>
      <c r="G494" s="11">
        <v>4559</v>
      </c>
      <c r="H494" s="11">
        <v>2605</v>
      </c>
    </row>
    <row r="495" spans="1:8" x14ac:dyDescent="0.2">
      <c r="A495" s="10">
        <v>26</v>
      </c>
      <c r="B495" s="10" t="s">
        <v>837</v>
      </c>
      <c r="C495" s="10">
        <v>2697</v>
      </c>
      <c r="D495" s="10" t="s">
        <v>843</v>
      </c>
      <c r="E495" s="10">
        <v>795</v>
      </c>
      <c r="F495" s="10">
        <v>905</v>
      </c>
      <c r="G495" s="11">
        <v>1700</v>
      </c>
      <c r="H495" s="10">
        <v>767</v>
      </c>
    </row>
    <row r="496" spans="1:8" x14ac:dyDescent="0.2">
      <c r="A496" s="10">
        <v>26</v>
      </c>
      <c r="B496" s="10" t="s">
        <v>837</v>
      </c>
      <c r="C496" s="10">
        <v>2698</v>
      </c>
      <c r="D496" s="10" t="s">
        <v>844</v>
      </c>
      <c r="E496" s="10">
        <v>498</v>
      </c>
      <c r="F496" s="10">
        <v>529</v>
      </c>
      <c r="G496" s="11">
        <v>1027</v>
      </c>
      <c r="H496" s="10">
        <v>317</v>
      </c>
    </row>
    <row r="497" spans="1:8" x14ac:dyDescent="0.2">
      <c r="A497" s="10">
        <v>26</v>
      </c>
      <c r="B497" s="10" t="s">
        <v>837</v>
      </c>
      <c r="C497" s="10">
        <v>2699</v>
      </c>
      <c r="D497" s="10" t="s">
        <v>845</v>
      </c>
      <c r="E497" s="11">
        <v>7305</v>
      </c>
      <c r="F497" s="11">
        <v>8072</v>
      </c>
      <c r="G497" s="11">
        <v>15377</v>
      </c>
      <c r="H497" s="11">
        <v>8979</v>
      </c>
    </row>
    <row r="498" spans="1:8" x14ac:dyDescent="0.2">
      <c r="A498" s="10">
        <v>27</v>
      </c>
      <c r="B498" s="10" t="s">
        <v>846</v>
      </c>
      <c r="C498" s="10">
        <v>2701</v>
      </c>
      <c r="D498" s="10" t="s">
        <v>847</v>
      </c>
      <c r="E498" s="11">
        <v>43855</v>
      </c>
      <c r="F498" s="11">
        <v>43035</v>
      </c>
      <c r="G498" s="11">
        <v>86890</v>
      </c>
      <c r="H498" s="11">
        <v>31565</v>
      </c>
    </row>
    <row r="499" spans="1:8" x14ac:dyDescent="0.2">
      <c r="A499" s="10">
        <v>27</v>
      </c>
      <c r="B499" s="10" t="s">
        <v>846</v>
      </c>
      <c r="C499" s="10">
        <v>2702</v>
      </c>
      <c r="D499" s="10" t="s">
        <v>848</v>
      </c>
      <c r="E499" s="11">
        <v>19513</v>
      </c>
      <c r="F499" s="11">
        <v>19512</v>
      </c>
      <c r="G499" s="11">
        <v>39025</v>
      </c>
      <c r="H499" s="11">
        <v>14443</v>
      </c>
    </row>
    <row r="500" spans="1:8" x14ac:dyDescent="0.2">
      <c r="A500" s="10">
        <v>27</v>
      </c>
      <c r="B500" s="10" t="s">
        <v>846</v>
      </c>
      <c r="C500" s="10">
        <v>2703</v>
      </c>
      <c r="D500" s="10" t="s">
        <v>849</v>
      </c>
      <c r="E500" s="11">
        <v>27531</v>
      </c>
      <c r="F500" s="11">
        <v>27366</v>
      </c>
      <c r="G500" s="11">
        <v>54897</v>
      </c>
      <c r="H500" s="11">
        <v>17397</v>
      </c>
    </row>
    <row r="501" spans="1:8" x14ac:dyDescent="0.2">
      <c r="A501" s="10">
        <v>27</v>
      </c>
      <c r="B501" s="10" t="s">
        <v>846</v>
      </c>
      <c r="C501" s="10">
        <v>2704</v>
      </c>
      <c r="D501" s="10" t="s">
        <v>850</v>
      </c>
      <c r="E501" s="11">
        <v>20169</v>
      </c>
      <c r="F501" s="11">
        <v>20167</v>
      </c>
      <c r="G501" s="11">
        <v>40336</v>
      </c>
      <c r="H501" s="11">
        <v>15723</v>
      </c>
    </row>
    <row r="502" spans="1:8" x14ac:dyDescent="0.2">
      <c r="A502" s="10">
        <v>27</v>
      </c>
      <c r="B502" s="10" t="s">
        <v>846</v>
      </c>
      <c r="C502" s="10">
        <v>2705</v>
      </c>
      <c r="D502" s="10" t="s">
        <v>851</v>
      </c>
      <c r="E502" s="11">
        <v>38371</v>
      </c>
      <c r="F502" s="11">
        <v>38083</v>
      </c>
      <c r="G502" s="11">
        <v>76454</v>
      </c>
      <c r="H502" s="11">
        <v>28513</v>
      </c>
    </row>
    <row r="503" spans="1:8" x14ac:dyDescent="0.2">
      <c r="A503" s="10">
        <v>27</v>
      </c>
      <c r="B503" s="10" t="s">
        <v>846</v>
      </c>
      <c r="C503" s="10">
        <v>2706</v>
      </c>
      <c r="D503" s="10" t="s">
        <v>852</v>
      </c>
      <c r="E503" s="11">
        <v>37252</v>
      </c>
      <c r="F503" s="11">
        <v>38574</v>
      </c>
      <c r="G503" s="11">
        <v>75826</v>
      </c>
      <c r="H503" s="11">
        <v>39533</v>
      </c>
    </row>
    <row r="504" spans="1:8" x14ac:dyDescent="0.2">
      <c r="A504" s="10">
        <v>27</v>
      </c>
      <c r="B504" s="10" t="s">
        <v>846</v>
      </c>
      <c r="C504" s="10">
        <v>2707</v>
      </c>
      <c r="D504" s="10" t="s">
        <v>853</v>
      </c>
      <c r="E504" s="11">
        <v>25387</v>
      </c>
      <c r="F504" s="11">
        <v>25478</v>
      </c>
      <c r="G504" s="11">
        <v>50865</v>
      </c>
      <c r="H504" s="11">
        <v>17217</v>
      </c>
    </row>
    <row r="505" spans="1:8" x14ac:dyDescent="0.2">
      <c r="A505" s="10">
        <v>27</v>
      </c>
      <c r="B505" s="10" t="s">
        <v>846</v>
      </c>
      <c r="C505" s="10">
        <v>2708</v>
      </c>
      <c r="D505" s="10" t="s">
        <v>854</v>
      </c>
      <c r="E505" s="11">
        <v>13463</v>
      </c>
      <c r="F505" s="11">
        <v>13784</v>
      </c>
      <c r="G505" s="11">
        <v>27247</v>
      </c>
      <c r="H505" s="11">
        <v>8919</v>
      </c>
    </row>
    <row r="506" spans="1:8" x14ac:dyDescent="0.2">
      <c r="A506" s="10">
        <v>27</v>
      </c>
      <c r="B506" s="10" t="s">
        <v>846</v>
      </c>
      <c r="C506" s="10">
        <v>2709</v>
      </c>
      <c r="D506" s="10" t="s">
        <v>855</v>
      </c>
      <c r="E506" s="11">
        <v>12642</v>
      </c>
      <c r="F506" s="11">
        <v>12503</v>
      </c>
      <c r="G506" s="11">
        <v>25145</v>
      </c>
      <c r="H506" s="11">
        <v>10915</v>
      </c>
    </row>
    <row r="507" spans="1:8" x14ac:dyDescent="0.2">
      <c r="A507" s="10">
        <v>27</v>
      </c>
      <c r="B507" s="10" t="s">
        <v>846</v>
      </c>
      <c r="C507" s="10">
        <v>2791</v>
      </c>
      <c r="D507" s="10" t="s">
        <v>856</v>
      </c>
      <c r="E507" s="11">
        <v>5159</v>
      </c>
      <c r="F507" s="11">
        <v>5316</v>
      </c>
      <c r="G507" s="11">
        <v>10475</v>
      </c>
      <c r="H507" s="11">
        <v>5329</v>
      </c>
    </row>
    <row r="508" spans="1:8" x14ac:dyDescent="0.2">
      <c r="A508" s="10">
        <v>27</v>
      </c>
      <c r="B508" s="10" t="s">
        <v>846</v>
      </c>
      <c r="C508" s="10">
        <v>2792</v>
      </c>
      <c r="D508" s="10" t="s">
        <v>857</v>
      </c>
      <c r="E508" s="11">
        <v>2344</v>
      </c>
      <c r="F508" s="11">
        <v>2412</v>
      </c>
      <c r="G508" s="11">
        <v>4756</v>
      </c>
      <c r="H508" s="11">
        <v>2484</v>
      </c>
    </row>
    <row r="509" spans="1:8" x14ac:dyDescent="0.2">
      <c r="A509" s="10">
        <v>27</v>
      </c>
      <c r="B509" s="10" t="s">
        <v>846</v>
      </c>
      <c r="C509" s="10">
        <v>2793</v>
      </c>
      <c r="D509" s="10" t="s">
        <v>858</v>
      </c>
      <c r="E509" s="11">
        <v>2506</v>
      </c>
      <c r="F509" s="11">
        <v>2973</v>
      </c>
      <c r="G509" s="11">
        <v>5479</v>
      </c>
      <c r="H509" s="11">
        <v>3154</v>
      </c>
    </row>
    <row r="510" spans="1:8" x14ac:dyDescent="0.2">
      <c r="A510" s="10">
        <v>27</v>
      </c>
      <c r="B510" s="10" t="s">
        <v>846</v>
      </c>
      <c r="C510" s="10">
        <v>2794</v>
      </c>
      <c r="D510" s="10" t="s">
        <v>859</v>
      </c>
      <c r="E510" s="11">
        <v>9884</v>
      </c>
      <c r="F510" s="11">
        <v>10404</v>
      </c>
      <c r="G510" s="11">
        <v>20288</v>
      </c>
      <c r="H510" s="11">
        <v>10328</v>
      </c>
    </row>
    <row r="511" spans="1:8" x14ac:dyDescent="0.2">
      <c r="A511" s="10">
        <v>27</v>
      </c>
      <c r="B511" s="10" t="s">
        <v>846</v>
      </c>
      <c r="C511" s="10">
        <v>2795</v>
      </c>
      <c r="D511" s="10" t="s">
        <v>860</v>
      </c>
      <c r="E511" s="11">
        <v>1220</v>
      </c>
      <c r="F511" s="11">
        <v>1252</v>
      </c>
      <c r="G511" s="11">
        <v>2472</v>
      </c>
      <c r="H511" s="11">
        <v>1209</v>
      </c>
    </row>
    <row r="512" spans="1:8" x14ac:dyDescent="0.2">
      <c r="A512" s="10">
        <v>27</v>
      </c>
      <c r="B512" s="10" t="s">
        <v>846</v>
      </c>
      <c r="C512" s="10">
        <v>2796</v>
      </c>
      <c r="D512" s="10" t="s">
        <v>861</v>
      </c>
      <c r="E512" s="11">
        <v>1311</v>
      </c>
      <c r="F512" s="11">
        <v>1376</v>
      </c>
      <c r="G512" s="11">
        <v>2687</v>
      </c>
      <c r="H512" s="11">
        <v>1253</v>
      </c>
    </row>
    <row r="513" spans="1:8" x14ac:dyDescent="0.2">
      <c r="A513" s="10">
        <v>27</v>
      </c>
      <c r="B513" s="10" t="s">
        <v>846</v>
      </c>
      <c r="C513" s="10">
        <v>2797</v>
      </c>
      <c r="D513" s="10" t="s">
        <v>862</v>
      </c>
      <c r="E513" s="11">
        <v>2191</v>
      </c>
      <c r="F513" s="11">
        <v>1871</v>
      </c>
      <c r="G513" s="11">
        <v>4062</v>
      </c>
      <c r="H513" s="11">
        <v>1723</v>
      </c>
    </row>
    <row r="514" spans="1:8" x14ac:dyDescent="0.2">
      <c r="A514" s="10">
        <v>27</v>
      </c>
      <c r="B514" s="10" t="s">
        <v>846</v>
      </c>
      <c r="C514" s="10">
        <v>2798</v>
      </c>
      <c r="D514" s="10" t="s">
        <v>863</v>
      </c>
      <c r="E514" s="11">
        <v>9129</v>
      </c>
      <c r="F514" s="11">
        <v>7941</v>
      </c>
      <c r="G514" s="11">
        <v>17070</v>
      </c>
      <c r="H514" s="11">
        <v>11857</v>
      </c>
    </row>
    <row r="515" spans="1:8" x14ac:dyDescent="0.2">
      <c r="A515" s="10">
        <v>27</v>
      </c>
      <c r="B515" s="10" t="s">
        <v>846</v>
      </c>
      <c r="C515" s="10">
        <v>2799</v>
      </c>
      <c r="D515" s="10" t="s">
        <v>864</v>
      </c>
      <c r="E515" s="11">
        <v>8714</v>
      </c>
      <c r="F515" s="11">
        <v>9554</v>
      </c>
      <c r="G515" s="11">
        <v>18268</v>
      </c>
      <c r="H515" s="11">
        <v>12290</v>
      </c>
    </row>
    <row r="516" spans="1:8" x14ac:dyDescent="0.2">
      <c r="A516" s="10">
        <v>30</v>
      </c>
      <c r="B516" s="10" t="s">
        <v>865</v>
      </c>
      <c r="C516" s="10">
        <v>3001</v>
      </c>
      <c r="D516" s="10" t="s">
        <v>866</v>
      </c>
      <c r="E516" s="11">
        <v>108399</v>
      </c>
      <c r="F516" s="11">
        <v>120739</v>
      </c>
      <c r="G516" s="11">
        <v>229138</v>
      </c>
      <c r="H516" s="11">
        <v>116113</v>
      </c>
    </row>
    <row r="517" spans="1:8" x14ac:dyDescent="0.2">
      <c r="A517" s="10">
        <v>30</v>
      </c>
      <c r="B517" s="10" t="s">
        <v>865</v>
      </c>
      <c r="C517" s="10">
        <v>3002</v>
      </c>
      <c r="D517" s="10" t="s">
        <v>867</v>
      </c>
      <c r="E517" s="11">
        <v>39574</v>
      </c>
      <c r="F517" s="11">
        <v>40656</v>
      </c>
      <c r="G517" s="11">
        <v>80230</v>
      </c>
      <c r="H517" s="11">
        <v>32003</v>
      </c>
    </row>
    <row r="518" spans="1:8" x14ac:dyDescent="0.2">
      <c r="A518" s="10">
        <v>30</v>
      </c>
      <c r="B518" s="10" t="s">
        <v>865</v>
      </c>
      <c r="C518" s="10">
        <v>3003</v>
      </c>
      <c r="D518" s="10" t="s">
        <v>868</v>
      </c>
      <c r="E518" s="11">
        <v>28111</v>
      </c>
      <c r="F518" s="11">
        <v>28556</v>
      </c>
      <c r="G518" s="11">
        <v>56667</v>
      </c>
      <c r="H518" s="11">
        <v>18150</v>
      </c>
    </row>
    <row r="519" spans="1:8" x14ac:dyDescent="0.2">
      <c r="A519" s="10">
        <v>30</v>
      </c>
      <c r="B519" s="10" t="s">
        <v>865</v>
      </c>
      <c r="C519" s="10">
        <v>3004</v>
      </c>
      <c r="D519" s="10" t="s">
        <v>869</v>
      </c>
      <c r="E519" s="11">
        <v>36135</v>
      </c>
      <c r="F519" s="11">
        <v>37162</v>
      </c>
      <c r="G519" s="11">
        <v>73297</v>
      </c>
      <c r="H519" s="11">
        <v>22682</v>
      </c>
    </row>
    <row r="520" spans="1:8" x14ac:dyDescent="0.2">
      <c r="A520" s="10">
        <v>30</v>
      </c>
      <c r="B520" s="10" t="s">
        <v>865</v>
      </c>
      <c r="C520" s="10">
        <v>3005</v>
      </c>
      <c r="D520" s="10" t="s">
        <v>870</v>
      </c>
      <c r="E520" s="11">
        <v>8406</v>
      </c>
      <c r="F520" s="11">
        <v>8616</v>
      </c>
      <c r="G520" s="11">
        <v>17022</v>
      </c>
      <c r="H520" s="11">
        <v>5393</v>
      </c>
    </row>
    <row r="521" spans="1:8" x14ac:dyDescent="0.2">
      <c r="A521" s="10">
        <v>30</v>
      </c>
      <c r="B521" s="10" t="s">
        <v>865</v>
      </c>
      <c r="C521" s="10">
        <v>3006</v>
      </c>
      <c r="D521" s="10" t="s">
        <v>871</v>
      </c>
      <c r="E521" s="11">
        <v>33437</v>
      </c>
      <c r="F521" s="11">
        <v>33952</v>
      </c>
      <c r="G521" s="11">
        <v>67389</v>
      </c>
      <c r="H521" s="11">
        <v>20221</v>
      </c>
    </row>
    <row r="522" spans="1:8" x14ac:dyDescent="0.2">
      <c r="A522" s="10">
        <v>30</v>
      </c>
      <c r="B522" s="10" t="s">
        <v>865</v>
      </c>
      <c r="C522" s="10">
        <v>3007</v>
      </c>
      <c r="D522" s="10" t="s">
        <v>872</v>
      </c>
      <c r="E522" s="11">
        <v>24460</v>
      </c>
      <c r="F522" s="11">
        <v>26217</v>
      </c>
      <c r="G522" s="11">
        <v>50677</v>
      </c>
      <c r="H522" s="11">
        <v>20530</v>
      </c>
    </row>
    <row r="523" spans="1:8" x14ac:dyDescent="0.2">
      <c r="A523" s="10">
        <v>30</v>
      </c>
      <c r="B523" s="10" t="s">
        <v>865</v>
      </c>
      <c r="C523" s="10">
        <v>3008</v>
      </c>
      <c r="D523" s="10" t="s">
        <v>873</v>
      </c>
      <c r="E523" s="11">
        <v>53845</v>
      </c>
      <c r="F523" s="11">
        <v>55407</v>
      </c>
      <c r="G523" s="11">
        <v>109252</v>
      </c>
      <c r="H523" s="11">
        <v>36691</v>
      </c>
    </row>
    <row r="524" spans="1:8" x14ac:dyDescent="0.2">
      <c r="A524" s="10">
        <v>30</v>
      </c>
      <c r="B524" s="10" t="s">
        <v>865</v>
      </c>
      <c r="C524" s="10">
        <v>3009</v>
      </c>
      <c r="D524" s="10" t="s">
        <v>874</v>
      </c>
      <c r="E524" s="11">
        <v>26399</v>
      </c>
      <c r="F524" s="11">
        <v>27681</v>
      </c>
      <c r="G524" s="11">
        <v>54080</v>
      </c>
      <c r="H524" s="11">
        <v>17931</v>
      </c>
    </row>
    <row r="525" spans="1:8" x14ac:dyDescent="0.2">
      <c r="A525" s="10">
        <v>30</v>
      </c>
      <c r="B525" s="10" t="s">
        <v>865</v>
      </c>
      <c r="C525" s="10">
        <v>3010</v>
      </c>
      <c r="D525" s="10" t="s">
        <v>875</v>
      </c>
      <c r="E525" s="11">
        <v>41140</v>
      </c>
      <c r="F525" s="11">
        <v>42793</v>
      </c>
      <c r="G525" s="11">
        <v>83933</v>
      </c>
      <c r="H525" s="11">
        <v>26637</v>
      </c>
    </row>
    <row r="526" spans="1:8" x14ac:dyDescent="0.2">
      <c r="A526" s="10">
        <v>30</v>
      </c>
      <c r="B526" s="10" t="s">
        <v>865</v>
      </c>
      <c r="C526" s="10">
        <v>3011</v>
      </c>
      <c r="D526" s="10" t="s">
        <v>876</v>
      </c>
      <c r="E526" s="11">
        <v>16446</v>
      </c>
      <c r="F526" s="11">
        <v>16614</v>
      </c>
      <c r="G526" s="11">
        <v>33060</v>
      </c>
      <c r="H526" s="11">
        <v>10502</v>
      </c>
    </row>
    <row r="527" spans="1:8" x14ac:dyDescent="0.2">
      <c r="A527" s="10">
        <v>30</v>
      </c>
      <c r="B527" s="10" t="s">
        <v>865</v>
      </c>
      <c r="C527" s="10">
        <v>3012</v>
      </c>
      <c r="D527" s="10" t="s">
        <v>877</v>
      </c>
      <c r="E527" s="11">
        <v>33287</v>
      </c>
      <c r="F527" s="11">
        <v>33337</v>
      </c>
      <c r="G527" s="11">
        <v>66624</v>
      </c>
      <c r="H527" s="11">
        <v>20304</v>
      </c>
    </row>
    <row r="528" spans="1:8" x14ac:dyDescent="0.2">
      <c r="A528" s="10">
        <v>30</v>
      </c>
      <c r="B528" s="10" t="s">
        <v>865</v>
      </c>
      <c r="C528" s="10">
        <v>3013</v>
      </c>
      <c r="D528" s="10" t="s">
        <v>878</v>
      </c>
      <c r="E528" s="11">
        <v>34669</v>
      </c>
      <c r="F528" s="11">
        <v>35404</v>
      </c>
      <c r="G528" s="11">
        <v>70073</v>
      </c>
      <c r="H528" s="11">
        <v>20701</v>
      </c>
    </row>
    <row r="529" spans="1:8" x14ac:dyDescent="0.2">
      <c r="A529" s="10">
        <v>30</v>
      </c>
      <c r="B529" s="10" t="s">
        <v>865</v>
      </c>
      <c r="C529" s="10">
        <v>3014</v>
      </c>
      <c r="D529" s="10" t="s">
        <v>879</v>
      </c>
      <c r="E529" s="11">
        <v>44724</v>
      </c>
      <c r="F529" s="11">
        <v>47140</v>
      </c>
      <c r="G529" s="11">
        <v>91864</v>
      </c>
      <c r="H529" s="11">
        <v>34171</v>
      </c>
    </row>
    <row r="530" spans="1:8" x14ac:dyDescent="0.2">
      <c r="A530" s="10">
        <v>30</v>
      </c>
      <c r="B530" s="10" t="s">
        <v>865</v>
      </c>
      <c r="C530" s="10">
        <v>3015</v>
      </c>
      <c r="D530" s="10" t="s">
        <v>880</v>
      </c>
      <c r="E530" s="11">
        <v>58151</v>
      </c>
      <c r="F530" s="11">
        <v>60356</v>
      </c>
      <c r="G530" s="11">
        <v>118507</v>
      </c>
      <c r="H530" s="11">
        <v>41333</v>
      </c>
    </row>
    <row r="531" spans="1:8" x14ac:dyDescent="0.2">
      <c r="A531" s="10">
        <v>30</v>
      </c>
      <c r="B531" s="10" t="s">
        <v>865</v>
      </c>
      <c r="C531" s="10">
        <v>3016</v>
      </c>
      <c r="D531" s="10" t="s">
        <v>881</v>
      </c>
      <c r="E531" s="11">
        <v>34832</v>
      </c>
      <c r="F531" s="11">
        <v>34796</v>
      </c>
      <c r="G531" s="11">
        <v>69628</v>
      </c>
      <c r="H531" s="11">
        <v>20736</v>
      </c>
    </row>
    <row r="532" spans="1:8" x14ac:dyDescent="0.2">
      <c r="A532" s="10">
        <v>30</v>
      </c>
      <c r="B532" s="10" t="s">
        <v>865</v>
      </c>
      <c r="C532" s="10">
        <v>3017</v>
      </c>
      <c r="D532" s="10" t="s">
        <v>882</v>
      </c>
      <c r="E532" s="11">
        <v>36238</v>
      </c>
      <c r="F532" s="11">
        <v>36781</v>
      </c>
      <c r="G532" s="11">
        <v>73019</v>
      </c>
      <c r="H532" s="11">
        <v>21234</v>
      </c>
    </row>
    <row r="533" spans="1:8" x14ac:dyDescent="0.2">
      <c r="A533" s="10">
        <v>30</v>
      </c>
      <c r="B533" s="10" t="s">
        <v>865</v>
      </c>
      <c r="C533" s="10">
        <v>3018</v>
      </c>
      <c r="D533" s="10" t="s">
        <v>883</v>
      </c>
      <c r="E533" s="11">
        <v>35651</v>
      </c>
      <c r="F533" s="11">
        <v>37445</v>
      </c>
      <c r="G533" s="11">
        <v>73096</v>
      </c>
      <c r="H533" s="11">
        <v>31810</v>
      </c>
    </row>
    <row r="534" spans="1:8" x14ac:dyDescent="0.2">
      <c r="A534" s="10">
        <v>30</v>
      </c>
      <c r="B534" s="10" t="s">
        <v>865</v>
      </c>
      <c r="C534" s="10">
        <v>3019</v>
      </c>
      <c r="D534" s="10" t="s">
        <v>884</v>
      </c>
      <c r="E534" s="11">
        <v>12785</v>
      </c>
      <c r="F534" s="11">
        <v>13358</v>
      </c>
      <c r="G534" s="11">
        <v>26143</v>
      </c>
      <c r="H534" s="11">
        <v>9239</v>
      </c>
    </row>
    <row r="535" spans="1:8" x14ac:dyDescent="0.2">
      <c r="A535" s="10">
        <v>30</v>
      </c>
      <c r="B535" s="10" t="s">
        <v>865</v>
      </c>
      <c r="C535" s="10">
        <v>3020</v>
      </c>
      <c r="D535" s="10" t="s">
        <v>885</v>
      </c>
      <c r="E535" s="11">
        <v>43077</v>
      </c>
      <c r="F535" s="11">
        <v>43778</v>
      </c>
      <c r="G535" s="11">
        <v>86855</v>
      </c>
      <c r="H535" s="11">
        <v>34142</v>
      </c>
    </row>
    <row r="536" spans="1:8" x14ac:dyDescent="0.2">
      <c r="A536" s="10">
        <v>30</v>
      </c>
      <c r="B536" s="10" t="s">
        <v>865</v>
      </c>
      <c r="C536" s="10">
        <v>3021</v>
      </c>
      <c r="D536" s="10" t="s">
        <v>886</v>
      </c>
      <c r="E536" s="11">
        <v>62994</v>
      </c>
      <c r="F536" s="11">
        <v>64563</v>
      </c>
      <c r="G536" s="11">
        <v>127557</v>
      </c>
      <c r="H536" s="11">
        <v>74213</v>
      </c>
    </row>
    <row r="537" spans="1:8" x14ac:dyDescent="0.2">
      <c r="A537" s="10">
        <v>30</v>
      </c>
      <c r="B537" s="10" t="s">
        <v>865</v>
      </c>
      <c r="C537" s="10">
        <v>3022</v>
      </c>
      <c r="D537" s="10" t="s">
        <v>887</v>
      </c>
      <c r="E537" s="11">
        <v>29934</v>
      </c>
      <c r="F537" s="11">
        <v>30600</v>
      </c>
      <c r="G537" s="11">
        <v>60534</v>
      </c>
      <c r="H537" s="11">
        <v>19625</v>
      </c>
    </row>
    <row r="538" spans="1:8" x14ac:dyDescent="0.2">
      <c r="A538" s="10">
        <v>30</v>
      </c>
      <c r="B538" s="10" t="s">
        <v>865</v>
      </c>
      <c r="C538" s="10">
        <v>3023</v>
      </c>
      <c r="D538" s="10" t="s">
        <v>888</v>
      </c>
      <c r="E538" s="11">
        <v>17766</v>
      </c>
      <c r="F538" s="11">
        <v>18253</v>
      </c>
      <c r="G538" s="11">
        <v>36019</v>
      </c>
      <c r="H538" s="11">
        <v>11203</v>
      </c>
    </row>
    <row r="539" spans="1:8" x14ac:dyDescent="0.2">
      <c r="A539" s="10">
        <v>30</v>
      </c>
      <c r="B539" s="10" t="s">
        <v>865</v>
      </c>
      <c r="C539" s="10">
        <v>3024</v>
      </c>
      <c r="D539" s="10" t="s">
        <v>889</v>
      </c>
      <c r="E539" s="11">
        <v>10069</v>
      </c>
      <c r="F539" s="11">
        <v>10404</v>
      </c>
      <c r="G539" s="11">
        <v>20473</v>
      </c>
      <c r="H539" s="11">
        <v>6008</v>
      </c>
    </row>
    <row r="540" spans="1:8" x14ac:dyDescent="0.2">
      <c r="A540" s="10">
        <v>30</v>
      </c>
      <c r="B540" s="10" t="s">
        <v>865</v>
      </c>
      <c r="C540" s="10">
        <v>3025</v>
      </c>
      <c r="D540" s="10" t="s">
        <v>890</v>
      </c>
      <c r="E540" s="11">
        <v>21848</v>
      </c>
      <c r="F540" s="11">
        <v>22268</v>
      </c>
      <c r="G540" s="11">
        <v>44116</v>
      </c>
      <c r="H540" s="11">
        <v>21028</v>
      </c>
    </row>
    <row r="541" spans="1:8" x14ac:dyDescent="0.2">
      <c r="A541" s="10">
        <v>30</v>
      </c>
      <c r="B541" s="10" t="s">
        <v>865</v>
      </c>
      <c r="C541" s="10">
        <v>3026</v>
      </c>
      <c r="D541" s="10" t="s">
        <v>891</v>
      </c>
      <c r="E541" s="11">
        <v>12742</v>
      </c>
      <c r="F541" s="11">
        <v>12606</v>
      </c>
      <c r="G541" s="11">
        <v>25348</v>
      </c>
      <c r="H541" s="11">
        <v>9024</v>
      </c>
    </row>
    <row r="542" spans="1:8" x14ac:dyDescent="0.2">
      <c r="A542" s="10">
        <v>30</v>
      </c>
      <c r="B542" s="10" t="s">
        <v>865</v>
      </c>
      <c r="C542" s="10">
        <v>3027</v>
      </c>
      <c r="D542" s="10" t="s">
        <v>892</v>
      </c>
      <c r="E542" s="11">
        <v>9748</v>
      </c>
      <c r="F542" s="11">
        <v>9623</v>
      </c>
      <c r="G542" s="11">
        <v>19371</v>
      </c>
      <c r="H542" s="11">
        <v>5785</v>
      </c>
    </row>
    <row r="543" spans="1:8" x14ac:dyDescent="0.2">
      <c r="A543" s="10">
        <v>30</v>
      </c>
      <c r="B543" s="10" t="s">
        <v>865</v>
      </c>
      <c r="C543" s="10">
        <v>3028</v>
      </c>
      <c r="D543" s="10" t="s">
        <v>893</v>
      </c>
      <c r="E543" s="11">
        <v>18257</v>
      </c>
      <c r="F543" s="11">
        <v>18482</v>
      </c>
      <c r="G543" s="11">
        <v>36739</v>
      </c>
      <c r="H543" s="11">
        <v>12954</v>
      </c>
    </row>
    <row r="544" spans="1:8" x14ac:dyDescent="0.2">
      <c r="A544" s="10">
        <v>30</v>
      </c>
      <c r="B544" s="10" t="s">
        <v>865</v>
      </c>
      <c r="C544" s="10">
        <v>3029</v>
      </c>
      <c r="D544" s="10" t="s">
        <v>894</v>
      </c>
      <c r="E544" s="11">
        <v>13805</v>
      </c>
      <c r="F544" s="11">
        <v>13968</v>
      </c>
      <c r="G544" s="11">
        <v>27773</v>
      </c>
      <c r="H544" s="11">
        <v>7919</v>
      </c>
    </row>
    <row r="545" spans="1:8" x14ac:dyDescent="0.2">
      <c r="A545" s="10">
        <v>30</v>
      </c>
      <c r="B545" s="10" t="s">
        <v>865</v>
      </c>
      <c r="C545" s="10">
        <v>3030</v>
      </c>
      <c r="D545" s="10" t="s">
        <v>895</v>
      </c>
      <c r="E545" s="11">
        <v>10457</v>
      </c>
      <c r="F545" s="11">
        <v>10695</v>
      </c>
      <c r="G545" s="11">
        <v>21152</v>
      </c>
      <c r="H545" s="11">
        <v>6761</v>
      </c>
    </row>
    <row r="546" spans="1:8" x14ac:dyDescent="0.2">
      <c r="A546" s="10">
        <v>30</v>
      </c>
      <c r="B546" s="10" t="s">
        <v>865</v>
      </c>
      <c r="C546" s="10">
        <v>3031</v>
      </c>
      <c r="D546" s="10" t="s">
        <v>896</v>
      </c>
      <c r="E546" s="11">
        <v>9793</v>
      </c>
      <c r="F546" s="11">
        <v>9908</v>
      </c>
      <c r="G546" s="11">
        <v>19701</v>
      </c>
      <c r="H546" s="11">
        <v>6326</v>
      </c>
    </row>
    <row r="547" spans="1:8" x14ac:dyDescent="0.2">
      <c r="A547" s="10">
        <v>30</v>
      </c>
      <c r="B547" s="10" t="s">
        <v>865</v>
      </c>
      <c r="C547" s="10">
        <v>3032</v>
      </c>
      <c r="D547" s="10" t="s">
        <v>615</v>
      </c>
      <c r="E547" s="11">
        <v>15158</v>
      </c>
      <c r="F547" s="11">
        <v>15898</v>
      </c>
      <c r="G547" s="11">
        <v>31056</v>
      </c>
      <c r="H547" s="11">
        <v>9976</v>
      </c>
    </row>
    <row r="548" spans="1:8" x14ac:dyDescent="0.2">
      <c r="A548" s="10">
        <v>30</v>
      </c>
      <c r="B548" s="10" t="s">
        <v>865</v>
      </c>
      <c r="C548" s="10">
        <v>3035</v>
      </c>
      <c r="D548" s="10" t="s">
        <v>897</v>
      </c>
      <c r="E548" s="11">
        <v>7828</v>
      </c>
      <c r="F548" s="11">
        <v>8435</v>
      </c>
      <c r="G548" s="11">
        <v>16263</v>
      </c>
      <c r="H548" s="11">
        <v>8218</v>
      </c>
    </row>
    <row r="549" spans="1:8" x14ac:dyDescent="0.2">
      <c r="A549" s="10">
        <v>30</v>
      </c>
      <c r="B549" s="10" t="s">
        <v>865</v>
      </c>
      <c r="C549" s="10">
        <v>3037</v>
      </c>
      <c r="D549" s="10" t="s">
        <v>898</v>
      </c>
      <c r="E549" s="11">
        <v>3981</v>
      </c>
      <c r="F549" s="11">
        <v>4054</v>
      </c>
      <c r="G549" s="11">
        <v>8035</v>
      </c>
      <c r="H549" s="11">
        <v>2461</v>
      </c>
    </row>
    <row r="550" spans="1:8" x14ac:dyDescent="0.2">
      <c r="A550" s="10">
        <v>30</v>
      </c>
      <c r="B550" s="10" t="s">
        <v>865</v>
      </c>
      <c r="C550" s="10">
        <v>3038</v>
      </c>
      <c r="D550" s="10" t="s">
        <v>899</v>
      </c>
      <c r="E550" s="11">
        <v>6623</v>
      </c>
      <c r="F550" s="11">
        <v>6672</v>
      </c>
      <c r="G550" s="11">
        <v>13295</v>
      </c>
      <c r="H550" s="11">
        <v>5364</v>
      </c>
    </row>
    <row r="551" spans="1:8" x14ac:dyDescent="0.2">
      <c r="A551" s="10">
        <v>30</v>
      </c>
      <c r="B551" s="10" t="s">
        <v>865</v>
      </c>
      <c r="C551" s="10">
        <v>3039</v>
      </c>
      <c r="D551" s="10" t="s">
        <v>900</v>
      </c>
      <c r="E551" s="11">
        <v>4182</v>
      </c>
      <c r="F551" s="11">
        <v>4335</v>
      </c>
      <c r="G551" s="11">
        <v>8517</v>
      </c>
      <c r="H551" s="11">
        <v>2743</v>
      </c>
    </row>
    <row r="552" spans="1:8" x14ac:dyDescent="0.2">
      <c r="A552" s="10">
        <v>30</v>
      </c>
      <c r="B552" s="10" t="s">
        <v>865</v>
      </c>
      <c r="C552" s="10">
        <v>3040</v>
      </c>
      <c r="D552" s="10" t="s">
        <v>901</v>
      </c>
      <c r="E552" s="11">
        <v>6402</v>
      </c>
      <c r="F552" s="11">
        <v>6494</v>
      </c>
      <c r="G552" s="11">
        <v>12896</v>
      </c>
      <c r="H552" s="11">
        <v>3754</v>
      </c>
    </row>
    <row r="553" spans="1:8" x14ac:dyDescent="0.2">
      <c r="A553" s="10">
        <v>30</v>
      </c>
      <c r="B553" s="10" t="s">
        <v>865</v>
      </c>
      <c r="C553" s="10">
        <v>3041</v>
      </c>
      <c r="D553" s="10" t="s">
        <v>902</v>
      </c>
      <c r="E553" s="11">
        <v>4266</v>
      </c>
      <c r="F553" s="11">
        <v>4501</v>
      </c>
      <c r="G553" s="11">
        <v>8767</v>
      </c>
      <c r="H553" s="11">
        <v>2853</v>
      </c>
    </row>
    <row r="554" spans="1:8" x14ac:dyDescent="0.2">
      <c r="A554" s="10">
        <v>30</v>
      </c>
      <c r="B554" s="10" t="s">
        <v>865</v>
      </c>
      <c r="C554" s="10">
        <v>3042</v>
      </c>
      <c r="D554" s="10" t="s">
        <v>903</v>
      </c>
      <c r="E554" s="11">
        <v>3801</v>
      </c>
      <c r="F554" s="11">
        <v>3864</v>
      </c>
      <c r="G554" s="11">
        <v>7665</v>
      </c>
      <c r="H554" s="11">
        <v>2574</v>
      </c>
    </row>
    <row r="555" spans="1:8" x14ac:dyDescent="0.2">
      <c r="A555" s="10">
        <v>30</v>
      </c>
      <c r="B555" s="10" t="s">
        <v>865</v>
      </c>
      <c r="C555" s="10">
        <v>3043</v>
      </c>
      <c r="D555" s="10" t="s">
        <v>904</v>
      </c>
      <c r="E555" s="11">
        <v>3075</v>
      </c>
      <c r="F555" s="11">
        <v>3073</v>
      </c>
      <c r="G555" s="11">
        <v>6148</v>
      </c>
      <c r="H555" s="11">
        <v>1984</v>
      </c>
    </row>
    <row r="556" spans="1:8" x14ac:dyDescent="0.2">
      <c r="A556" s="10">
        <v>30</v>
      </c>
      <c r="B556" s="10" t="s">
        <v>865</v>
      </c>
      <c r="C556" s="10">
        <v>3044</v>
      </c>
      <c r="D556" s="10" t="s">
        <v>905</v>
      </c>
      <c r="E556" s="11">
        <v>5617</v>
      </c>
      <c r="F556" s="11">
        <v>5797</v>
      </c>
      <c r="G556" s="11">
        <v>11414</v>
      </c>
      <c r="H556" s="11">
        <v>5828</v>
      </c>
    </row>
    <row r="557" spans="1:8" x14ac:dyDescent="0.2">
      <c r="A557" s="10">
        <v>30</v>
      </c>
      <c r="B557" s="10" t="s">
        <v>865</v>
      </c>
      <c r="C557" s="10">
        <v>3045</v>
      </c>
      <c r="D557" s="10" t="s">
        <v>906</v>
      </c>
      <c r="E557" s="11">
        <v>4571</v>
      </c>
      <c r="F557" s="11">
        <v>4675</v>
      </c>
      <c r="G557" s="11">
        <v>9246</v>
      </c>
      <c r="H557" s="11">
        <v>4640</v>
      </c>
    </row>
    <row r="558" spans="1:8" x14ac:dyDescent="0.2">
      <c r="A558" s="10">
        <v>30</v>
      </c>
      <c r="B558" s="10" t="s">
        <v>865</v>
      </c>
      <c r="C558" s="10">
        <v>3046</v>
      </c>
      <c r="D558" s="10" t="s">
        <v>907</v>
      </c>
      <c r="E558" s="11">
        <v>2340</v>
      </c>
      <c r="F558" s="11">
        <v>2374</v>
      </c>
      <c r="G558" s="11">
        <v>4714</v>
      </c>
      <c r="H558" s="11">
        <v>1483</v>
      </c>
    </row>
    <row r="559" spans="1:8" x14ac:dyDescent="0.2">
      <c r="A559" s="10">
        <v>30</v>
      </c>
      <c r="B559" s="10" t="s">
        <v>865</v>
      </c>
      <c r="C559" s="10">
        <v>3047</v>
      </c>
      <c r="D559" s="10" t="s">
        <v>908</v>
      </c>
      <c r="E559" s="11">
        <v>1741</v>
      </c>
      <c r="F559" s="11">
        <v>1916</v>
      </c>
      <c r="G559" s="11">
        <v>3657</v>
      </c>
      <c r="H559" s="11">
        <v>1375</v>
      </c>
    </row>
    <row r="560" spans="1:8" x14ac:dyDescent="0.2">
      <c r="A560" s="10">
        <v>30</v>
      </c>
      <c r="B560" s="10" t="s">
        <v>865</v>
      </c>
      <c r="C560" s="10">
        <v>3048</v>
      </c>
      <c r="D560" s="10" t="s">
        <v>909</v>
      </c>
      <c r="E560" s="11">
        <v>6661</v>
      </c>
      <c r="F560" s="11">
        <v>6789</v>
      </c>
      <c r="G560" s="11">
        <v>13450</v>
      </c>
      <c r="H560" s="11">
        <v>12435</v>
      </c>
    </row>
    <row r="561" spans="1:8" x14ac:dyDescent="0.2">
      <c r="A561" s="10">
        <v>30</v>
      </c>
      <c r="B561" s="10" t="s">
        <v>865</v>
      </c>
      <c r="C561" s="10">
        <v>3049</v>
      </c>
      <c r="D561" s="10" t="s">
        <v>910</v>
      </c>
      <c r="E561" s="11">
        <v>14775</v>
      </c>
      <c r="F561" s="11">
        <v>14425</v>
      </c>
      <c r="G561" s="11">
        <v>29200</v>
      </c>
      <c r="H561" s="11">
        <v>14148</v>
      </c>
    </row>
    <row r="562" spans="1:8" x14ac:dyDescent="0.2">
      <c r="A562" s="10">
        <v>30</v>
      </c>
      <c r="B562" s="10" t="s">
        <v>865</v>
      </c>
      <c r="C562" s="10">
        <v>3050</v>
      </c>
      <c r="D562" s="10" t="s">
        <v>911</v>
      </c>
      <c r="E562" s="11">
        <v>13224</v>
      </c>
      <c r="F562" s="11">
        <v>14713</v>
      </c>
      <c r="G562" s="11">
        <v>27937</v>
      </c>
      <c r="H562" s="11">
        <v>14664</v>
      </c>
    </row>
    <row r="563" spans="1:8" x14ac:dyDescent="0.2">
      <c r="A563" s="10">
        <v>30</v>
      </c>
      <c r="B563" s="10" t="s">
        <v>865</v>
      </c>
      <c r="C563" s="10">
        <v>3051</v>
      </c>
      <c r="D563" s="10" t="s">
        <v>912</v>
      </c>
      <c r="E563" s="11">
        <v>5586</v>
      </c>
      <c r="F563" s="11">
        <v>5821</v>
      </c>
      <c r="G563" s="11">
        <v>11407</v>
      </c>
      <c r="H563" s="11">
        <v>5927</v>
      </c>
    </row>
    <row r="564" spans="1:8" x14ac:dyDescent="0.2">
      <c r="A564" s="10">
        <v>30</v>
      </c>
      <c r="B564" s="10" t="s">
        <v>865</v>
      </c>
      <c r="C564" s="10">
        <v>3052</v>
      </c>
      <c r="D564" s="10" t="s">
        <v>913</v>
      </c>
      <c r="E564" s="11">
        <v>4624</v>
      </c>
      <c r="F564" s="11">
        <v>5106</v>
      </c>
      <c r="G564" s="11">
        <v>9730</v>
      </c>
      <c r="H564" s="11">
        <v>5494</v>
      </c>
    </row>
    <row r="565" spans="1:8" x14ac:dyDescent="0.2">
      <c r="A565" s="10">
        <v>30</v>
      </c>
      <c r="B565" s="10" t="s">
        <v>865</v>
      </c>
      <c r="C565" s="10">
        <v>3053</v>
      </c>
      <c r="D565" s="10" t="s">
        <v>914</v>
      </c>
      <c r="E565" s="11">
        <v>9494</v>
      </c>
      <c r="F565" s="11">
        <v>3994</v>
      </c>
      <c r="G565" s="11">
        <v>13488</v>
      </c>
      <c r="H565" s="11">
        <v>11306</v>
      </c>
    </row>
    <row r="566" spans="1:8" x14ac:dyDescent="0.2">
      <c r="A566" s="10">
        <v>30</v>
      </c>
      <c r="B566" s="10" t="s">
        <v>865</v>
      </c>
      <c r="C566" s="10">
        <v>3054</v>
      </c>
      <c r="D566" s="10" t="s">
        <v>844</v>
      </c>
      <c r="E566" s="11">
        <v>2430</v>
      </c>
      <c r="F566" s="11">
        <v>2611</v>
      </c>
      <c r="G566" s="11">
        <v>5041</v>
      </c>
      <c r="H566" s="11">
        <v>2195</v>
      </c>
    </row>
    <row r="567" spans="1:8" x14ac:dyDescent="0.2">
      <c r="A567" s="10">
        <v>30</v>
      </c>
      <c r="B567" s="10" t="s">
        <v>865</v>
      </c>
      <c r="C567" s="10">
        <v>3055</v>
      </c>
      <c r="D567" s="10" t="s">
        <v>915</v>
      </c>
      <c r="E567" s="11">
        <v>1754</v>
      </c>
      <c r="F567" s="11">
        <v>1838</v>
      </c>
      <c r="G567" s="11">
        <v>3592</v>
      </c>
      <c r="H567" s="11">
        <v>1559</v>
      </c>
    </row>
    <row r="568" spans="1:8" x14ac:dyDescent="0.2">
      <c r="A568" s="10">
        <v>30</v>
      </c>
      <c r="B568" s="10" t="s">
        <v>865</v>
      </c>
      <c r="C568" s="10">
        <v>3056</v>
      </c>
      <c r="D568" s="10" t="s">
        <v>916</v>
      </c>
      <c r="E568" s="11">
        <v>1147</v>
      </c>
      <c r="F568" s="11">
        <v>1194</v>
      </c>
      <c r="G568" s="11">
        <v>2341</v>
      </c>
      <c r="H568" s="10">
        <v>895</v>
      </c>
    </row>
    <row r="569" spans="1:8" x14ac:dyDescent="0.2">
      <c r="A569" s="10">
        <v>30</v>
      </c>
      <c r="B569" s="10" t="s">
        <v>865</v>
      </c>
      <c r="C569" s="10">
        <v>3057</v>
      </c>
      <c r="D569" s="10" t="s">
        <v>917</v>
      </c>
      <c r="E569" s="11">
        <v>2241</v>
      </c>
      <c r="F569" s="11">
        <v>2310</v>
      </c>
      <c r="G569" s="11">
        <v>4551</v>
      </c>
      <c r="H569" s="11">
        <v>1955</v>
      </c>
    </row>
    <row r="570" spans="1:8" x14ac:dyDescent="0.2">
      <c r="A570" s="10">
        <v>30</v>
      </c>
      <c r="B570" s="10" t="s">
        <v>865</v>
      </c>
      <c r="C570" s="10">
        <v>3058</v>
      </c>
      <c r="D570" s="10" t="s">
        <v>918</v>
      </c>
      <c r="E570" s="11">
        <v>1925</v>
      </c>
      <c r="F570" s="11">
        <v>2050</v>
      </c>
      <c r="G570" s="11">
        <v>3975</v>
      </c>
      <c r="H570" s="11">
        <v>1694</v>
      </c>
    </row>
    <row r="571" spans="1:8" x14ac:dyDescent="0.2">
      <c r="A571" s="10">
        <v>30</v>
      </c>
      <c r="B571" s="10" t="s">
        <v>865</v>
      </c>
      <c r="C571" s="10">
        <v>3059</v>
      </c>
      <c r="D571" s="10" t="s">
        <v>919</v>
      </c>
      <c r="E571" s="10">
        <v>887</v>
      </c>
      <c r="F571" s="11">
        <v>1000</v>
      </c>
      <c r="G571" s="11">
        <v>1887</v>
      </c>
      <c r="H571" s="10">
        <v>981</v>
      </c>
    </row>
    <row r="572" spans="1:8" x14ac:dyDescent="0.2">
      <c r="A572" s="10">
        <v>30</v>
      </c>
      <c r="B572" s="10" t="s">
        <v>865</v>
      </c>
      <c r="C572" s="10">
        <v>3060</v>
      </c>
      <c r="D572" s="10" t="s">
        <v>920</v>
      </c>
      <c r="E572" s="11">
        <v>2050</v>
      </c>
      <c r="F572" s="11">
        <v>2180</v>
      </c>
      <c r="G572" s="11">
        <v>4230</v>
      </c>
      <c r="H572" s="11">
        <v>1680</v>
      </c>
    </row>
    <row r="573" spans="1:8" x14ac:dyDescent="0.2">
      <c r="A573" s="10">
        <v>30</v>
      </c>
      <c r="B573" s="10" t="s">
        <v>865</v>
      </c>
      <c r="C573" s="10">
        <v>3061</v>
      </c>
      <c r="D573" s="10" t="s">
        <v>921</v>
      </c>
      <c r="E573" s="11">
        <v>2422</v>
      </c>
      <c r="F573" s="11">
        <v>2515</v>
      </c>
      <c r="G573" s="11">
        <v>4937</v>
      </c>
      <c r="H573" s="11">
        <v>2804</v>
      </c>
    </row>
    <row r="574" spans="1:8" x14ac:dyDescent="0.2">
      <c r="A574" s="10">
        <v>30</v>
      </c>
      <c r="B574" s="10" t="s">
        <v>865</v>
      </c>
      <c r="C574" s="10">
        <v>3062</v>
      </c>
      <c r="D574" s="10" t="s">
        <v>922</v>
      </c>
      <c r="E574" s="11">
        <v>7536</v>
      </c>
      <c r="F574" s="11">
        <v>8510</v>
      </c>
      <c r="G574" s="11">
        <v>16046</v>
      </c>
      <c r="H574" s="11">
        <v>9816</v>
      </c>
    </row>
    <row r="575" spans="1:8" x14ac:dyDescent="0.2">
      <c r="A575" s="10">
        <v>30</v>
      </c>
      <c r="B575" s="10" t="s">
        <v>865</v>
      </c>
      <c r="C575" s="10">
        <v>3063</v>
      </c>
      <c r="D575" s="10" t="s">
        <v>923</v>
      </c>
      <c r="E575" s="11">
        <v>1915</v>
      </c>
      <c r="F575" s="11">
        <v>2105</v>
      </c>
      <c r="G575" s="11">
        <v>4020</v>
      </c>
      <c r="H575" s="11">
        <v>2308</v>
      </c>
    </row>
    <row r="576" spans="1:8" x14ac:dyDescent="0.2">
      <c r="A576" s="10">
        <v>30</v>
      </c>
      <c r="B576" s="10" t="s">
        <v>865</v>
      </c>
      <c r="C576" s="10">
        <v>3064</v>
      </c>
      <c r="D576" s="10" t="s">
        <v>924</v>
      </c>
      <c r="E576" s="11">
        <v>1945</v>
      </c>
      <c r="F576" s="11">
        <v>1648</v>
      </c>
      <c r="G576" s="11">
        <v>3593</v>
      </c>
      <c r="H576" s="11">
        <v>1774</v>
      </c>
    </row>
    <row r="577" spans="1:8" x14ac:dyDescent="0.2">
      <c r="A577" s="10">
        <v>30</v>
      </c>
      <c r="B577" s="10" t="s">
        <v>865</v>
      </c>
      <c r="C577" s="10">
        <v>3065</v>
      </c>
      <c r="D577" s="10" t="s">
        <v>925</v>
      </c>
      <c r="E577" s="11">
        <v>2095</v>
      </c>
      <c r="F577" s="11">
        <v>2262</v>
      </c>
      <c r="G577" s="11">
        <v>4357</v>
      </c>
      <c r="H577" s="11">
        <v>2381</v>
      </c>
    </row>
    <row r="578" spans="1:8" x14ac:dyDescent="0.2">
      <c r="A578" s="10">
        <v>30</v>
      </c>
      <c r="B578" s="10" t="s">
        <v>865</v>
      </c>
      <c r="C578" s="10">
        <v>3066</v>
      </c>
      <c r="D578" s="10" t="s">
        <v>926</v>
      </c>
      <c r="E578" s="11">
        <v>4551</v>
      </c>
      <c r="F578" s="11">
        <v>5073</v>
      </c>
      <c r="G578" s="11">
        <v>9624</v>
      </c>
      <c r="H578" s="11">
        <v>6482</v>
      </c>
    </row>
    <row r="579" spans="1:8" x14ac:dyDescent="0.2">
      <c r="A579" s="10">
        <v>30</v>
      </c>
      <c r="B579" s="10" t="s">
        <v>865</v>
      </c>
      <c r="C579" s="10">
        <v>3067</v>
      </c>
      <c r="D579" s="10" t="s">
        <v>927</v>
      </c>
      <c r="E579" s="11">
        <v>1263</v>
      </c>
      <c r="F579" s="11">
        <v>1422</v>
      </c>
      <c r="G579" s="11">
        <v>2685</v>
      </c>
      <c r="H579" s="11">
        <v>1545</v>
      </c>
    </row>
    <row r="580" spans="1:8" x14ac:dyDescent="0.2">
      <c r="A580" s="10">
        <v>30</v>
      </c>
      <c r="B580" s="10" t="s">
        <v>865</v>
      </c>
      <c r="C580" s="10">
        <v>3068</v>
      </c>
      <c r="D580" s="10" t="s">
        <v>928</v>
      </c>
      <c r="E580" s="11">
        <v>4155</v>
      </c>
      <c r="F580" s="11">
        <v>4430</v>
      </c>
      <c r="G580" s="11">
        <v>8585</v>
      </c>
      <c r="H580" s="11">
        <v>3953</v>
      </c>
    </row>
    <row r="581" spans="1:8" x14ac:dyDescent="0.2">
      <c r="A581" s="10">
        <v>30</v>
      </c>
      <c r="B581" s="10" t="s">
        <v>865</v>
      </c>
      <c r="C581" s="10">
        <v>3069</v>
      </c>
      <c r="D581" s="10" t="s">
        <v>929</v>
      </c>
      <c r="E581" s="11">
        <v>1355</v>
      </c>
      <c r="F581" s="11">
        <v>1373</v>
      </c>
      <c r="G581" s="11">
        <v>2728</v>
      </c>
      <c r="H581" s="10">
        <v>824</v>
      </c>
    </row>
    <row r="582" spans="1:8" x14ac:dyDescent="0.2">
      <c r="A582" s="10">
        <v>30</v>
      </c>
      <c r="B582" s="10" t="s">
        <v>865</v>
      </c>
      <c r="C582" s="10">
        <v>3070</v>
      </c>
      <c r="D582" s="10" t="s">
        <v>930</v>
      </c>
      <c r="E582" s="11">
        <v>1412</v>
      </c>
      <c r="F582" s="11">
        <v>1595</v>
      </c>
      <c r="G582" s="11">
        <v>3007</v>
      </c>
      <c r="H582" s="11">
        <v>1722</v>
      </c>
    </row>
    <row r="583" spans="1:8" x14ac:dyDescent="0.2">
      <c r="A583" s="10">
        <v>30</v>
      </c>
      <c r="B583" s="10" t="s">
        <v>865</v>
      </c>
      <c r="C583" s="10">
        <v>3071</v>
      </c>
      <c r="D583" s="10" t="s">
        <v>931</v>
      </c>
      <c r="E583" s="11">
        <v>3446</v>
      </c>
      <c r="F583" s="11">
        <v>4037</v>
      </c>
      <c r="G583" s="11">
        <v>7483</v>
      </c>
      <c r="H583" s="11">
        <v>2940</v>
      </c>
    </row>
    <row r="584" spans="1:8" x14ac:dyDescent="0.2">
      <c r="A584" s="10">
        <v>30</v>
      </c>
      <c r="B584" s="10" t="s">
        <v>865</v>
      </c>
      <c r="C584" s="10">
        <v>3072</v>
      </c>
      <c r="D584" s="10" t="s">
        <v>932</v>
      </c>
      <c r="E584" s="11">
        <v>6190</v>
      </c>
      <c r="F584" s="11">
        <v>7085</v>
      </c>
      <c r="G584" s="11">
        <v>13275</v>
      </c>
      <c r="H584" s="11">
        <v>7210</v>
      </c>
    </row>
    <row r="585" spans="1:8" x14ac:dyDescent="0.2">
      <c r="A585" s="10">
        <v>30</v>
      </c>
      <c r="B585" s="10" t="s">
        <v>865</v>
      </c>
      <c r="C585" s="10">
        <v>3073</v>
      </c>
      <c r="D585" s="10" t="s">
        <v>933</v>
      </c>
      <c r="E585" s="11">
        <v>2534</v>
      </c>
      <c r="F585" s="11">
        <v>2644</v>
      </c>
      <c r="G585" s="11">
        <v>5178</v>
      </c>
      <c r="H585" s="11">
        <v>2004</v>
      </c>
    </row>
    <row r="586" spans="1:8" x14ac:dyDescent="0.2">
      <c r="A586" s="10">
        <v>30</v>
      </c>
      <c r="B586" s="10" t="s">
        <v>865</v>
      </c>
      <c r="C586" s="10">
        <v>3074</v>
      </c>
      <c r="D586" s="10" t="s">
        <v>934</v>
      </c>
      <c r="E586" s="11">
        <v>2899</v>
      </c>
      <c r="F586" s="11">
        <v>3031</v>
      </c>
      <c r="G586" s="11">
        <v>5930</v>
      </c>
      <c r="H586" s="11">
        <v>3224</v>
      </c>
    </row>
    <row r="587" spans="1:8" x14ac:dyDescent="0.2">
      <c r="A587" s="10">
        <v>30</v>
      </c>
      <c r="B587" s="10" t="s">
        <v>865</v>
      </c>
      <c r="C587" s="10">
        <v>3075</v>
      </c>
      <c r="D587" s="10" t="s">
        <v>935</v>
      </c>
      <c r="E587" s="11">
        <v>2220</v>
      </c>
      <c r="F587" s="11">
        <v>2209</v>
      </c>
      <c r="G587" s="11">
        <v>4429</v>
      </c>
      <c r="H587" s="11">
        <v>1517</v>
      </c>
    </row>
    <row r="588" spans="1:8" x14ac:dyDescent="0.2">
      <c r="A588" s="10">
        <v>30</v>
      </c>
      <c r="B588" s="10" t="s">
        <v>865</v>
      </c>
      <c r="C588" s="10">
        <v>3076</v>
      </c>
      <c r="D588" s="10" t="s">
        <v>936</v>
      </c>
      <c r="E588" s="11">
        <v>2379</v>
      </c>
      <c r="F588" s="11">
        <v>2606</v>
      </c>
      <c r="G588" s="11">
        <v>4985</v>
      </c>
      <c r="H588" s="11">
        <v>1981</v>
      </c>
    </row>
    <row r="589" spans="1:8" x14ac:dyDescent="0.2">
      <c r="A589" s="10">
        <v>30</v>
      </c>
      <c r="B589" s="10" t="s">
        <v>865</v>
      </c>
      <c r="C589" s="10">
        <v>3077</v>
      </c>
      <c r="D589" s="10" t="s">
        <v>937</v>
      </c>
      <c r="E589" s="10">
        <v>941</v>
      </c>
      <c r="F589" s="10">
        <v>938</v>
      </c>
      <c r="G589" s="11">
        <v>1879</v>
      </c>
      <c r="H589" s="10">
        <v>621</v>
      </c>
    </row>
    <row r="590" spans="1:8" x14ac:dyDescent="0.2">
      <c r="A590" s="10">
        <v>30</v>
      </c>
      <c r="B590" s="10" t="s">
        <v>865</v>
      </c>
      <c r="C590" s="10">
        <v>3078</v>
      </c>
      <c r="D590" s="10" t="s">
        <v>938</v>
      </c>
      <c r="E590" s="11">
        <v>1507</v>
      </c>
      <c r="F590" s="11">
        <v>1689</v>
      </c>
      <c r="G590" s="11">
        <v>3196</v>
      </c>
      <c r="H590" s="11">
        <v>1382</v>
      </c>
    </row>
    <row r="591" spans="1:8" x14ac:dyDescent="0.2">
      <c r="A591" s="10">
        <v>30</v>
      </c>
      <c r="B591" s="10" t="s">
        <v>865</v>
      </c>
      <c r="C591" s="10">
        <v>3079</v>
      </c>
      <c r="D591" s="10" t="s">
        <v>939</v>
      </c>
      <c r="E591" s="11">
        <v>1369</v>
      </c>
      <c r="F591" s="11">
        <v>1590</v>
      </c>
      <c r="G591" s="11">
        <v>2959</v>
      </c>
      <c r="H591" s="11">
        <v>1413</v>
      </c>
    </row>
    <row r="592" spans="1:8" x14ac:dyDescent="0.2">
      <c r="A592" s="10">
        <v>30</v>
      </c>
      <c r="B592" s="10" t="s">
        <v>865</v>
      </c>
      <c r="C592" s="10">
        <v>3080</v>
      </c>
      <c r="D592" s="10" t="s">
        <v>940</v>
      </c>
      <c r="E592" s="11">
        <v>2484</v>
      </c>
      <c r="F592" s="11">
        <v>2631</v>
      </c>
      <c r="G592" s="11">
        <v>5115</v>
      </c>
      <c r="H592" s="11">
        <v>1869</v>
      </c>
    </row>
    <row r="593" spans="1:8" x14ac:dyDescent="0.2">
      <c r="A593" s="10">
        <v>30</v>
      </c>
      <c r="B593" s="10" t="s">
        <v>865</v>
      </c>
      <c r="C593" s="10">
        <v>3081</v>
      </c>
      <c r="D593" s="10" t="s">
        <v>941</v>
      </c>
      <c r="E593" s="11">
        <v>1935</v>
      </c>
      <c r="F593" s="11">
        <v>2088</v>
      </c>
      <c r="G593" s="11">
        <v>4023</v>
      </c>
      <c r="H593" s="11">
        <v>1405</v>
      </c>
    </row>
    <row r="594" spans="1:8" x14ac:dyDescent="0.2">
      <c r="A594" s="10">
        <v>30</v>
      </c>
      <c r="B594" s="10" t="s">
        <v>865</v>
      </c>
      <c r="C594" s="10">
        <v>3082</v>
      </c>
      <c r="D594" s="10" t="s">
        <v>942</v>
      </c>
      <c r="E594" s="11">
        <v>2765</v>
      </c>
      <c r="F594" s="11">
        <v>3197</v>
      </c>
      <c r="G594" s="11">
        <v>5962</v>
      </c>
      <c r="H594" s="11">
        <v>4132</v>
      </c>
    </row>
    <row r="595" spans="1:8" x14ac:dyDescent="0.2">
      <c r="A595" s="10">
        <v>30</v>
      </c>
      <c r="B595" s="10" t="s">
        <v>865</v>
      </c>
      <c r="C595" s="10">
        <v>3083</v>
      </c>
      <c r="D595" s="10" t="s">
        <v>943</v>
      </c>
      <c r="E595" s="11">
        <v>4794</v>
      </c>
      <c r="F595" s="11">
        <v>5107</v>
      </c>
      <c r="G595" s="11">
        <v>9901</v>
      </c>
      <c r="H595" s="11">
        <v>4640</v>
      </c>
    </row>
    <row r="596" spans="1:8" x14ac:dyDescent="0.2">
      <c r="A596" s="10">
        <v>30</v>
      </c>
      <c r="B596" s="10" t="s">
        <v>865</v>
      </c>
      <c r="C596" s="10">
        <v>3084</v>
      </c>
      <c r="D596" s="10" t="s">
        <v>944</v>
      </c>
      <c r="E596" s="11">
        <v>5869</v>
      </c>
      <c r="F596" s="11">
        <v>6500</v>
      </c>
      <c r="G596" s="11">
        <v>12369</v>
      </c>
      <c r="H596" s="11">
        <v>5709</v>
      </c>
    </row>
    <row r="597" spans="1:8" x14ac:dyDescent="0.2">
      <c r="A597" s="10">
        <v>30</v>
      </c>
      <c r="B597" s="10" t="s">
        <v>865</v>
      </c>
      <c r="C597" s="10">
        <v>3085</v>
      </c>
      <c r="D597" s="10" t="s">
        <v>945</v>
      </c>
      <c r="E597" s="11">
        <v>1785</v>
      </c>
      <c r="F597" s="11">
        <v>1968</v>
      </c>
      <c r="G597" s="11">
        <v>3753</v>
      </c>
      <c r="H597" s="11">
        <v>1705</v>
      </c>
    </row>
    <row r="598" spans="1:8" x14ac:dyDescent="0.2">
      <c r="A598" s="10">
        <v>30</v>
      </c>
      <c r="B598" s="10" t="s">
        <v>865</v>
      </c>
      <c r="C598" s="10">
        <v>3086</v>
      </c>
      <c r="D598" s="10" t="s">
        <v>946</v>
      </c>
      <c r="E598" s="11">
        <v>1560</v>
      </c>
      <c r="F598" s="11">
        <v>1790</v>
      </c>
      <c r="G598" s="11">
        <v>3350</v>
      </c>
      <c r="H598" s="11">
        <v>1287</v>
      </c>
    </row>
    <row r="599" spans="1:8" x14ac:dyDescent="0.2">
      <c r="A599" s="10">
        <v>30</v>
      </c>
      <c r="B599" s="10" t="s">
        <v>865</v>
      </c>
      <c r="C599" s="10">
        <v>3087</v>
      </c>
      <c r="D599" s="10" t="s">
        <v>947</v>
      </c>
      <c r="E599" s="11">
        <v>1026</v>
      </c>
      <c r="F599" s="11">
        <v>1140</v>
      </c>
      <c r="G599" s="11">
        <v>2166</v>
      </c>
      <c r="H599" s="11">
        <v>1010</v>
      </c>
    </row>
    <row r="600" spans="1:8" x14ac:dyDescent="0.2">
      <c r="A600" s="10">
        <v>30</v>
      </c>
      <c r="B600" s="10" t="s">
        <v>865</v>
      </c>
      <c r="C600" s="10">
        <v>3088</v>
      </c>
      <c r="D600" s="10" t="s">
        <v>948</v>
      </c>
      <c r="E600" s="11">
        <v>1307</v>
      </c>
      <c r="F600" s="11">
        <v>1381</v>
      </c>
      <c r="G600" s="11">
        <v>2688</v>
      </c>
      <c r="H600" s="10">
        <v>913</v>
      </c>
    </row>
    <row r="601" spans="1:8" x14ac:dyDescent="0.2">
      <c r="A601" s="10">
        <v>30</v>
      </c>
      <c r="B601" s="10" t="s">
        <v>865</v>
      </c>
      <c r="C601" s="10">
        <v>3089</v>
      </c>
      <c r="D601" s="10" t="s">
        <v>949</v>
      </c>
      <c r="E601" s="11">
        <v>3613</v>
      </c>
      <c r="F601" s="11">
        <v>3857</v>
      </c>
      <c r="G601" s="11">
        <v>7470</v>
      </c>
      <c r="H601" s="11">
        <v>3350</v>
      </c>
    </row>
    <row r="602" spans="1:8" x14ac:dyDescent="0.2">
      <c r="A602" s="10">
        <v>30</v>
      </c>
      <c r="B602" s="10" t="s">
        <v>865</v>
      </c>
      <c r="C602" s="10">
        <v>3090</v>
      </c>
      <c r="D602" s="10" t="s">
        <v>950</v>
      </c>
      <c r="E602" s="11">
        <v>2799</v>
      </c>
      <c r="F602" s="11">
        <v>2879</v>
      </c>
      <c r="G602" s="11">
        <v>5678</v>
      </c>
      <c r="H602" s="11">
        <v>1869</v>
      </c>
    </row>
    <row r="603" spans="1:8" x14ac:dyDescent="0.2">
      <c r="A603" s="10">
        <v>30</v>
      </c>
      <c r="B603" s="10" t="s">
        <v>865</v>
      </c>
      <c r="C603" s="10">
        <v>3091</v>
      </c>
      <c r="D603" s="10" t="s">
        <v>951</v>
      </c>
      <c r="E603" s="11">
        <v>1794</v>
      </c>
      <c r="F603" s="11">
        <v>1858</v>
      </c>
      <c r="G603" s="11">
        <v>3652</v>
      </c>
      <c r="H603" s="11">
        <v>1207</v>
      </c>
    </row>
    <row r="604" spans="1:8" x14ac:dyDescent="0.2">
      <c r="A604" s="10">
        <v>30</v>
      </c>
      <c r="B604" s="10" t="s">
        <v>865</v>
      </c>
      <c r="C604" s="10">
        <v>3092</v>
      </c>
      <c r="D604" s="10" t="s">
        <v>952</v>
      </c>
      <c r="E604" s="11">
        <v>2625</v>
      </c>
      <c r="F604" s="11">
        <v>3016</v>
      </c>
      <c r="G604" s="11">
        <v>5641</v>
      </c>
      <c r="H604" s="11">
        <v>3088</v>
      </c>
    </row>
    <row r="605" spans="1:8" x14ac:dyDescent="0.2">
      <c r="A605" s="10">
        <v>30</v>
      </c>
      <c r="B605" s="10" t="s">
        <v>865</v>
      </c>
      <c r="C605" s="10">
        <v>3093</v>
      </c>
      <c r="D605" s="10" t="s">
        <v>953</v>
      </c>
      <c r="E605" s="11">
        <v>2836</v>
      </c>
      <c r="F605" s="11">
        <v>3166</v>
      </c>
      <c r="G605" s="11">
        <v>6002</v>
      </c>
      <c r="H605" s="11">
        <v>2511</v>
      </c>
    </row>
    <row r="606" spans="1:8" x14ac:dyDescent="0.2">
      <c r="A606" s="10">
        <v>30</v>
      </c>
      <c r="B606" s="10" t="s">
        <v>865</v>
      </c>
      <c r="C606" s="10">
        <v>3094</v>
      </c>
      <c r="D606" s="10" t="s">
        <v>954</v>
      </c>
      <c r="E606" s="11">
        <v>8412</v>
      </c>
      <c r="F606" s="11">
        <v>8782</v>
      </c>
      <c r="G606" s="11">
        <v>17194</v>
      </c>
      <c r="H606" s="11">
        <v>10395</v>
      </c>
    </row>
    <row r="607" spans="1:8" x14ac:dyDescent="0.2">
      <c r="A607" s="10">
        <v>30</v>
      </c>
      <c r="B607" s="10" t="s">
        <v>865</v>
      </c>
      <c r="C607" s="10">
        <v>3095</v>
      </c>
      <c r="D607" s="10" t="s">
        <v>955</v>
      </c>
      <c r="E607" s="11">
        <v>3215</v>
      </c>
      <c r="F607" s="11">
        <v>3745</v>
      </c>
      <c r="G607" s="11">
        <v>6960</v>
      </c>
      <c r="H607" s="11">
        <v>4784</v>
      </c>
    </row>
    <row r="608" spans="1:8" x14ac:dyDescent="0.2">
      <c r="A608" s="10">
        <v>30</v>
      </c>
      <c r="B608" s="10" t="s">
        <v>865</v>
      </c>
      <c r="C608" s="10">
        <v>3096</v>
      </c>
      <c r="D608" s="10" t="s">
        <v>956</v>
      </c>
      <c r="E608" s="11">
        <v>4472</v>
      </c>
      <c r="F608" s="11">
        <v>4817</v>
      </c>
      <c r="G608" s="11">
        <v>9289</v>
      </c>
      <c r="H608" s="11">
        <v>4176</v>
      </c>
    </row>
    <row r="609" spans="1:8" x14ac:dyDescent="0.2">
      <c r="A609" s="10">
        <v>30</v>
      </c>
      <c r="B609" s="10" t="s">
        <v>865</v>
      </c>
      <c r="C609" s="10">
        <v>3097</v>
      </c>
      <c r="D609" s="10" t="s">
        <v>957</v>
      </c>
      <c r="E609" s="11">
        <v>6207</v>
      </c>
      <c r="F609" s="11">
        <v>6813</v>
      </c>
      <c r="G609" s="11">
        <v>13020</v>
      </c>
      <c r="H609" s="11">
        <v>7403</v>
      </c>
    </row>
    <row r="610" spans="1:8" x14ac:dyDescent="0.2">
      <c r="A610" s="10">
        <v>30</v>
      </c>
      <c r="B610" s="10" t="s">
        <v>865</v>
      </c>
      <c r="C610" s="10">
        <v>3098</v>
      </c>
      <c r="D610" s="10" t="s">
        <v>958</v>
      </c>
      <c r="E610" s="11">
        <v>15025</v>
      </c>
      <c r="F610" s="11">
        <v>16995</v>
      </c>
      <c r="G610" s="11">
        <v>32020</v>
      </c>
      <c r="H610" s="11">
        <v>19408</v>
      </c>
    </row>
    <row r="611" spans="1:8" x14ac:dyDescent="0.2">
      <c r="A611" s="10">
        <v>30</v>
      </c>
      <c r="B611" s="10" t="s">
        <v>865</v>
      </c>
      <c r="C611" s="10">
        <v>3099</v>
      </c>
      <c r="D611" s="10" t="s">
        <v>959</v>
      </c>
      <c r="E611" s="11">
        <v>52544</v>
      </c>
      <c r="F611" s="11">
        <v>60640</v>
      </c>
      <c r="G611" s="11">
        <v>113184</v>
      </c>
      <c r="H611" s="11">
        <v>73265</v>
      </c>
    </row>
    <row r="612" spans="1:8" x14ac:dyDescent="0.2">
      <c r="A612" s="10">
        <v>31</v>
      </c>
      <c r="B612" s="10" t="s">
        <v>960</v>
      </c>
      <c r="C612" s="10">
        <v>3101</v>
      </c>
      <c r="D612" s="10" t="s">
        <v>961</v>
      </c>
      <c r="E612" s="11">
        <v>83803</v>
      </c>
      <c r="F612" s="11">
        <v>86137</v>
      </c>
      <c r="G612" s="11">
        <v>169940</v>
      </c>
      <c r="H612" s="11">
        <v>53568</v>
      </c>
    </row>
    <row r="613" spans="1:8" x14ac:dyDescent="0.2">
      <c r="A613" s="10">
        <v>31</v>
      </c>
      <c r="B613" s="10" t="s">
        <v>960</v>
      </c>
      <c r="C613" s="10">
        <v>3102</v>
      </c>
      <c r="D613" s="10" t="s">
        <v>962</v>
      </c>
      <c r="E613" s="11">
        <v>29318</v>
      </c>
      <c r="F613" s="11">
        <v>29279</v>
      </c>
      <c r="G613" s="11">
        <v>58597</v>
      </c>
      <c r="H613" s="11">
        <v>16997</v>
      </c>
    </row>
    <row r="614" spans="1:8" x14ac:dyDescent="0.2">
      <c r="A614" s="10">
        <v>31</v>
      </c>
      <c r="B614" s="10" t="s">
        <v>960</v>
      </c>
      <c r="C614" s="10">
        <v>3103</v>
      </c>
      <c r="D614" s="10" t="s">
        <v>963</v>
      </c>
      <c r="E614" s="11">
        <v>49754</v>
      </c>
      <c r="F614" s="11">
        <v>50951</v>
      </c>
      <c r="G614" s="11">
        <v>100705</v>
      </c>
      <c r="H614" s="11">
        <v>27512</v>
      </c>
    </row>
    <row r="615" spans="1:8" x14ac:dyDescent="0.2">
      <c r="A615" s="10">
        <v>31</v>
      </c>
      <c r="B615" s="10" t="s">
        <v>960</v>
      </c>
      <c r="C615" s="10">
        <v>3104</v>
      </c>
      <c r="D615" s="10" t="s">
        <v>964</v>
      </c>
      <c r="E615" s="11">
        <v>45649</v>
      </c>
      <c r="F615" s="11">
        <v>47137</v>
      </c>
      <c r="G615" s="11">
        <v>92786</v>
      </c>
      <c r="H615" s="11">
        <v>27856</v>
      </c>
    </row>
    <row r="616" spans="1:8" x14ac:dyDescent="0.2">
      <c r="A616" s="10">
        <v>31</v>
      </c>
      <c r="B616" s="10" t="s">
        <v>960</v>
      </c>
      <c r="C616" s="10">
        <v>3105</v>
      </c>
      <c r="D616" s="10" t="s">
        <v>965</v>
      </c>
      <c r="E616" s="11">
        <v>28659</v>
      </c>
      <c r="F616" s="11">
        <v>28443</v>
      </c>
      <c r="G616" s="11">
        <v>57102</v>
      </c>
      <c r="H616" s="11">
        <v>16177</v>
      </c>
    </row>
    <row r="617" spans="1:8" x14ac:dyDescent="0.2">
      <c r="A617" s="10">
        <v>31</v>
      </c>
      <c r="B617" s="10" t="s">
        <v>960</v>
      </c>
      <c r="C617" s="10">
        <v>3106</v>
      </c>
      <c r="D617" s="10" t="s">
        <v>966</v>
      </c>
      <c r="E617" s="11">
        <v>9654</v>
      </c>
      <c r="F617" s="11">
        <v>9699</v>
      </c>
      <c r="G617" s="11">
        <v>19353</v>
      </c>
      <c r="H617" s="11">
        <v>6099</v>
      </c>
    </row>
    <row r="618" spans="1:8" x14ac:dyDescent="0.2">
      <c r="A618" s="10">
        <v>31</v>
      </c>
      <c r="B618" s="10" t="s">
        <v>960</v>
      </c>
      <c r="C618" s="10">
        <v>3107</v>
      </c>
      <c r="D618" s="10" t="s">
        <v>967</v>
      </c>
      <c r="E618" s="11">
        <v>61874</v>
      </c>
      <c r="F618" s="11">
        <v>62752</v>
      </c>
      <c r="G618" s="11">
        <v>124626</v>
      </c>
      <c r="H618" s="11">
        <v>38673</v>
      </c>
    </row>
    <row r="619" spans="1:8" x14ac:dyDescent="0.2">
      <c r="A619" s="10">
        <v>31</v>
      </c>
      <c r="B619" s="10" t="s">
        <v>960</v>
      </c>
      <c r="C619" s="10">
        <v>3108</v>
      </c>
      <c r="D619" s="10" t="s">
        <v>968</v>
      </c>
      <c r="E619" s="11">
        <v>20318</v>
      </c>
      <c r="F619" s="11">
        <v>20503</v>
      </c>
      <c r="G619" s="11">
        <v>40821</v>
      </c>
      <c r="H619" s="11">
        <v>11926</v>
      </c>
    </row>
    <row r="620" spans="1:8" x14ac:dyDescent="0.2">
      <c r="A620" s="10">
        <v>31</v>
      </c>
      <c r="B620" s="10" t="s">
        <v>960</v>
      </c>
      <c r="C620" s="10">
        <v>3109</v>
      </c>
      <c r="D620" s="10" t="s">
        <v>969</v>
      </c>
      <c r="E620" s="11">
        <v>19972</v>
      </c>
      <c r="F620" s="11">
        <v>20979</v>
      </c>
      <c r="G620" s="11">
        <v>40951</v>
      </c>
      <c r="H620" s="11">
        <v>12887</v>
      </c>
    </row>
    <row r="621" spans="1:8" x14ac:dyDescent="0.2">
      <c r="A621" s="10">
        <v>31</v>
      </c>
      <c r="B621" s="10" t="s">
        <v>960</v>
      </c>
      <c r="C621" s="10">
        <v>3110</v>
      </c>
      <c r="D621" s="10" t="s">
        <v>970</v>
      </c>
      <c r="E621" s="11">
        <v>56431</v>
      </c>
      <c r="F621" s="11">
        <v>56820</v>
      </c>
      <c r="G621" s="11">
        <v>113251</v>
      </c>
      <c r="H621" s="11">
        <v>32571</v>
      </c>
    </row>
    <row r="622" spans="1:8" x14ac:dyDescent="0.2">
      <c r="A622" s="10">
        <v>31</v>
      </c>
      <c r="B622" s="10" t="s">
        <v>960</v>
      </c>
      <c r="C622" s="10">
        <v>3111</v>
      </c>
      <c r="D622" s="10" t="s">
        <v>971</v>
      </c>
      <c r="E622" s="11">
        <v>48724</v>
      </c>
      <c r="F622" s="11">
        <v>49075</v>
      </c>
      <c r="G622" s="11">
        <v>97799</v>
      </c>
      <c r="H622" s="11">
        <v>28402</v>
      </c>
    </row>
    <row r="623" spans="1:8" x14ac:dyDescent="0.2">
      <c r="A623" s="10">
        <v>31</v>
      </c>
      <c r="B623" s="10" t="s">
        <v>960</v>
      </c>
      <c r="C623" s="10">
        <v>3112</v>
      </c>
      <c r="D623" s="10" t="s">
        <v>972</v>
      </c>
      <c r="E623" s="11">
        <v>19033</v>
      </c>
      <c r="F623" s="11">
        <v>18954</v>
      </c>
      <c r="G623" s="11">
        <v>37987</v>
      </c>
      <c r="H623" s="11">
        <v>12268</v>
      </c>
    </row>
    <row r="624" spans="1:8" x14ac:dyDescent="0.2">
      <c r="A624" s="10">
        <v>31</v>
      </c>
      <c r="B624" s="10" t="s">
        <v>960</v>
      </c>
      <c r="C624" s="10">
        <v>3113</v>
      </c>
      <c r="D624" s="10" t="s">
        <v>973</v>
      </c>
      <c r="E624" s="11">
        <v>13722</v>
      </c>
      <c r="F624" s="11">
        <v>14206</v>
      </c>
      <c r="G624" s="11">
        <v>27928</v>
      </c>
      <c r="H624" s="11">
        <v>8289</v>
      </c>
    </row>
    <row r="625" spans="1:8" x14ac:dyDescent="0.2">
      <c r="A625" s="10">
        <v>31</v>
      </c>
      <c r="B625" s="10" t="s">
        <v>960</v>
      </c>
      <c r="C625" s="10">
        <v>3114</v>
      </c>
      <c r="D625" s="10" t="s">
        <v>974</v>
      </c>
      <c r="E625" s="11">
        <v>17663</v>
      </c>
      <c r="F625" s="11">
        <v>17493</v>
      </c>
      <c r="G625" s="11">
        <v>35156</v>
      </c>
      <c r="H625" s="11">
        <v>9778</v>
      </c>
    </row>
    <row r="626" spans="1:8" x14ac:dyDescent="0.2">
      <c r="A626" s="10">
        <v>31</v>
      </c>
      <c r="B626" s="10" t="s">
        <v>960</v>
      </c>
      <c r="C626" s="10">
        <v>3115</v>
      </c>
      <c r="D626" s="10" t="s">
        <v>975</v>
      </c>
      <c r="E626" s="11">
        <v>14032</v>
      </c>
      <c r="F626" s="11">
        <v>13722</v>
      </c>
      <c r="G626" s="11">
        <v>27754</v>
      </c>
      <c r="H626" s="11">
        <v>7589</v>
      </c>
    </row>
    <row r="627" spans="1:8" x14ac:dyDescent="0.2">
      <c r="A627" s="10">
        <v>31</v>
      </c>
      <c r="B627" s="10" t="s">
        <v>960</v>
      </c>
      <c r="C627" s="10">
        <v>3116</v>
      </c>
      <c r="D627" s="10" t="s">
        <v>976</v>
      </c>
      <c r="E627" s="11">
        <v>16032</v>
      </c>
      <c r="F627" s="11">
        <v>16324</v>
      </c>
      <c r="G627" s="11">
        <v>32356</v>
      </c>
      <c r="H627" s="11">
        <v>8675</v>
      </c>
    </row>
    <row r="628" spans="1:8" x14ac:dyDescent="0.2">
      <c r="A628" s="10">
        <v>31</v>
      </c>
      <c r="B628" s="10" t="s">
        <v>960</v>
      </c>
      <c r="C628" s="10">
        <v>3117</v>
      </c>
      <c r="D628" s="10" t="s">
        <v>977</v>
      </c>
      <c r="E628" s="11">
        <v>10899</v>
      </c>
      <c r="F628" s="11">
        <v>10916</v>
      </c>
      <c r="G628" s="11">
        <v>21815</v>
      </c>
      <c r="H628" s="11">
        <v>6706</v>
      </c>
    </row>
    <row r="629" spans="1:8" x14ac:dyDescent="0.2">
      <c r="A629" s="10">
        <v>31</v>
      </c>
      <c r="B629" s="10" t="s">
        <v>960</v>
      </c>
      <c r="C629" s="10">
        <v>3118</v>
      </c>
      <c r="D629" s="10" t="s">
        <v>978</v>
      </c>
      <c r="E629" s="11">
        <v>17457</v>
      </c>
      <c r="F629" s="11">
        <v>17614</v>
      </c>
      <c r="G629" s="11">
        <v>35071</v>
      </c>
      <c r="H629" s="11">
        <v>9561</v>
      </c>
    </row>
    <row r="630" spans="1:8" x14ac:dyDescent="0.2">
      <c r="A630" s="10">
        <v>31</v>
      </c>
      <c r="B630" s="10" t="s">
        <v>960</v>
      </c>
      <c r="C630" s="10">
        <v>3119</v>
      </c>
      <c r="D630" s="10" t="s">
        <v>979</v>
      </c>
      <c r="E630" s="11">
        <v>10671</v>
      </c>
      <c r="F630" s="11">
        <v>10998</v>
      </c>
      <c r="G630" s="11">
        <v>21669</v>
      </c>
      <c r="H630" s="11">
        <v>6364</v>
      </c>
    </row>
    <row r="631" spans="1:8" x14ac:dyDescent="0.2">
      <c r="A631" s="10">
        <v>31</v>
      </c>
      <c r="B631" s="10" t="s">
        <v>960</v>
      </c>
      <c r="C631" s="10">
        <v>3120</v>
      </c>
      <c r="D631" s="10" t="s">
        <v>980</v>
      </c>
      <c r="E631" s="11">
        <v>9334</v>
      </c>
      <c r="F631" s="11">
        <v>9288</v>
      </c>
      <c r="G631" s="11">
        <v>18622</v>
      </c>
      <c r="H631" s="11">
        <v>5981</v>
      </c>
    </row>
    <row r="632" spans="1:8" x14ac:dyDescent="0.2">
      <c r="A632" s="10">
        <v>31</v>
      </c>
      <c r="B632" s="10" t="s">
        <v>960</v>
      </c>
      <c r="C632" s="10">
        <v>3121</v>
      </c>
      <c r="D632" s="10" t="s">
        <v>981</v>
      </c>
      <c r="E632" s="11">
        <v>9147</v>
      </c>
      <c r="F632" s="11">
        <v>9473</v>
      </c>
      <c r="G632" s="11">
        <v>18620</v>
      </c>
      <c r="H632" s="11">
        <v>4828</v>
      </c>
    </row>
    <row r="633" spans="1:8" x14ac:dyDescent="0.2">
      <c r="A633" s="10">
        <v>31</v>
      </c>
      <c r="B633" s="10" t="s">
        <v>960</v>
      </c>
      <c r="C633" s="10">
        <v>3122</v>
      </c>
      <c r="D633" s="10" t="s">
        <v>982</v>
      </c>
      <c r="E633" s="11">
        <v>13207</v>
      </c>
      <c r="F633" s="11">
        <v>13437</v>
      </c>
      <c r="G633" s="11">
        <v>26644</v>
      </c>
      <c r="H633" s="11">
        <v>7668</v>
      </c>
    </row>
    <row r="634" spans="1:8" x14ac:dyDescent="0.2">
      <c r="A634" s="10">
        <v>31</v>
      </c>
      <c r="B634" s="10" t="s">
        <v>960</v>
      </c>
      <c r="C634" s="10">
        <v>3123</v>
      </c>
      <c r="D634" s="10" t="s">
        <v>615</v>
      </c>
      <c r="E634" s="11">
        <v>5997</v>
      </c>
      <c r="F634" s="11">
        <v>6036</v>
      </c>
      <c r="G634" s="11">
        <v>12033</v>
      </c>
      <c r="H634" s="11">
        <v>3697</v>
      </c>
    </row>
    <row r="635" spans="1:8" x14ac:dyDescent="0.2">
      <c r="A635" s="10">
        <v>31</v>
      </c>
      <c r="B635" s="10" t="s">
        <v>960</v>
      </c>
      <c r="C635" s="10">
        <v>3162</v>
      </c>
      <c r="D635" s="10" t="s">
        <v>983</v>
      </c>
      <c r="E635" s="11">
        <v>5139</v>
      </c>
      <c r="F635" s="11">
        <v>5248</v>
      </c>
      <c r="G635" s="11">
        <v>10387</v>
      </c>
      <c r="H635" s="11">
        <v>3072</v>
      </c>
    </row>
    <row r="636" spans="1:8" x14ac:dyDescent="0.2">
      <c r="A636" s="10">
        <v>31</v>
      </c>
      <c r="B636" s="10" t="s">
        <v>960</v>
      </c>
      <c r="C636" s="10">
        <v>3163</v>
      </c>
      <c r="D636" s="10" t="s">
        <v>984</v>
      </c>
      <c r="E636" s="11">
        <v>4815</v>
      </c>
      <c r="F636" s="11">
        <v>4908</v>
      </c>
      <c r="G636" s="11">
        <v>9723</v>
      </c>
      <c r="H636" s="11">
        <v>2828</v>
      </c>
    </row>
    <row r="637" spans="1:8" x14ac:dyDescent="0.2">
      <c r="A637" s="10">
        <v>31</v>
      </c>
      <c r="B637" s="10" t="s">
        <v>960</v>
      </c>
      <c r="C637" s="10">
        <v>3164</v>
      </c>
      <c r="D637" s="10" t="s">
        <v>985</v>
      </c>
      <c r="E637" s="11">
        <v>6284</v>
      </c>
      <c r="F637" s="11">
        <v>6268</v>
      </c>
      <c r="G637" s="11">
        <v>12552</v>
      </c>
      <c r="H637" s="11">
        <v>3912</v>
      </c>
    </row>
    <row r="638" spans="1:8" x14ac:dyDescent="0.2">
      <c r="A638" s="10">
        <v>31</v>
      </c>
      <c r="B638" s="10" t="s">
        <v>960</v>
      </c>
      <c r="C638" s="10">
        <v>3165</v>
      </c>
      <c r="D638" s="10" t="s">
        <v>986</v>
      </c>
      <c r="E638" s="11">
        <v>3879</v>
      </c>
      <c r="F638" s="11">
        <v>3953</v>
      </c>
      <c r="G638" s="11">
        <v>7832</v>
      </c>
      <c r="H638" s="11">
        <v>2513</v>
      </c>
    </row>
    <row r="639" spans="1:8" x14ac:dyDescent="0.2">
      <c r="A639" s="10">
        <v>31</v>
      </c>
      <c r="B639" s="10" t="s">
        <v>960</v>
      </c>
      <c r="C639" s="10">
        <v>3166</v>
      </c>
      <c r="D639" s="10" t="s">
        <v>987</v>
      </c>
      <c r="E639" s="11">
        <v>8416</v>
      </c>
      <c r="F639" s="11">
        <v>8339</v>
      </c>
      <c r="G639" s="11">
        <v>16755</v>
      </c>
      <c r="H639" s="11">
        <v>4408</v>
      </c>
    </row>
    <row r="640" spans="1:8" x14ac:dyDescent="0.2">
      <c r="A640" s="10">
        <v>31</v>
      </c>
      <c r="B640" s="10" t="s">
        <v>960</v>
      </c>
      <c r="C640" s="10">
        <v>3167</v>
      </c>
      <c r="D640" s="10" t="s">
        <v>988</v>
      </c>
      <c r="E640" s="11">
        <v>5062</v>
      </c>
      <c r="F640" s="11">
        <v>5035</v>
      </c>
      <c r="G640" s="11">
        <v>10097</v>
      </c>
      <c r="H640" s="11">
        <v>3041</v>
      </c>
    </row>
    <row r="641" spans="1:8" x14ac:dyDescent="0.2">
      <c r="A641" s="10">
        <v>31</v>
      </c>
      <c r="B641" s="10" t="s">
        <v>960</v>
      </c>
      <c r="C641" s="10">
        <v>3168</v>
      </c>
      <c r="D641" s="10" t="s">
        <v>989</v>
      </c>
      <c r="E641" s="11">
        <v>4691</v>
      </c>
      <c r="F641" s="11">
        <v>4696</v>
      </c>
      <c r="G641" s="11">
        <v>9387</v>
      </c>
      <c r="H641" s="11">
        <v>2848</v>
      </c>
    </row>
    <row r="642" spans="1:8" x14ac:dyDescent="0.2">
      <c r="A642" s="10">
        <v>31</v>
      </c>
      <c r="B642" s="10" t="s">
        <v>960</v>
      </c>
      <c r="C642" s="10">
        <v>3169</v>
      </c>
      <c r="D642" s="10" t="s">
        <v>990</v>
      </c>
      <c r="E642" s="11">
        <v>5857</v>
      </c>
      <c r="F642" s="11">
        <v>6044</v>
      </c>
      <c r="G642" s="11">
        <v>11901</v>
      </c>
      <c r="H642" s="11">
        <v>3487</v>
      </c>
    </row>
    <row r="643" spans="1:8" x14ac:dyDescent="0.2">
      <c r="A643" s="10">
        <v>31</v>
      </c>
      <c r="B643" s="10" t="s">
        <v>960</v>
      </c>
      <c r="C643" s="10">
        <v>3170</v>
      </c>
      <c r="D643" s="10" t="s">
        <v>991</v>
      </c>
      <c r="E643" s="11">
        <v>3765</v>
      </c>
      <c r="F643" s="11">
        <v>3825</v>
      </c>
      <c r="G643" s="11">
        <v>7590</v>
      </c>
      <c r="H643" s="11">
        <v>2274</v>
      </c>
    </row>
    <row r="644" spans="1:8" x14ac:dyDescent="0.2">
      <c r="A644" s="10">
        <v>31</v>
      </c>
      <c r="B644" s="10" t="s">
        <v>960</v>
      </c>
      <c r="C644" s="10">
        <v>3171</v>
      </c>
      <c r="D644" s="10" t="s">
        <v>992</v>
      </c>
      <c r="E644" s="11">
        <v>4318</v>
      </c>
      <c r="F644" s="11">
        <v>4255</v>
      </c>
      <c r="G644" s="11">
        <v>8573</v>
      </c>
      <c r="H644" s="11">
        <v>2437</v>
      </c>
    </row>
    <row r="645" spans="1:8" x14ac:dyDescent="0.2">
      <c r="A645" s="10">
        <v>31</v>
      </c>
      <c r="B645" s="10" t="s">
        <v>960</v>
      </c>
      <c r="C645" s="10">
        <v>3174</v>
      </c>
      <c r="D645" s="10" t="s">
        <v>993</v>
      </c>
      <c r="E645" s="11">
        <v>1678</v>
      </c>
      <c r="F645" s="11">
        <v>1704</v>
      </c>
      <c r="G645" s="11">
        <v>3382</v>
      </c>
      <c r="H645" s="11">
        <v>1377</v>
      </c>
    </row>
    <row r="646" spans="1:8" x14ac:dyDescent="0.2">
      <c r="A646" s="10">
        <v>31</v>
      </c>
      <c r="B646" s="10" t="s">
        <v>960</v>
      </c>
      <c r="C646" s="10">
        <v>3175</v>
      </c>
      <c r="D646" s="10" t="s">
        <v>994</v>
      </c>
      <c r="E646" s="11">
        <v>8337</v>
      </c>
      <c r="F646" s="11">
        <v>8229</v>
      </c>
      <c r="G646" s="11">
        <v>16566</v>
      </c>
      <c r="H646" s="11">
        <v>4508</v>
      </c>
    </row>
    <row r="647" spans="1:8" x14ac:dyDescent="0.2">
      <c r="A647" s="10">
        <v>31</v>
      </c>
      <c r="B647" s="10" t="s">
        <v>960</v>
      </c>
      <c r="C647" s="10">
        <v>3176</v>
      </c>
      <c r="D647" s="10" t="s">
        <v>995</v>
      </c>
      <c r="E647" s="11">
        <v>5560</v>
      </c>
      <c r="F647" s="11">
        <v>5978</v>
      </c>
      <c r="G647" s="11">
        <v>11538</v>
      </c>
      <c r="H647" s="11">
        <v>4047</v>
      </c>
    </row>
    <row r="648" spans="1:8" x14ac:dyDescent="0.2">
      <c r="A648" s="10">
        <v>31</v>
      </c>
      <c r="B648" s="10" t="s">
        <v>960</v>
      </c>
      <c r="C648" s="10">
        <v>3177</v>
      </c>
      <c r="D648" s="10" t="s">
        <v>996</v>
      </c>
      <c r="E648" s="11">
        <v>2668</v>
      </c>
      <c r="F648" s="11">
        <v>2737</v>
      </c>
      <c r="G648" s="11">
        <v>5405</v>
      </c>
      <c r="H648" s="11">
        <v>2051</v>
      </c>
    </row>
    <row r="649" spans="1:8" x14ac:dyDescent="0.2">
      <c r="A649" s="10">
        <v>31</v>
      </c>
      <c r="B649" s="10" t="s">
        <v>960</v>
      </c>
      <c r="C649" s="10">
        <v>3178</v>
      </c>
      <c r="D649" s="10" t="s">
        <v>997</v>
      </c>
      <c r="E649" s="11">
        <v>4504</v>
      </c>
      <c r="F649" s="11">
        <v>4668</v>
      </c>
      <c r="G649" s="11">
        <v>9172</v>
      </c>
      <c r="H649" s="11">
        <v>3727</v>
      </c>
    </row>
    <row r="650" spans="1:8" x14ac:dyDescent="0.2">
      <c r="A650" s="10">
        <v>31</v>
      </c>
      <c r="B650" s="10" t="s">
        <v>960</v>
      </c>
      <c r="C650" s="10">
        <v>3179</v>
      </c>
      <c r="D650" s="10" t="s">
        <v>998</v>
      </c>
      <c r="E650" s="11">
        <v>2054</v>
      </c>
      <c r="F650" s="11">
        <v>2155</v>
      </c>
      <c r="G650" s="11">
        <v>4209</v>
      </c>
      <c r="H650" s="11">
        <v>1478</v>
      </c>
    </row>
    <row r="651" spans="1:8" x14ac:dyDescent="0.2">
      <c r="A651" s="10">
        <v>31</v>
      </c>
      <c r="B651" s="10" t="s">
        <v>960</v>
      </c>
      <c r="C651" s="10">
        <v>3180</v>
      </c>
      <c r="D651" s="10" t="s">
        <v>999</v>
      </c>
      <c r="E651" s="11">
        <v>1572</v>
      </c>
      <c r="F651" s="11">
        <v>1643</v>
      </c>
      <c r="G651" s="11">
        <v>3215</v>
      </c>
      <c r="H651" s="11">
        <v>1111</v>
      </c>
    </row>
    <row r="652" spans="1:8" x14ac:dyDescent="0.2">
      <c r="A652" s="10">
        <v>31</v>
      </c>
      <c r="B652" s="10" t="s">
        <v>960</v>
      </c>
      <c r="C652" s="10">
        <v>3181</v>
      </c>
      <c r="D652" s="10" t="s">
        <v>1000</v>
      </c>
      <c r="E652" s="11">
        <v>2445</v>
      </c>
      <c r="F652" s="11">
        <v>2555</v>
      </c>
      <c r="G652" s="11">
        <v>5000</v>
      </c>
      <c r="H652" s="11">
        <v>1486</v>
      </c>
    </row>
    <row r="653" spans="1:8" x14ac:dyDescent="0.2">
      <c r="A653" s="10">
        <v>31</v>
      </c>
      <c r="B653" s="10" t="s">
        <v>960</v>
      </c>
      <c r="C653" s="10">
        <v>3182</v>
      </c>
      <c r="D653" s="10" t="s">
        <v>1001</v>
      </c>
      <c r="E653" s="11">
        <v>3329</v>
      </c>
      <c r="F653" s="11">
        <v>3293</v>
      </c>
      <c r="G653" s="11">
        <v>6622</v>
      </c>
      <c r="H653" s="11">
        <v>2082</v>
      </c>
    </row>
    <row r="654" spans="1:8" x14ac:dyDescent="0.2">
      <c r="A654" s="10">
        <v>31</v>
      </c>
      <c r="B654" s="10" t="s">
        <v>960</v>
      </c>
      <c r="C654" s="10">
        <v>3183</v>
      </c>
      <c r="D654" s="10" t="s">
        <v>1002</v>
      </c>
      <c r="E654" s="11">
        <v>2316</v>
      </c>
      <c r="F654" s="11">
        <v>2354</v>
      </c>
      <c r="G654" s="11">
        <v>4670</v>
      </c>
      <c r="H654" s="11">
        <v>1842</v>
      </c>
    </row>
    <row r="655" spans="1:8" x14ac:dyDescent="0.2">
      <c r="A655" s="10">
        <v>31</v>
      </c>
      <c r="B655" s="10" t="s">
        <v>960</v>
      </c>
      <c r="C655" s="10">
        <v>3184</v>
      </c>
      <c r="D655" s="10" t="s">
        <v>1003</v>
      </c>
      <c r="E655" s="11">
        <v>1715</v>
      </c>
      <c r="F655" s="11">
        <v>1899</v>
      </c>
      <c r="G655" s="11">
        <v>3614</v>
      </c>
      <c r="H655" s="11">
        <v>1739</v>
      </c>
    </row>
    <row r="656" spans="1:8" x14ac:dyDescent="0.2">
      <c r="A656" s="10">
        <v>31</v>
      </c>
      <c r="B656" s="10" t="s">
        <v>960</v>
      </c>
      <c r="C656" s="10">
        <v>3185</v>
      </c>
      <c r="D656" s="10" t="s">
        <v>1004</v>
      </c>
      <c r="E656" s="11">
        <v>3477</v>
      </c>
      <c r="F656" s="11">
        <v>3621</v>
      </c>
      <c r="G656" s="11">
        <v>7098</v>
      </c>
      <c r="H656" s="11">
        <v>2951</v>
      </c>
    </row>
    <row r="657" spans="1:8" x14ac:dyDescent="0.2">
      <c r="A657" s="10">
        <v>31</v>
      </c>
      <c r="B657" s="10" t="s">
        <v>960</v>
      </c>
      <c r="C657" s="10">
        <v>3186</v>
      </c>
      <c r="D657" s="10" t="s">
        <v>1005</v>
      </c>
      <c r="E657" s="11">
        <v>5152</v>
      </c>
      <c r="F657" s="11">
        <v>5570</v>
      </c>
      <c r="G657" s="11">
        <v>10722</v>
      </c>
      <c r="H657" s="11">
        <v>5827</v>
      </c>
    </row>
    <row r="658" spans="1:8" x14ac:dyDescent="0.2">
      <c r="A658" s="10">
        <v>31</v>
      </c>
      <c r="B658" s="10" t="s">
        <v>960</v>
      </c>
      <c r="C658" s="10">
        <v>3187</v>
      </c>
      <c r="D658" s="10" t="s">
        <v>1006</v>
      </c>
      <c r="E658" s="11">
        <v>6159</v>
      </c>
      <c r="F658" s="11">
        <v>6764</v>
      </c>
      <c r="G658" s="11">
        <v>12923</v>
      </c>
      <c r="H658" s="11">
        <v>6432</v>
      </c>
    </row>
    <row r="659" spans="1:8" x14ac:dyDescent="0.2">
      <c r="A659" s="10">
        <v>31</v>
      </c>
      <c r="B659" s="10" t="s">
        <v>960</v>
      </c>
      <c r="C659" s="10">
        <v>3188</v>
      </c>
      <c r="D659" s="10" t="s">
        <v>1007</v>
      </c>
      <c r="E659" s="11">
        <v>2071</v>
      </c>
      <c r="F659" s="11">
        <v>2144</v>
      </c>
      <c r="G659" s="11">
        <v>4215</v>
      </c>
      <c r="H659" s="11">
        <v>1294</v>
      </c>
    </row>
    <row r="660" spans="1:8" x14ac:dyDescent="0.2">
      <c r="A660" s="10">
        <v>31</v>
      </c>
      <c r="B660" s="10" t="s">
        <v>960</v>
      </c>
      <c r="C660" s="10">
        <v>3189</v>
      </c>
      <c r="D660" s="10" t="s">
        <v>1008</v>
      </c>
      <c r="E660" s="11">
        <v>1915</v>
      </c>
      <c r="F660" s="11">
        <v>2138</v>
      </c>
      <c r="G660" s="11">
        <v>4053</v>
      </c>
      <c r="H660" s="11">
        <v>2340</v>
      </c>
    </row>
    <row r="661" spans="1:8" x14ac:dyDescent="0.2">
      <c r="A661" s="10">
        <v>31</v>
      </c>
      <c r="B661" s="10" t="s">
        <v>960</v>
      </c>
      <c r="C661" s="10">
        <v>3190</v>
      </c>
      <c r="D661" s="10" t="s">
        <v>1009</v>
      </c>
      <c r="E661" s="11">
        <v>1841</v>
      </c>
      <c r="F661" s="11">
        <v>1952</v>
      </c>
      <c r="G661" s="11">
        <v>3793</v>
      </c>
      <c r="H661" s="11">
        <v>2036</v>
      </c>
    </row>
    <row r="662" spans="1:8" x14ac:dyDescent="0.2">
      <c r="A662" s="10">
        <v>31</v>
      </c>
      <c r="B662" s="10" t="s">
        <v>960</v>
      </c>
      <c r="C662" s="10">
        <v>3191</v>
      </c>
      <c r="D662" s="10" t="s">
        <v>1010</v>
      </c>
      <c r="E662" s="11">
        <v>2372</v>
      </c>
      <c r="F662" s="11">
        <v>2428</v>
      </c>
      <c r="G662" s="11">
        <v>4800</v>
      </c>
      <c r="H662" s="11">
        <v>1849</v>
      </c>
    </row>
    <row r="663" spans="1:8" x14ac:dyDescent="0.2">
      <c r="A663" s="10">
        <v>31</v>
      </c>
      <c r="B663" s="10" t="s">
        <v>960</v>
      </c>
      <c r="C663" s="10">
        <v>3192</v>
      </c>
      <c r="D663" s="10" t="s">
        <v>1011</v>
      </c>
      <c r="E663" s="11">
        <v>4218</v>
      </c>
      <c r="F663" s="11">
        <v>4734</v>
      </c>
      <c r="G663" s="11">
        <v>8952</v>
      </c>
      <c r="H663" s="11">
        <v>4195</v>
      </c>
    </row>
    <row r="664" spans="1:8" x14ac:dyDescent="0.2">
      <c r="A664" s="10">
        <v>31</v>
      </c>
      <c r="B664" s="10" t="s">
        <v>960</v>
      </c>
      <c r="C664" s="10">
        <v>3193</v>
      </c>
      <c r="D664" s="10" t="s">
        <v>1012</v>
      </c>
      <c r="E664" s="11">
        <v>4094</v>
      </c>
      <c r="F664" s="11">
        <v>4113</v>
      </c>
      <c r="G664" s="11">
        <v>8207</v>
      </c>
      <c r="H664" s="11">
        <v>3647</v>
      </c>
    </row>
    <row r="665" spans="1:8" x14ac:dyDescent="0.2">
      <c r="A665" s="10">
        <v>31</v>
      </c>
      <c r="B665" s="10" t="s">
        <v>960</v>
      </c>
      <c r="C665" s="10">
        <v>3194</v>
      </c>
      <c r="D665" s="10" t="s">
        <v>1013</v>
      </c>
      <c r="E665" s="11">
        <v>4526</v>
      </c>
      <c r="F665" s="11">
        <v>4938</v>
      </c>
      <c r="G665" s="11">
        <v>9464</v>
      </c>
      <c r="H665" s="11">
        <v>4272</v>
      </c>
    </row>
    <row r="666" spans="1:8" x14ac:dyDescent="0.2">
      <c r="A666" s="10">
        <v>31</v>
      </c>
      <c r="B666" s="10" t="s">
        <v>960</v>
      </c>
      <c r="C666" s="10">
        <v>3195</v>
      </c>
      <c r="D666" s="10" t="s">
        <v>1014</v>
      </c>
      <c r="E666" s="11">
        <v>1516</v>
      </c>
      <c r="F666" s="11">
        <v>1720</v>
      </c>
      <c r="G666" s="11">
        <v>3236</v>
      </c>
      <c r="H666" s="11">
        <v>1867</v>
      </c>
    </row>
    <row r="667" spans="1:8" x14ac:dyDescent="0.2">
      <c r="A667" s="10">
        <v>31</v>
      </c>
      <c r="B667" s="10" t="s">
        <v>960</v>
      </c>
      <c r="C667" s="10">
        <v>3196</v>
      </c>
      <c r="D667" s="10" t="s">
        <v>1015</v>
      </c>
      <c r="E667" s="11">
        <v>2393</v>
      </c>
      <c r="F667" s="11">
        <v>2516</v>
      </c>
      <c r="G667" s="11">
        <v>4909</v>
      </c>
      <c r="H667" s="11">
        <v>1890</v>
      </c>
    </row>
    <row r="668" spans="1:8" x14ac:dyDescent="0.2">
      <c r="A668" s="10">
        <v>31</v>
      </c>
      <c r="B668" s="10" t="s">
        <v>960</v>
      </c>
      <c r="C668" s="10">
        <v>3197</v>
      </c>
      <c r="D668" s="10" t="s">
        <v>1016</v>
      </c>
      <c r="E668" s="11">
        <v>1784</v>
      </c>
      <c r="F668" s="11">
        <v>1787</v>
      </c>
      <c r="G668" s="11">
        <v>3571</v>
      </c>
      <c r="H668" s="11">
        <v>2087</v>
      </c>
    </row>
    <row r="669" spans="1:8" x14ac:dyDescent="0.2">
      <c r="A669" s="10">
        <v>31</v>
      </c>
      <c r="B669" s="10" t="s">
        <v>960</v>
      </c>
      <c r="C669" s="10">
        <v>3198</v>
      </c>
      <c r="D669" s="10" t="s">
        <v>1017</v>
      </c>
      <c r="E669" s="11">
        <v>9388</v>
      </c>
      <c r="F669" s="11">
        <v>10676</v>
      </c>
      <c r="G669" s="11">
        <v>20064</v>
      </c>
      <c r="H669" s="11">
        <v>11785</v>
      </c>
    </row>
    <row r="670" spans="1:8" x14ac:dyDescent="0.2">
      <c r="A670" s="10">
        <v>31</v>
      </c>
      <c r="B670" s="10" t="s">
        <v>960</v>
      </c>
      <c r="C670" s="10">
        <v>3199</v>
      </c>
      <c r="D670" s="10" t="s">
        <v>1018</v>
      </c>
      <c r="E670" s="11">
        <v>24570</v>
      </c>
      <c r="F670" s="11">
        <v>25955</v>
      </c>
      <c r="G670" s="11">
        <v>50525</v>
      </c>
      <c r="H670" s="11">
        <v>31454</v>
      </c>
    </row>
    <row r="671" spans="1:8" x14ac:dyDescent="0.2">
      <c r="A671" s="10">
        <v>32</v>
      </c>
      <c r="B671" s="10" t="s">
        <v>1019</v>
      </c>
      <c r="C671" s="10">
        <v>3201</v>
      </c>
      <c r="D671" s="10" t="s">
        <v>1020</v>
      </c>
      <c r="E671" s="11">
        <v>106979</v>
      </c>
      <c r="F671" s="11">
        <v>109808</v>
      </c>
      <c r="G671" s="11">
        <v>216787</v>
      </c>
      <c r="H671" s="11">
        <v>80692</v>
      </c>
    </row>
    <row r="672" spans="1:8" x14ac:dyDescent="0.2">
      <c r="A672" s="10">
        <v>32</v>
      </c>
      <c r="B672" s="10" t="s">
        <v>1019</v>
      </c>
      <c r="C672" s="10">
        <v>3202</v>
      </c>
      <c r="D672" s="10" t="s">
        <v>1021</v>
      </c>
      <c r="E672" s="11">
        <v>33812</v>
      </c>
      <c r="F672" s="11">
        <v>33858</v>
      </c>
      <c r="G672" s="11">
        <v>67670</v>
      </c>
      <c r="H672" s="11">
        <v>19556</v>
      </c>
    </row>
    <row r="673" spans="1:8" x14ac:dyDescent="0.2">
      <c r="A673" s="10">
        <v>32</v>
      </c>
      <c r="B673" s="10" t="s">
        <v>1019</v>
      </c>
      <c r="C673" s="10">
        <v>3203</v>
      </c>
      <c r="D673" s="10" t="s">
        <v>1022</v>
      </c>
      <c r="E673" s="11">
        <v>45042</v>
      </c>
      <c r="F673" s="11">
        <v>44937</v>
      </c>
      <c r="G673" s="11">
        <v>89979</v>
      </c>
      <c r="H673" s="11">
        <v>24470</v>
      </c>
    </row>
    <row r="674" spans="1:8" x14ac:dyDescent="0.2">
      <c r="A674" s="10">
        <v>32</v>
      </c>
      <c r="B674" s="10" t="s">
        <v>1019</v>
      </c>
      <c r="C674" s="10">
        <v>3204</v>
      </c>
      <c r="D674" s="10" t="s">
        <v>1023</v>
      </c>
      <c r="E674" s="11">
        <v>26848</v>
      </c>
      <c r="F674" s="11">
        <v>26867</v>
      </c>
      <c r="G674" s="11">
        <v>53715</v>
      </c>
      <c r="H674" s="11">
        <v>14571</v>
      </c>
    </row>
    <row r="675" spans="1:8" x14ac:dyDescent="0.2">
      <c r="A675" s="10">
        <v>32</v>
      </c>
      <c r="B675" s="10" t="s">
        <v>1019</v>
      </c>
      <c r="C675" s="10">
        <v>3205</v>
      </c>
      <c r="D675" s="10" t="s">
        <v>1024</v>
      </c>
      <c r="E675" s="11">
        <v>70602</v>
      </c>
      <c r="F675" s="11">
        <v>72527</v>
      </c>
      <c r="G675" s="11">
        <v>143129</v>
      </c>
      <c r="H675" s="11">
        <v>44228</v>
      </c>
    </row>
    <row r="676" spans="1:8" x14ac:dyDescent="0.2">
      <c r="A676" s="10">
        <v>32</v>
      </c>
      <c r="B676" s="10" t="s">
        <v>1019</v>
      </c>
      <c r="C676" s="10">
        <v>3206</v>
      </c>
      <c r="D676" s="10" t="s">
        <v>1025</v>
      </c>
      <c r="E676" s="11">
        <v>29880</v>
      </c>
      <c r="F676" s="11">
        <v>29740</v>
      </c>
      <c r="G676" s="11">
        <v>59620</v>
      </c>
      <c r="H676" s="11">
        <v>20001</v>
      </c>
    </row>
    <row r="677" spans="1:8" x14ac:dyDescent="0.2">
      <c r="A677" s="10">
        <v>32</v>
      </c>
      <c r="B677" s="10" t="s">
        <v>1019</v>
      </c>
      <c r="C677" s="10">
        <v>3207</v>
      </c>
      <c r="D677" s="10" t="s">
        <v>1026</v>
      </c>
      <c r="E677" s="11">
        <v>42715</v>
      </c>
      <c r="F677" s="11">
        <v>43096</v>
      </c>
      <c r="G677" s="11">
        <v>85811</v>
      </c>
      <c r="H677" s="11">
        <v>24077</v>
      </c>
    </row>
    <row r="678" spans="1:8" x14ac:dyDescent="0.2">
      <c r="A678" s="10">
        <v>32</v>
      </c>
      <c r="B678" s="10" t="s">
        <v>1019</v>
      </c>
      <c r="C678" s="10">
        <v>3208</v>
      </c>
      <c r="D678" s="10" t="s">
        <v>1027</v>
      </c>
      <c r="E678" s="11">
        <v>18980</v>
      </c>
      <c r="F678" s="11">
        <v>18779</v>
      </c>
      <c r="G678" s="11">
        <v>37759</v>
      </c>
      <c r="H678" s="11">
        <v>11213</v>
      </c>
    </row>
    <row r="679" spans="1:8" x14ac:dyDescent="0.2">
      <c r="A679" s="10">
        <v>32</v>
      </c>
      <c r="B679" s="10" t="s">
        <v>1019</v>
      </c>
      <c r="C679" s="10">
        <v>3209</v>
      </c>
      <c r="D679" s="10" t="s">
        <v>1028</v>
      </c>
      <c r="E679" s="11">
        <v>63779</v>
      </c>
      <c r="F679" s="11">
        <v>64598</v>
      </c>
      <c r="G679" s="11">
        <v>128377</v>
      </c>
      <c r="H679" s="11">
        <v>33821</v>
      </c>
    </row>
    <row r="680" spans="1:8" x14ac:dyDescent="0.2">
      <c r="A680" s="10">
        <v>32</v>
      </c>
      <c r="B680" s="10" t="s">
        <v>1019</v>
      </c>
      <c r="C680" s="10">
        <v>3210</v>
      </c>
      <c r="D680" s="10" t="s">
        <v>1029</v>
      </c>
      <c r="E680" s="11">
        <v>63268</v>
      </c>
      <c r="F680" s="11">
        <v>62984</v>
      </c>
      <c r="G680" s="11">
        <v>126252</v>
      </c>
      <c r="H680" s="11">
        <v>36330</v>
      </c>
    </row>
    <row r="681" spans="1:8" x14ac:dyDescent="0.2">
      <c r="A681" s="10">
        <v>32</v>
      </c>
      <c r="B681" s="10" t="s">
        <v>1019</v>
      </c>
      <c r="C681" s="10">
        <v>3211</v>
      </c>
      <c r="D681" s="10" t="s">
        <v>1030</v>
      </c>
      <c r="E681" s="11">
        <v>13282</v>
      </c>
      <c r="F681" s="11">
        <v>13264</v>
      </c>
      <c r="G681" s="11">
        <v>26546</v>
      </c>
      <c r="H681" s="11">
        <v>7353</v>
      </c>
    </row>
    <row r="682" spans="1:8" x14ac:dyDescent="0.2">
      <c r="A682" s="10">
        <v>32</v>
      </c>
      <c r="B682" s="10" t="s">
        <v>1019</v>
      </c>
      <c r="C682" s="10">
        <v>3212</v>
      </c>
      <c r="D682" s="10" t="s">
        <v>1031</v>
      </c>
      <c r="E682" s="11">
        <v>24836</v>
      </c>
      <c r="F682" s="11">
        <v>24824</v>
      </c>
      <c r="G682" s="11">
        <v>49660</v>
      </c>
      <c r="H682" s="11">
        <v>12255</v>
      </c>
    </row>
    <row r="683" spans="1:8" x14ac:dyDescent="0.2">
      <c r="A683" s="10">
        <v>32</v>
      </c>
      <c r="B683" s="10" t="s">
        <v>1019</v>
      </c>
      <c r="C683" s="10">
        <v>3213</v>
      </c>
      <c r="D683" s="10" t="s">
        <v>1032</v>
      </c>
      <c r="E683" s="11">
        <v>17724</v>
      </c>
      <c r="F683" s="11">
        <v>17164</v>
      </c>
      <c r="G683" s="11">
        <v>34888</v>
      </c>
      <c r="H683" s="11">
        <v>10269</v>
      </c>
    </row>
    <row r="684" spans="1:8" x14ac:dyDescent="0.2">
      <c r="A684" s="10">
        <v>32</v>
      </c>
      <c r="B684" s="10" t="s">
        <v>1019</v>
      </c>
      <c r="C684" s="10">
        <v>3214</v>
      </c>
      <c r="D684" s="10" t="s">
        <v>1033</v>
      </c>
      <c r="E684" s="11">
        <v>18927</v>
      </c>
      <c r="F684" s="11">
        <v>18610</v>
      </c>
      <c r="G684" s="11">
        <v>37537</v>
      </c>
      <c r="H684" s="11">
        <v>12707</v>
      </c>
    </row>
    <row r="685" spans="1:8" x14ac:dyDescent="0.2">
      <c r="A685" s="10">
        <v>32</v>
      </c>
      <c r="B685" s="10" t="s">
        <v>1019</v>
      </c>
      <c r="C685" s="10">
        <v>3215</v>
      </c>
      <c r="D685" s="10" t="s">
        <v>1034</v>
      </c>
      <c r="E685" s="11">
        <v>23261</v>
      </c>
      <c r="F685" s="11">
        <v>23039</v>
      </c>
      <c r="G685" s="11">
        <v>46300</v>
      </c>
      <c r="H685" s="11">
        <v>12103</v>
      </c>
    </row>
    <row r="686" spans="1:8" x14ac:dyDescent="0.2">
      <c r="A686" s="10">
        <v>32</v>
      </c>
      <c r="B686" s="10" t="s">
        <v>1019</v>
      </c>
      <c r="C686" s="10">
        <v>3216</v>
      </c>
      <c r="D686" s="10" t="s">
        <v>1035</v>
      </c>
      <c r="E686" s="11">
        <v>16615</v>
      </c>
      <c r="F686" s="11">
        <v>17030</v>
      </c>
      <c r="G686" s="11">
        <v>33645</v>
      </c>
      <c r="H686" s="11">
        <v>10444</v>
      </c>
    </row>
    <row r="687" spans="1:8" x14ac:dyDescent="0.2">
      <c r="A687" s="10">
        <v>32</v>
      </c>
      <c r="B687" s="10" t="s">
        <v>1019</v>
      </c>
      <c r="C687" s="10">
        <v>3217</v>
      </c>
      <c r="D687" s="10" t="s">
        <v>1036</v>
      </c>
      <c r="E687" s="11">
        <v>17133</v>
      </c>
      <c r="F687" s="11">
        <v>17286</v>
      </c>
      <c r="G687" s="11">
        <v>34419</v>
      </c>
      <c r="H687" s="11">
        <v>9065</v>
      </c>
    </row>
    <row r="688" spans="1:8" x14ac:dyDescent="0.2">
      <c r="A688" s="10">
        <v>32</v>
      </c>
      <c r="B688" s="10" t="s">
        <v>1019</v>
      </c>
      <c r="C688" s="10">
        <v>3286</v>
      </c>
      <c r="D688" s="10" t="s">
        <v>1037</v>
      </c>
      <c r="E688" s="11">
        <v>3159</v>
      </c>
      <c r="F688" s="11">
        <v>3279</v>
      </c>
      <c r="G688" s="11">
        <v>6438</v>
      </c>
      <c r="H688" s="11">
        <v>2513</v>
      </c>
    </row>
    <row r="689" spans="1:8" x14ac:dyDescent="0.2">
      <c r="A689" s="10">
        <v>32</v>
      </c>
      <c r="B689" s="10" t="s">
        <v>1019</v>
      </c>
      <c r="C689" s="10">
        <v>3287</v>
      </c>
      <c r="D689" s="10" t="s">
        <v>1038</v>
      </c>
      <c r="E689" s="11">
        <v>1165</v>
      </c>
      <c r="F689" s="11">
        <v>1151</v>
      </c>
      <c r="G689" s="11">
        <v>2316</v>
      </c>
      <c r="H689" s="11">
        <v>1316</v>
      </c>
    </row>
    <row r="690" spans="1:8" x14ac:dyDescent="0.2">
      <c r="A690" s="10">
        <v>32</v>
      </c>
      <c r="B690" s="10" t="s">
        <v>1019</v>
      </c>
      <c r="C690" s="10">
        <v>3288</v>
      </c>
      <c r="D690" s="10" t="s">
        <v>1039</v>
      </c>
      <c r="E690" s="11">
        <v>2012</v>
      </c>
      <c r="F690" s="11">
        <v>2249</v>
      </c>
      <c r="G690" s="11">
        <v>4261</v>
      </c>
      <c r="H690" s="11">
        <v>1941</v>
      </c>
    </row>
    <row r="691" spans="1:8" x14ac:dyDescent="0.2">
      <c r="A691" s="10">
        <v>32</v>
      </c>
      <c r="B691" s="10" t="s">
        <v>1019</v>
      </c>
      <c r="C691" s="10">
        <v>3289</v>
      </c>
      <c r="D691" s="10" t="s">
        <v>1040</v>
      </c>
      <c r="E691" s="11">
        <v>1633</v>
      </c>
      <c r="F691" s="11">
        <v>1933</v>
      </c>
      <c r="G691" s="11">
        <v>3566</v>
      </c>
      <c r="H691" s="11">
        <v>2424</v>
      </c>
    </row>
    <row r="692" spans="1:8" x14ac:dyDescent="0.2">
      <c r="A692" s="10">
        <v>32</v>
      </c>
      <c r="B692" s="10" t="s">
        <v>1019</v>
      </c>
      <c r="C692" s="10">
        <v>3290</v>
      </c>
      <c r="D692" s="10" t="s">
        <v>1041</v>
      </c>
      <c r="E692" s="11">
        <v>2186</v>
      </c>
      <c r="F692" s="11">
        <v>2377</v>
      </c>
      <c r="G692" s="11">
        <v>4563</v>
      </c>
      <c r="H692" s="11">
        <v>2931</v>
      </c>
    </row>
    <row r="693" spans="1:8" x14ac:dyDescent="0.2">
      <c r="A693" s="10">
        <v>32</v>
      </c>
      <c r="B693" s="10" t="s">
        <v>1019</v>
      </c>
      <c r="C693" s="10">
        <v>3291</v>
      </c>
      <c r="D693" s="10" t="s">
        <v>1042</v>
      </c>
      <c r="E693" s="11">
        <v>2363</v>
      </c>
      <c r="F693" s="11">
        <v>2523</v>
      </c>
      <c r="G693" s="11">
        <v>4886</v>
      </c>
      <c r="H693" s="11">
        <v>1699</v>
      </c>
    </row>
    <row r="694" spans="1:8" x14ac:dyDescent="0.2">
      <c r="A694" s="10">
        <v>32</v>
      </c>
      <c r="B694" s="10" t="s">
        <v>1019</v>
      </c>
      <c r="C694" s="10">
        <v>3292</v>
      </c>
      <c r="D694" s="10" t="s">
        <v>1043</v>
      </c>
      <c r="E694" s="11">
        <v>2475</v>
      </c>
      <c r="F694" s="11">
        <v>2690</v>
      </c>
      <c r="G694" s="11">
        <v>5165</v>
      </c>
      <c r="H694" s="11">
        <v>2825</v>
      </c>
    </row>
    <row r="695" spans="1:8" x14ac:dyDescent="0.2">
      <c r="A695" s="10">
        <v>32</v>
      </c>
      <c r="B695" s="10" t="s">
        <v>1019</v>
      </c>
      <c r="C695" s="10">
        <v>3293</v>
      </c>
      <c r="D695" s="10" t="s">
        <v>1044</v>
      </c>
      <c r="E695" s="11">
        <v>1336</v>
      </c>
      <c r="F695" s="11">
        <v>1324</v>
      </c>
      <c r="G695" s="11">
        <v>2660</v>
      </c>
      <c r="H695" s="10">
        <v>893</v>
      </c>
    </row>
    <row r="696" spans="1:8" x14ac:dyDescent="0.2">
      <c r="A696" s="10">
        <v>32</v>
      </c>
      <c r="B696" s="10" t="s">
        <v>1019</v>
      </c>
      <c r="C696" s="10">
        <v>3294</v>
      </c>
      <c r="D696" s="10" t="s">
        <v>1045</v>
      </c>
      <c r="E696" s="11">
        <v>2576</v>
      </c>
      <c r="F696" s="11">
        <v>2943</v>
      </c>
      <c r="G696" s="11">
        <v>5519</v>
      </c>
      <c r="H696" s="11">
        <v>3515</v>
      </c>
    </row>
    <row r="697" spans="1:8" x14ac:dyDescent="0.2">
      <c r="A697" s="10">
        <v>32</v>
      </c>
      <c r="B697" s="10" t="s">
        <v>1019</v>
      </c>
      <c r="C697" s="10">
        <v>3295</v>
      </c>
      <c r="D697" s="10" t="s">
        <v>1046</v>
      </c>
      <c r="E697" s="11">
        <v>1888</v>
      </c>
      <c r="F697" s="11">
        <v>2102</v>
      </c>
      <c r="G697" s="11">
        <v>3990</v>
      </c>
      <c r="H697" s="11">
        <v>2027</v>
      </c>
    </row>
    <row r="698" spans="1:8" x14ac:dyDescent="0.2">
      <c r="A698" s="10">
        <v>32</v>
      </c>
      <c r="B698" s="10" t="s">
        <v>1019</v>
      </c>
      <c r="C698" s="10">
        <v>3296</v>
      </c>
      <c r="D698" s="10" t="s">
        <v>1047</v>
      </c>
      <c r="E698" s="11">
        <v>1854</v>
      </c>
      <c r="F698" s="11">
        <v>1987</v>
      </c>
      <c r="G698" s="11">
        <v>3841</v>
      </c>
      <c r="H698" s="11">
        <v>1852</v>
      </c>
    </row>
    <row r="699" spans="1:8" x14ac:dyDescent="0.2">
      <c r="A699" s="10">
        <v>32</v>
      </c>
      <c r="B699" s="10" t="s">
        <v>1019</v>
      </c>
      <c r="C699" s="10">
        <v>3297</v>
      </c>
      <c r="D699" s="10" t="s">
        <v>1048</v>
      </c>
      <c r="E699" s="11">
        <v>1070</v>
      </c>
      <c r="F699" s="11">
        <v>1174</v>
      </c>
      <c r="G699" s="11">
        <v>2244</v>
      </c>
      <c r="H699" s="11">
        <v>1147</v>
      </c>
    </row>
    <row r="700" spans="1:8" x14ac:dyDescent="0.2">
      <c r="A700" s="10">
        <v>32</v>
      </c>
      <c r="B700" s="10" t="s">
        <v>1019</v>
      </c>
      <c r="C700" s="10">
        <v>3298</v>
      </c>
      <c r="D700" s="10" t="s">
        <v>1049</v>
      </c>
      <c r="E700" s="10">
        <v>954</v>
      </c>
      <c r="F700" s="10">
        <v>919</v>
      </c>
      <c r="G700" s="11">
        <v>1873</v>
      </c>
      <c r="H700" s="10">
        <v>581</v>
      </c>
    </row>
    <row r="701" spans="1:8" x14ac:dyDescent="0.2">
      <c r="A701" s="10">
        <v>32</v>
      </c>
      <c r="B701" s="10" t="s">
        <v>1019</v>
      </c>
      <c r="C701" s="10">
        <v>3299</v>
      </c>
      <c r="D701" s="10" t="s">
        <v>1050</v>
      </c>
      <c r="E701" s="11">
        <v>16914</v>
      </c>
      <c r="F701" s="11">
        <v>19915</v>
      </c>
      <c r="G701" s="11">
        <v>36829</v>
      </c>
      <c r="H701" s="11">
        <v>17507</v>
      </c>
    </row>
    <row r="702" spans="1:8" x14ac:dyDescent="0.2">
      <c r="A702" s="10">
        <v>33</v>
      </c>
      <c r="B702" s="10" t="s">
        <v>1051</v>
      </c>
      <c r="C702" s="10">
        <v>3301</v>
      </c>
      <c r="D702" s="10" t="s">
        <v>1052</v>
      </c>
      <c r="E702" s="11">
        <v>42715</v>
      </c>
      <c r="F702" s="11">
        <v>44372</v>
      </c>
      <c r="G702" s="11">
        <v>87087</v>
      </c>
      <c r="H702" s="11">
        <v>28641</v>
      </c>
    </row>
    <row r="703" spans="1:8" x14ac:dyDescent="0.2">
      <c r="A703" s="10">
        <v>33</v>
      </c>
      <c r="B703" s="10" t="s">
        <v>1051</v>
      </c>
      <c r="C703" s="10">
        <v>3302</v>
      </c>
      <c r="D703" s="10" t="s">
        <v>1053</v>
      </c>
      <c r="E703" s="11">
        <v>14566</v>
      </c>
      <c r="F703" s="11">
        <v>14531</v>
      </c>
      <c r="G703" s="11">
        <v>29097</v>
      </c>
      <c r="H703" s="11">
        <v>7868</v>
      </c>
    </row>
    <row r="704" spans="1:8" x14ac:dyDescent="0.2">
      <c r="A704" s="10">
        <v>33</v>
      </c>
      <c r="B704" s="10" t="s">
        <v>1051</v>
      </c>
      <c r="C704" s="10">
        <v>3303</v>
      </c>
      <c r="D704" s="10" t="s">
        <v>1054</v>
      </c>
      <c r="E704" s="11">
        <v>46036</v>
      </c>
      <c r="F704" s="11">
        <v>46393</v>
      </c>
      <c r="G704" s="11">
        <v>92429</v>
      </c>
      <c r="H704" s="11">
        <v>25518</v>
      </c>
    </row>
    <row r="705" spans="1:8" x14ac:dyDescent="0.2">
      <c r="A705" s="10">
        <v>33</v>
      </c>
      <c r="B705" s="10" t="s">
        <v>1051</v>
      </c>
      <c r="C705" s="10">
        <v>3304</v>
      </c>
      <c r="D705" s="10" t="s">
        <v>1055</v>
      </c>
      <c r="E705" s="11">
        <v>91830</v>
      </c>
      <c r="F705" s="11">
        <v>91592</v>
      </c>
      <c r="G705" s="11">
        <v>183422</v>
      </c>
      <c r="H705" s="11">
        <v>53433</v>
      </c>
    </row>
    <row r="706" spans="1:8" x14ac:dyDescent="0.2">
      <c r="A706" s="10">
        <v>33</v>
      </c>
      <c r="B706" s="10" t="s">
        <v>1051</v>
      </c>
      <c r="C706" s="10">
        <v>3305</v>
      </c>
      <c r="D706" s="10" t="s">
        <v>1056</v>
      </c>
      <c r="E706" s="11">
        <v>71639</v>
      </c>
      <c r="F706" s="11">
        <v>72425</v>
      </c>
      <c r="G706" s="11">
        <v>144064</v>
      </c>
      <c r="H706" s="11">
        <v>36720</v>
      </c>
    </row>
    <row r="707" spans="1:8" x14ac:dyDescent="0.2">
      <c r="A707" s="10">
        <v>33</v>
      </c>
      <c r="B707" s="10" t="s">
        <v>1051</v>
      </c>
      <c r="C707" s="10">
        <v>3306</v>
      </c>
      <c r="D707" s="10" t="s">
        <v>1057</v>
      </c>
      <c r="E707" s="11">
        <v>17830</v>
      </c>
      <c r="F707" s="11">
        <v>18125</v>
      </c>
      <c r="G707" s="11">
        <v>35955</v>
      </c>
      <c r="H707" s="11">
        <v>9420</v>
      </c>
    </row>
    <row r="708" spans="1:8" x14ac:dyDescent="0.2">
      <c r="A708" s="10">
        <v>33</v>
      </c>
      <c r="B708" s="10" t="s">
        <v>1051</v>
      </c>
      <c r="C708" s="10">
        <v>3307</v>
      </c>
      <c r="D708" s="10" t="s">
        <v>1058</v>
      </c>
      <c r="E708" s="11">
        <v>31041</v>
      </c>
      <c r="F708" s="11">
        <v>31502</v>
      </c>
      <c r="G708" s="11">
        <v>62543</v>
      </c>
      <c r="H708" s="11">
        <v>15738</v>
      </c>
    </row>
    <row r="709" spans="1:8" x14ac:dyDescent="0.2">
      <c r="A709" s="10">
        <v>33</v>
      </c>
      <c r="B709" s="10" t="s">
        <v>1051</v>
      </c>
      <c r="C709" s="10">
        <v>3308</v>
      </c>
      <c r="D709" s="10" t="s">
        <v>1059</v>
      </c>
      <c r="E709" s="11">
        <v>34004</v>
      </c>
      <c r="F709" s="11">
        <v>34507</v>
      </c>
      <c r="G709" s="11">
        <v>68511</v>
      </c>
      <c r="H709" s="11">
        <v>18826</v>
      </c>
    </row>
    <row r="710" spans="1:8" x14ac:dyDescent="0.2">
      <c r="A710" s="10">
        <v>33</v>
      </c>
      <c r="B710" s="10" t="s">
        <v>1051</v>
      </c>
      <c r="C710" s="10">
        <v>3309</v>
      </c>
      <c r="D710" s="10" t="s">
        <v>1060</v>
      </c>
      <c r="E710" s="11">
        <v>37070</v>
      </c>
      <c r="F710" s="11">
        <v>37490</v>
      </c>
      <c r="G710" s="11">
        <v>74560</v>
      </c>
      <c r="H710" s="11">
        <v>21004</v>
      </c>
    </row>
    <row r="711" spans="1:8" x14ac:dyDescent="0.2">
      <c r="A711" s="10">
        <v>33</v>
      </c>
      <c r="B711" s="10" t="s">
        <v>1051</v>
      </c>
      <c r="C711" s="10">
        <v>3310</v>
      </c>
      <c r="D711" s="10" t="s">
        <v>1061</v>
      </c>
      <c r="E711" s="11">
        <v>49943</v>
      </c>
      <c r="F711" s="11">
        <v>50661</v>
      </c>
      <c r="G711" s="11">
        <v>100604</v>
      </c>
      <c r="H711" s="11">
        <v>27568</v>
      </c>
    </row>
    <row r="712" spans="1:8" x14ac:dyDescent="0.2">
      <c r="A712" s="10">
        <v>33</v>
      </c>
      <c r="B712" s="10" t="s">
        <v>1051</v>
      </c>
      <c r="C712" s="10">
        <v>3311</v>
      </c>
      <c r="D712" s="10" t="s">
        <v>1062</v>
      </c>
      <c r="E712" s="11">
        <v>2167</v>
      </c>
      <c r="F712" s="11">
        <v>2155</v>
      </c>
      <c r="G712" s="11">
        <v>4322</v>
      </c>
      <c r="H712" s="11">
        <v>1140</v>
      </c>
    </row>
    <row r="713" spans="1:8" x14ac:dyDescent="0.2">
      <c r="A713" s="10">
        <v>33</v>
      </c>
      <c r="B713" s="10" t="s">
        <v>1051</v>
      </c>
      <c r="C713" s="10">
        <v>3312</v>
      </c>
      <c r="D713" s="10" t="s">
        <v>1063</v>
      </c>
      <c r="E713" s="11">
        <v>19339</v>
      </c>
      <c r="F713" s="11">
        <v>19256</v>
      </c>
      <c r="G713" s="11">
        <v>38595</v>
      </c>
      <c r="H713" s="11">
        <v>9348</v>
      </c>
    </row>
    <row r="714" spans="1:8" x14ac:dyDescent="0.2">
      <c r="A714" s="10">
        <v>33</v>
      </c>
      <c r="B714" s="10" t="s">
        <v>1051</v>
      </c>
      <c r="C714" s="10">
        <v>3313</v>
      </c>
      <c r="D714" s="10" t="s">
        <v>1064</v>
      </c>
      <c r="E714" s="11">
        <v>19720</v>
      </c>
      <c r="F714" s="11">
        <v>19451</v>
      </c>
      <c r="G714" s="11">
        <v>39171</v>
      </c>
      <c r="H714" s="11">
        <v>12562</v>
      </c>
    </row>
    <row r="715" spans="1:8" x14ac:dyDescent="0.2">
      <c r="A715" s="10">
        <v>33</v>
      </c>
      <c r="B715" s="10" t="s">
        <v>1051</v>
      </c>
      <c r="C715" s="10">
        <v>3314</v>
      </c>
      <c r="D715" s="10" t="s">
        <v>1065</v>
      </c>
      <c r="E715" s="11">
        <v>23906</v>
      </c>
      <c r="F715" s="11">
        <v>24166</v>
      </c>
      <c r="G715" s="11">
        <v>48072</v>
      </c>
      <c r="H715" s="11">
        <v>11885</v>
      </c>
    </row>
    <row r="716" spans="1:8" x14ac:dyDescent="0.2">
      <c r="A716" s="10">
        <v>33</v>
      </c>
      <c r="B716" s="10" t="s">
        <v>1051</v>
      </c>
      <c r="C716" s="10">
        <v>3315</v>
      </c>
      <c r="D716" s="10" t="s">
        <v>1066</v>
      </c>
      <c r="E716" s="11">
        <v>22413</v>
      </c>
      <c r="F716" s="11">
        <v>21874</v>
      </c>
      <c r="G716" s="11">
        <v>44287</v>
      </c>
      <c r="H716" s="11">
        <v>11748</v>
      </c>
    </row>
    <row r="717" spans="1:8" x14ac:dyDescent="0.2">
      <c r="A717" s="10">
        <v>33</v>
      </c>
      <c r="B717" s="10" t="s">
        <v>1051</v>
      </c>
      <c r="C717" s="10">
        <v>3316</v>
      </c>
      <c r="D717" s="10" t="s">
        <v>1067</v>
      </c>
      <c r="E717" s="11">
        <v>20179</v>
      </c>
      <c r="F717" s="11">
        <v>20019</v>
      </c>
      <c r="G717" s="11">
        <v>40198</v>
      </c>
      <c r="H717" s="11">
        <v>9938</v>
      </c>
    </row>
    <row r="718" spans="1:8" x14ac:dyDescent="0.2">
      <c r="A718" s="10">
        <v>33</v>
      </c>
      <c r="B718" s="10" t="s">
        <v>1051</v>
      </c>
      <c r="C718" s="10">
        <v>3317</v>
      </c>
      <c r="D718" s="10" t="s">
        <v>1068</v>
      </c>
      <c r="E718" s="11">
        <v>27506</v>
      </c>
      <c r="F718" s="11">
        <v>27098</v>
      </c>
      <c r="G718" s="11">
        <v>54604</v>
      </c>
      <c r="H718" s="11">
        <v>16576</v>
      </c>
    </row>
    <row r="719" spans="1:8" x14ac:dyDescent="0.2">
      <c r="A719" s="10">
        <v>33</v>
      </c>
      <c r="B719" s="10" t="s">
        <v>1051</v>
      </c>
      <c r="C719" s="10">
        <v>3318</v>
      </c>
      <c r="D719" s="10" t="s">
        <v>1069</v>
      </c>
      <c r="E719" s="11">
        <v>8850</v>
      </c>
      <c r="F719" s="11">
        <v>8702</v>
      </c>
      <c r="G719" s="11">
        <v>17552</v>
      </c>
      <c r="H719" s="11">
        <v>4620</v>
      </c>
    </row>
    <row r="720" spans="1:8" x14ac:dyDescent="0.2">
      <c r="A720" s="10">
        <v>33</v>
      </c>
      <c r="B720" s="10" t="s">
        <v>1051</v>
      </c>
      <c r="C720" s="10">
        <v>3319</v>
      </c>
      <c r="D720" s="10" t="s">
        <v>1070</v>
      </c>
      <c r="E720" s="11">
        <v>18001</v>
      </c>
      <c r="F720" s="11">
        <v>17785</v>
      </c>
      <c r="G720" s="11">
        <v>35786</v>
      </c>
      <c r="H720" s="11">
        <v>9791</v>
      </c>
    </row>
    <row r="721" spans="1:8" x14ac:dyDescent="0.2">
      <c r="A721" s="10">
        <v>33</v>
      </c>
      <c r="B721" s="10" t="s">
        <v>1051</v>
      </c>
      <c r="C721" s="10">
        <v>3320</v>
      </c>
      <c r="D721" s="10" t="s">
        <v>1071</v>
      </c>
      <c r="E721" s="11">
        <v>15187</v>
      </c>
      <c r="F721" s="11">
        <v>15508</v>
      </c>
      <c r="G721" s="11">
        <v>30695</v>
      </c>
      <c r="H721" s="11">
        <v>8569</v>
      </c>
    </row>
    <row r="722" spans="1:8" x14ac:dyDescent="0.2">
      <c r="A722" s="10">
        <v>33</v>
      </c>
      <c r="B722" s="10" t="s">
        <v>1051</v>
      </c>
      <c r="C722" s="10">
        <v>3321</v>
      </c>
      <c r="D722" s="10" t="s">
        <v>1072</v>
      </c>
      <c r="E722" s="11">
        <v>11700</v>
      </c>
      <c r="F722" s="11">
        <v>11682</v>
      </c>
      <c r="G722" s="11">
        <v>23382</v>
      </c>
      <c r="H722" s="11">
        <v>5940</v>
      </c>
    </row>
    <row r="723" spans="1:8" x14ac:dyDescent="0.2">
      <c r="A723" s="10">
        <v>33</v>
      </c>
      <c r="B723" s="10" t="s">
        <v>1051</v>
      </c>
      <c r="C723" s="10">
        <v>3322</v>
      </c>
      <c r="D723" s="10" t="s">
        <v>1073</v>
      </c>
      <c r="E723" s="11">
        <v>9765</v>
      </c>
      <c r="F723" s="11">
        <v>9663</v>
      </c>
      <c r="G723" s="11">
        <v>19428</v>
      </c>
      <c r="H723" s="11">
        <v>5606</v>
      </c>
    </row>
    <row r="724" spans="1:8" x14ac:dyDescent="0.2">
      <c r="A724" s="10">
        <v>33</v>
      </c>
      <c r="B724" s="10" t="s">
        <v>1051</v>
      </c>
      <c r="C724" s="10">
        <v>3381</v>
      </c>
      <c r="D724" s="10" t="s">
        <v>1074</v>
      </c>
      <c r="E724" s="11">
        <v>5137</v>
      </c>
      <c r="F724" s="11">
        <v>5017</v>
      </c>
      <c r="G724" s="11">
        <v>10154</v>
      </c>
      <c r="H724" s="11">
        <v>2868</v>
      </c>
    </row>
    <row r="725" spans="1:8" x14ac:dyDescent="0.2">
      <c r="A725" s="10">
        <v>33</v>
      </c>
      <c r="B725" s="10" t="s">
        <v>1051</v>
      </c>
      <c r="C725" s="10">
        <v>3382</v>
      </c>
      <c r="D725" s="10" t="s">
        <v>1075</v>
      </c>
      <c r="E725" s="11">
        <v>4570</v>
      </c>
      <c r="F725" s="11">
        <v>4392</v>
      </c>
      <c r="G725" s="11">
        <v>8962</v>
      </c>
      <c r="H725" s="11">
        <v>2375</v>
      </c>
    </row>
    <row r="726" spans="1:8" x14ac:dyDescent="0.2">
      <c r="A726" s="10">
        <v>33</v>
      </c>
      <c r="B726" s="10" t="s">
        <v>1051</v>
      </c>
      <c r="C726" s="10">
        <v>3383</v>
      </c>
      <c r="D726" s="10" t="s">
        <v>1076</v>
      </c>
      <c r="E726" s="11">
        <v>4306</v>
      </c>
      <c r="F726" s="11">
        <v>4439</v>
      </c>
      <c r="G726" s="11">
        <v>8745</v>
      </c>
      <c r="H726" s="11">
        <v>2298</v>
      </c>
    </row>
    <row r="727" spans="1:8" x14ac:dyDescent="0.2">
      <c r="A727" s="10">
        <v>33</v>
      </c>
      <c r="B727" s="10" t="s">
        <v>1051</v>
      </c>
      <c r="C727" s="10">
        <v>3384</v>
      </c>
      <c r="D727" s="10" t="s">
        <v>1077</v>
      </c>
      <c r="E727" s="11">
        <v>5162</v>
      </c>
      <c r="F727" s="11">
        <v>5348</v>
      </c>
      <c r="G727" s="11">
        <v>10510</v>
      </c>
      <c r="H727" s="11">
        <v>3175</v>
      </c>
    </row>
    <row r="728" spans="1:8" x14ac:dyDescent="0.2">
      <c r="A728" s="10">
        <v>33</v>
      </c>
      <c r="B728" s="10" t="s">
        <v>1051</v>
      </c>
      <c r="C728" s="10">
        <v>3385</v>
      </c>
      <c r="D728" s="10" t="s">
        <v>1078</v>
      </c>
      <c r="E728" s="11">
        <v>4538</v>
      </c>
      <c r="F728" s="11">
        <v>4519</v>
      </c>
      <c r="G728" s="11">
        <v>9057</v>
      </c>
      <c r="H728" s="11">
        <v>2123</v>
      </c>
    </row>
    <row r="729" spans="1:8" x14ac:dyDescent="0.2">
      <c r="A729" s="10">
        <v>33</v>
      </c>
      <c r="B729" s="10" t="s">
        <v>1051</v>
      </c>
      <c r="C729" s="10">
        <v>3386</v>
      </c>
      <c r="D729" s="10" t="s">
        <v>1079</v>
      </c>
      <c r="E729" s="11">
        <v>1920</v>
      </c>
      <c r="F729" s="11">
        <v>1952</v>
      </c>
      <c r="G729" s="11">
        <v>3872</v>
      </c>
      <c r="H729" s="11">
        <v>1540</v>
      </c>
    </row>
    <row r="730" spans="1:8" x14ac:dyDescent="0.2">
      <c r="A730" s="10">
        <v>33</v>
      </c>
      <c r="B730" s="10" t="s">
        <v>1051</v>
      </c>
      <c r="C730" s="10">
        <v>3387</v>
      </c>
      <c r="D730" s="10" t="s">
        <v>1080</v>
      </c>
      <c r="E730" s="11">
        <v>2242</v>
      </c>
      <c r="F730" s="11">
        <v>2325</v>
      </c>
      <c r="G730" s="11">
        <v>4567</v>
      </c>
      <c r="H730" s="11">
        <v>1503</v>
      </c>
    </row>
    <row r="731" spans="1:8" x14ac:dyDescent="0.2">
      <c r="A731" s="10">
        <v>33</v>
      </c>
      <c r="B731" s="10" t="s">
        <v>1051</v>
      </c>
      <c r="C731" s="10">
        <v>3388</v>
      </c>
      <c r="D731" s="10" t="s">
        <v>1081</v>
      </c>
      <c r="E731" s="11">
        <v>1656</v>
      </c>
      <c r="F731" s="11">
        <v>1611</v>
      </c>
      <c r="G731" s="11">
        <v>3267</v>
      </c>
      <c r="H731" s="11">
        <v>1110</v>
      </c>
    </row>
    <row r="732" spans="1:8" x14ac:dyDescent="0.2">
      <c r="A732" s="10">
        <v>33</v>
      </c>
      <c r="B732" s="10" t="s">
        <v>1051</v>
      </c>
      <c r="C732" s="10">
        <v>3389</v>
      </c>
      <c r="D732" s="10" t="s">
        <v>1082</v>
      </c>
      <c r="E732" s="11">
        <v>2904</v>
      </c>
      <c r="F732" s="11">
        <v>3045</v>
      </c>
      <c r="G732" s="11">
        <v>5949</v>
      </c>
      <c r="H732" s="11">
        <v>1914</v>
      </c>
    </row>
    <row r="733" spans="1:8" x14ac:dyDescent="0.2">
      <c r="A733" s="10">
        <v>33</v>
      </c>
      <c r="B733" s="10" t="s">
        <v>1051</v>
      </c>
      <c r="C733" s="10">
        <v>3390</v>
      </c>
      <c r="D733" s="10" t="s">
        <v>1083</v>
      </c>
      <c r="E733" s="11">
        <v>1196</v>
      </c>
      <c r="F733" s="11">
        <v>1314</v>
      </c>
      <c r="G733" s="11">
        <v>2510</v>
      </c>
      <c r="H733" s="11">
        <v>1354</v>
      </c>
    </row>
    <row r="734" spans="1:8" x14ac:dyDescent="0.2">
      <c r="A734" s="10">
        <v>33</v>
      </c>
      <c r="B734" s="10" t="s">
        <v>1051</v>
      </c>
      <c r="C734" s="10">
        <v>3391</v>
      </c>
      <c r="D734" s="10" t="s">
        <v>947</v>
      </c>
      <c r="E734" s="11">
        <v>1831</v>
      </c>
      <c r="F734" s="11">
        <v>1962</v>
      </c>
      <c r="G734" s="11">
        <v>3793</v>
      </c>
      <c r="H734" s="11">
        <v>2165</v>
      </c>
    </row>
    <row r="735" spans="1:8" x14ac:dyDescent="0.2">
      <c r="A735" s="10">
        <v>33</v>
      </c>
      <c r="B735" s="10" t="s">
        <v>1051</v>
      </c>
      <c r="C735" s="10">
        <v>3392</v>
      </c>
      <c r="D735" s="10" t="s">
        <v>1084</v>
      </c>
      <c r="E735" s="11">
        <v>5232</v>
      </c>
      <c r="F735" s="11">
        <v>5348</v>
      </c>
      <c r="G735" s="11">
        <v>10580</v>
      </c>
      <c r="H735" s="11">
        <v>3936</v>
      </c>
    </row>
    <row r="736" spans="1:8" x14ac:dyDescent="0.2">
      <c r="A736" s="10">
        <v>33</v>
      </c>
      <c r="B736" s="10" t="s">
        <v>1051</v>
      </c>
      <c r="C736" s="10">
        <v>3393</v>
      </c>
      <c r="D736" s="10" t="s">
        <v>1085</v>
      </c>
      <c r="E736" s="11">
        <v>1365</v>
      </c>
      <c r="F736" s="11">
        <v>1409</v>
      </c>
      <c r="G736" s="11">
        <v>2774</v>
      </c>
      <c r="H736" s="11">
        <v>1382</v>
      </c>
    </row>
    <row r="737" spans="1:8" x14ac:dyDescent="0.2">
      <c r="A737" s="10">
        <v>33</v>
      </c>
      <c r="B737" s="10" t="s">
        <v>1051</v>
      </c>
      <c r="C737" s="10">
        <v>3394</v>
      </c>
      <c r="D737" s="10" t="s">
        <v>1086</v>
      </c>
      <c r="E737" s="11">
        <v>5368</v>
      </c>
      <c r="F737" s="11">
        <v>5399</v>
      </c>
      <c r="G737" s="11">
        <v>10767</v>
      </c>
      <c r="H737" s="11">
        <v>3078</v>
      </c>
    </row>
    <row r="738" spans="1:8" x14ac:dyDescent="0.2">
      <c r="A738" s="10">
        <v>33</v>
      </c>
      <c r="B738" s="10" t="s">
        <v>1051</v>
      </c>
      <c r="C738" s="10">
        <v>3395</v>
      </c>
      <c r="D738" s="10" t="s">
        <v>1087</v>
      </c>
      <c r="E738" s="11">
        <v>1994</v>
      </c>
      <c r="F738" s="11">
        <v>2116</v>
      </c>
      <c r="G738" s="11">
        <v>4110</v>
      </c>
      <c r="H738" s="11">
        <v>2200</v>
      </c>
    </row>
    <row r="739" spans="1:8" x14ac:dyDescent="0.2">
      <c r="A739" s="10">
        <v>33</v>
      </c>
      <c r="B739" s="10" t="s">
        <v>1051</v>
      </c>
      <c r="C739" s="10">
        <v>3396</v>
      </c>
      <c r="D739" s="10" t="s">
        <v>1088</v>
      </c>
      <c r="E739" s="11">
        <v>8185</v>
      </c>
      <c r="F739" s="11">
        <v>8975</v>
      </c>
      <c r="G739" s="11">
        <v>17160</v>
      </c>
      <c r="H739" s="11">
        <v>7867</v>
      </c>
    </row>
    <row r="740" spans="1:8" x14ac:dyDescent="0.2">
      <c r="A740" s="10">
        <v>33</v>
      </c>
      <c r="B740" s="10" t="s">
        <v>1051</v>
      </c>
      <c r="C740" s="10">
        <v>3397</v>
      </c>
      <c r="D740" s="10" t="s">
        <v>1089</v>
      </c>
      <c r="E740" s="11">
        <v>2831</v>
      </c>
      <c r="F740" s="11">
        <v>3086</v>
      </c>
      <c r="G740" s="11">
        <v>5917</v>
      </c>
      <c r="H740" s="11">
        <v>3346</v>
      </c>
    </row>
    <row r="741" spans="1:8" x14ac:dyDescent="0.2">
      <c r="A741" s="10">
        <v>33</v>
      </c>
      <c r="B741" s="10" t="s">
        <v>1051</v>
      </c>
      <c r="C741" s="10">
        <v>3398</v>
      </c>
      <c r="D741" s="10" t="s">
        <v>1090</v>
      </c>
      <c r="E741" s="11">
        <v>3038</v>
      </c>
      <c r="F741" s="11">
        <v>3171</v>
      </c>
      <c r="G741" s="11">
        <v>6209</v>
      </c>
      <c r="H741" s="11">
        <v>2522</v>
      </c>
    </row>
    <row r="742" spans="1:8" x14ac:dyDescent="0.2">
      <c r="A742" s="10">
        <v>33</v>
      </c>
      <c r="B742" s="10" t="s">
        <v>1051</v>
      </c>
      <c r="C742" s="10">
        <v>3399</v>
      </c>
      <c r="D742" s="10" t="s">
        <v>1091</v>
      </c>
      <c r="E742" s="11">
        <v>18197</v>
      </c>
      <c r="F742" s="11">
        <v>20549</v>
      </c>
      <c r="G742" s="11">
        <v>38746</v>
      </c>
      <c r="H742" s="11">
        <v>21761</v>
      </c>
    </row>
    <row r="743" spans="1:8" x14ac:dyDescent="0.2">
      <c r="A743" s="10">
        <v>34</v>
      </c>
      <c r="B743" s="10" t="s">
        <v>1092</v>
      </c>
      <c r="C743" s="10">
        <v>3401</v>
      </c>
      <c r="D743" s="10" t="s">
        <v>1093</v>
      </c>
      <c r="E743" s="11">
        <v>48202</v>
      </c>
      <c r="F743" s="11">
        <v>50196</v>
      </c>
      <c r="G743" s="11">
        <v>98398</v>
      </c>
      <c r="H743" s="11">
        <v>38838</v>
      </c>
    </row>
    <row r="744" spans="1:8" x14ac:dyDescent="0.2">
      <c r="A744" s="10">
        <v>34</v>
      </c>
      <c r="B744" s="10" t="s">
        <v>1092</v>
      </c>
      <c r="C744" s="10">
        <v>3402</v>
      </c>
      <c r="D744" s="10" t="s">
        <v>1094</v>
      </c>
      <c r="E744" s="11">
        <v>33605</v>
      </c>
      <c r="F744" s="11">
        <v>33061</v>
      </c>
      <c r="G744" s="11">
        <v>66666</v>
      </c>
      <c r="H744" s="11">
        <v>20190</v>
      </c>
    </row>
    <row r="745" spans="1:8" x14ac:dyDescent="0.2">
      <c r="A745" s="10">
        <v>34</v>
      </c>
      <c r="B745" s="10" t="s">
        <v>1092</v>
      </c>
      <c r="C745" s="10">
        <v>3403</v>
      </c>
      <c r="D745" s="10" t="s">
        <v>1095</v>
      </c>
      <c r="E745" s="11">
        <v>18294</v>
      </c>
      <c r="F745" s="11">
        <v>18033</v>
      </c>
      <c r="G745" s="11">
        <v>36327</v>
      </c>
      <c r="H745" s="11">
        <v>10854</v>
      </c>
    </row>
    <row r="746" spans="1:8" x14ac:dyDescent="0.2">
      <c r="A746" s="10">
        <v>34</v>
      </c>
      <c r="B746" s="10" t="s">
        <v>1092</v>
      </c>
      <c r="C746" s="10">
        <v>3404</v>
      </c>
      <c r="D746" s="10" t="s">
        <v>1096</v>
      </c>
      <c r="E746" s="11">
        <v>49824</v>
      </c>
      <c r="F746" s="11">
        <v>50848</v>
      </c>
      <c r="G746" s="11">
        <v>100672</v>
      </c>
      <c r="H746" s="11">
        <v>29244</v>
      </c>
    </row>
    <row r="747" spans="1:8" x14ac:dyDescent="0.2">
      <c r="A747" s="10">
        <v>34</v>
      </c>
      <c r="B747" s="10" t="s">
        <v>1092</v>
      </c>
      <c r="C747" s="10">
        <v>3405</v>
      </c>
      <c r="D747" s="10" t="s">
        <v>1097</v>
      </c>
      <c r="E747" s="11">
        <v>15998</v>
      </c>
      <c r="F747" s="11">
        <v>16012</v>
      </c>
      <c r="G747" s="11">
        <v>32010</v>
      </c>
      <c r="H747" s="11">
        <v>9534</v>
      </c>
    </row>
    <row r="748" spans="1:8" x14ac:dyDescent="0.2">
      <c r="A748" s="10">
        <v>34</v>
      </c>
      <c r="B748" s="10" t="s">
        <v>1092</v>
      </c>
      <c r="C748" s="10">
        <v>3407</v>
      </c>
      <c r="D748" s="10" t="s">
        <v>1098</v>
      </c>
      <c r="E748" s="11">
        <v>66362</v>
      </c>
      <c r="F748" s="11">
        <v>65513</v>
      </c>
      <c r="G748" s="11">
        <v>131875</v>
      </c>
      <c r="H748" s="11">
        <v>56002</v>
      </c>
    </row>
    <row r="749" spans="1:8" x14ac:dyDescent="0.2">
      <c r="A749" s="10">
        <v>34</v>
      </c>
      <c r="B749" s="10" t="s">
        <v>1092</v>
      </c>
      <c r="C749" s="10">
        <v>3408</v>
      </c>
      <c r="D749" s="10" t="s">
        <v>1099</v>
      </c>
      <c r="E749" s="11">
        <v>26148</v>
      </c>
      <c r="F749" s="11">
        <v>25499</v>
      </c>
      <c r="G749" s="11">
        <v>51647</v>
      </c>
      <c r="H749" s="11">
        <v>19398</v>
      </c>
    </row>
    <row r="750" spans="1:8" x14ac:dyDescent="0.2">
      <c r="A750" s="10">
        <v>34</v>
      </c>
      <c r="B750" s="10" t="s">
        <v>1092</v>
      </c>
      <c r="C750" s="10">
        <v>3409</v>
      </c>
      <c r="D750" s="10" t="s">
        <v>1100</v>
      </c>
      <c r="E750" s="11">
        <v>31041</v>
      </c>
      <c r="F750" s="11">
        <v>30147</v>
      </c>
      <c r="G750" s="11">
        <v>61188</v>
      </c>
      <c r="H750" s="11">
        <v>21464</v>
      </c>
    </row>
    <row r="751" spans="1:8" x14ac:dyDescent="0.2">
      <c r="A751" s="10">
        <v>34</v>
      </c>
      <c r="B751" s="10" t="s">
        <v>1092</v>
      </c>
      <c r="C751" s="10">
        <v>3410</v>
      </c>
      <c r="D751" s="10" t="s">
        <v>1101</v>
      </c>
      <c r="E751" s="11">
        <v>39522</v>
      </c>
      <c r="F751" s="11">
        <v>38460</v>
      </c>
      <c r="G751" s="11">
        <v>77982</v>
      </c>
      <c r="H751" s="11">
        <v>25208</v>
      </c>
    </row>
    <row r="752" spans="1:8" x14ac:dyDescent="0.2">
      <c r="A752" s="10">
        <v>34</v>
      </c>
      <c r="B752" s="10" t="s">
        <v>1092</v>
      </c>
      <c r="C752" s="10">
        <v>3411</v>
      </c>
      <c r="D752" s="10" t="s">
        <v>1102</v>
      </c>
      <c r="E752" s="11">
        <v>55878</v>
      </c>
      <c r="F752" s="11">
        <v>55449</v>
      </c>
      <c r="G752" s="11">
        <v>111327</v>
      </c>
      <c r="H752" s="11">
        <v>31122</v>
      </c>
    </row>
    <row r="753" spans="1:8" x14ac:dyDescent="0.2">
      <c r="A753" s="10">
        <v>34</v>
      </c>
      <c r="B753" s="10" t="s">
        <v>1092</v>
      </c>
      <c r="C753" s="10">
        <v>3412</v>
      </c>
      <c r="D753" s="10" t="s">
        <v>1103</v>
      </c>
      <c r="E753" s="11">
        <v>18365</v>
      </c>
      <c r="F753" s="11">
        <v>18154</v>
      </c>
      <c r="G753" s="11">
        <v>36519</v>
      </c>
      <c r="H753" s="11">
        <v>9947</v>
      </c>
    </row>
    <row r="754" spans="1:8" x14ac:dyDescent="0.2">
      <c r="A754" s="10">
        <v>34</v>
      </c>
      <c r="B754" s="10" t="s">
        <v>1092</v>
      </c>
      <c r="C754" s="10">
        <v>3414</v>
      </c>
      <c r="D754" s="10" t="s">
        <v>1104</v>
      </c>
      <c r="E754" s="11">
        <v>40336</v>
      </c>
      <c r="F754" s="11">
        <v>40308</v>
      </c>
      <c r="G754" s="11">
        <v>80644</v>
      </c>
      <c r="H754" s="11">
        <v>24063</v>
      </c>
    </row>
    <row r="755" spans="1:8" x14ac:dyDescent="0.2">
      <c r="A755" s="10">
        <v>34</v>
      </c>
      <c r="B755" s="10" t="s">
        <v>1092</v>
      </c>
      <c r="C755" s="10">
        <v>3415</v>
      </c>
      <c r="D755" s="10" t="s">
        <v>1105</v>
      </c>
      <c r="E755" s="11">
        <v>46196</v>
      </c>
      <c r="F755" s="11">
        <v>47125</v>
      </c>
      <c r="G755" s="11">
        <v>93321</v>
      </c>
      <c r="H755" s="11">
        <v>32952</v>
      </c>
    </row>
    <row r="756" spans="1:8" x14ac:dyDescent="0.2">
      <c r="A756" s="10">
        <v>34</v>
      </c>
      <c r="B756" s="10" t="s">
        <v>1092</v>
      </c>
      <c r="C756" s="10">
        <v>3419</v>
      </c>
      <c r="D756" s="10" t="s">
        <v>1106</v>
      </c>
      <c r="E756" s="11">
        <v>52369</v>
      </c>
      <c r="F756" s="11">
        <v>51691</v>
      </c>
      <c r="G756" s="11">
        <v>104060</v>
      </c>
      <c r="H756" s="11">
        <v>35796</v>
      </c>
    </row>
    <row r="757" spans="1:8" x14ac:dyDescent="0.2">
      <c r="A757" s="10">
        <v>34</v>
      </c>
      <c r="B757" s="10" t="s">
        <v>1092</v>
      </c>
      <c r="C757" s="10">
        <v>3420</v>
      </c>
      <c r="D757" s="10" t="s">
        <v>1107</v>
      </c>
      <c r="E757" s="11">
        <v>15089</v>
      </c>
      <c r="F757" s="11">
        <v>14662</v>
      </c>
      <c r="G757" s="11">
        <v>29751</v>
      </c>
      <c r="H757" s="11">
        <v>9007</v>
      </c>
    </row>
    <row r="758" spans="1:8" x14ac:dyDescent="0.2">
      <c r="A758" s="10">
        <v>34</v>
      </c>
      <c r="B758" s="10" t="s">
        <v>1092</v>
      </c>
      <c r="C758" s="10">
        <v>3421</v>
      </c>
      <c r="D758" s="10" t="s">
        <v>1108</v>
      </c>
      <c r="E758" s="11">
        <v>22824</v>
      </c>
      <c r="F758" s="11">
        <v>22250</v>
      </c>
      <c r="G758" s="11">
        <v>45074</v>
      </c>
      <c r="H758" s="11">
        <v>12629</v>
      </c>
    </row>
    <row r="759" spans="1:8" x14ac:dyDescent="0.2">
      <c r="A759" s="10">
        <v>34</v>
      </c>
      <c r="B759" s="10" t="s">
        <v>1092</v>
      </c>
      <c r="C759" s="10">
        <v>3422</v>
      </c>
      <c r="D759" s="10" t="s">
        <v>1109</v>
      </c>
      <c r="E759" s="11">
        <v>26961</v>
      </c>
      <c r="F759" s="11">
        <v>26871</v>
      </c>
      <c r="G759" s="11">
        <v>53832</v>
      </c>
      <c r="H759" s="11">
        <v>15617</v>
      </c>
    </row>
    <row r="760" spans="1:8" x14ac:dyDescent="0.2">
      <c r="A760" s="10">
        <v>34</v>
      </c>
      <c r="B760" s="10" t="s">
        <v>1092</v>
      </c>
      <c r="C760" s="10">
        <v>3424</v>
      </c>
      <c r="D760" s="10" t="s">
        <v>1110</v>
      </c>
      <c r="E760" s="11">
        <v>13596</v>
      </c>
      <c r="F760" s="11">
        <v>13468</v>
      </c>
      <c r="G760" s="11">
        <v>27064</v>
      </c>
      <c r="H760" s="11">
        <v>8413</v>
      </c>
    </row>
    <row r="761" spans="1:8" x14ac:dyDescent="0.2">
      <c r="A761" s="10">
        <v>34</v>
      </c>
      <c r="B761" s="10" t="s">
        <v>1092</v>
      </c>
      <c r="C761" s="10">
        <v>3425</v>
      </c>
      <c r="D761" s="10" t="s">
        <v>1111</v>
      </c>
      <c r="E761" s="11">
        <v>22491</v>
      </c>
      <c r="F761" s="11">
        <v>21756</v>
      </c>
      <c r="G761" s="11">
        <v>44247</v>
      </c>
      <c r="H761" s="11">
        <v>15417</v>
      </c>
    </row>
    <row r="762" spans="1:8" x14ac:dyDescent="0.2">
      <c r="A762" s="10">
        <v>34</v>
      </c>
      <c r="B762" s="10" t="s">
        <v>1092</v>
      </c>
      <c r="C762" s="10">
        <v>3426</v>
      </c>
      <c r="D762" s="10" t="s">
        <v>1112</v>
      </c>
      <c r="E762" s="11">
        <v>14736</v>
      </c>
      <c r="F762" s="11">
        <v>14383</v>
      </c>
      <c r="G762" s="11">
        <v>29119</v>
      </c>
      <c r="H762" s="11">
        <v>9519</v>
      </c>
    </row>
    <row r="763" spans="1:8" x14ac:dyDescent="0.2">
      <c r="A763" s="10">
        <v>34</v>
      </c>
      <c r="B763" s="10" t="s">
        <v>1092</v>
      </c>
      <c r="C763" s="10">
        <v>3429</v>
      </c>
      <c r="D763" s="10" t="s">
        <v>1113</v>
      </c>
      <c r="E763" s="11">
        <v>10929</v>
      </c>
      <c r="F763" s="11">
        <v>10288</v>
      </c>
      <c r="G763" s="11">
        <v>21217</v>
      </c>
      <c r="H763" s="11">
        <v>7580</v>
      </c>
    </row>
    <row r="764" spans="1:8" x14ac:dyDescent="0.2">
      <c r="A764" s="10">
        <v>34</v>
      </c>
      <c r="B764" s="10" t="s">
        <v>1092</v>
      </c>
      <c r="C764" s="10">
        <v>3430</v>
      </c>
      <c r="D764" s="10" t="s">
        <v>1114</v>
      </c>
      <c r="E764" s="11">
        <v>19484</v>
      </c>
      <c r="F764" s="11">
        <v>19455</v>
      </c>
      <c r="G764" s="11">
        <v>38939</v>
      </c>
      <c r="H764" s="11">
        <v>11938</v>
      </c>
    </row>
    <row r="765" spans="1:8" x14ac:dyDescent="0.2">
      <c r="A765" s="10">
        <v>34</v>
      </c>
      <c r="B765" s="10" t="s">
        <v>1092</v>
      </c>
      <c r="C765" s="10">
        <v>3431</v>
      </c>
      <c r="D765" s="10" t="s">
        <v>1115</v>
      </c>
      <c r="E765" s="11">
        <v>14063</v>
      </c>
      <c r="F765" s="11">
        <v>13966</v>
      </c>
      <c r="G765" s="11">
        <v>28029</v>
      </c>
      <c r="H765" s="11">
        <v>8372</v>
      </c>
    </row>
    <row r="766" spans="1:8" x14ac:dyDescent="0.2">
      <c r="A766" s="10">
        <v>34</v>
      </c>
      <c r="B766" s="10" t="s">
        <v>1092</v>
      </c>
      <c r="C766" s="10">
        <v>3432</v>
      </c>
      <c r="D766" s="10" t="s">
        <v>1116</v>
      </c>
      <c r="E766" s="11">
        <v>15631</v>
      </c>
      <c r="F766" s="11">
        <v>15518</v>
      </c>
      <c r="G766" s="11">
        <v>31149</v>
      </c>
      <c r="H766" s="11">
        <v>9799</v>
      </c>
    </row>
    <row r="767" spans="1:8" x14ac:dyDescent="0.2">
      <c r="A767" s="10">
        <v>34</v>
      </c>
      <c r="B767" s="10" t="s">
        <v>1092</v>
      </c>
      <c r="C767" s="10">
        <v>3433</v>
      </c>
      <c r="D767" s="10" t="s">
        <v>1117</v>
      </c>
      <c r="E767" s="11">
        <v>16716</v>
      </c>
      <c r="F767" s="11">
        <v>16477</v>
      </c>
      <c r="G767" s="11">
        <v>33193</v>
      </c>
      <c r="H767" s="11">
        <v>11459</v>
      </c>
    </row>
    <row r="768" spans="1:8" x14ac:dyDescent="0.2">
      <c r="A768" s="10">
        <v>34</v>
      </c>
      <c r="B768" s="10" t="s">
        <v>1092</v>
      </c>
      <c r="C768" s="10">
        <v>3463</v>
      </c>
      <c r="D768" s="10" t="s">
        <v>1118</v>
      </c>
      <c r="E768" s="11">
        <v>5893</v>
      </c>
      <c r="F768" s="11">
        <v>5844</v>
      </c>
      <c r="G768" s="11">
        <v>11737</v>
      </c>
      <c r="H768" s="11">
        <v>4636</v>
      </c>
    </row>
    <row r="769" spans="1:8" x14ac:dyDescent="0.2">
      <c r="A769" s="10">
        <v>34</v>
      </c>
      <c r="B769" s="10" t="s">
        <v>1092</v>
      </c>
      <c r="C769" s="10">
        <v>3464</v>
      </c>
      <c r="D769" s="10" t="s">
        <v>1119</v>
      </c>
      <c r="E769" s="11">
        <v>4065</v>
      </c>
      <c r="F769" s="11">
        <v>4216</v>
      </c>
      <c r="G769" s="11">
        <v>8281</v>
      </c>
      <c r="H769" s="11">
        <v>3472</v>
      </c>
    </row>
    <row r="770" spans="1:8" x14ac:dyDescent="0.2">
      <c r="A770" s="10">
        <v>34</v>
      </c>
      <c r="B770" s="10" t="s">
        <v>1092</v>
      </c>
      <c r="C770" s="10">
        <v>3465</v>
      </c>
      <c r="D770" s="10" t="s">
        <v>1120</v>
      </c>
      <c r="E770" s="11">
        <v>6541</v>
      </c>
      <c r="F770" s="11">
        <v>6598</v>
      </c>
      <c r="G770" s="11">
        <v>13139</v>
      </c>
      <c r="H770" s="11">
        <v>3751</v>
      </c>
    </row>
    <row r="771" spans="1:8" x14ac:dyDescent="0.2">
      <c r="A771" s="10">
        <v>34</v>
      </c>
      <c r="B771" s="10" t="s">
        <v>1092</v>
      </c>
      <c r="C771" s="10">
        <v>3466</v>
      </c>
      <c r="D771" s="10" t="s">
        <v>1121</v>
      </c>
      <c r="E771" s="11">
        <v>4430</v>
      </c>
      <c r="F771" s="11">
        <v>4591</v>
      </c>
      <c r="G771" s="11">
        <v>9021</v>
      </c>
      <c r="H771" s="11">
        <v>3396</v>
      </c>
    </row>
    <row r="772" spans="1:8" x14ac:dyDescent="0.2">
      <c r="A772" s="10">
        <v>34</v>
      </c>
      <c r="B772" s="10" t="s">
        <v>1092</v>
      </c>
      <c r="C772" s="10">
        <v>3467</v>
      </c>
      <c r="D772" s="10" t="s">
        <v>1122</v>
      </c>
      <c r="E772" s="11">
        <v>4521</v>
      </c>
      <c r="F772" s="11">
        <v>7138</v>
      </c>
      <c r="G772" s="11">
        <v>11659</v>
      </c>
      <c r="H772" s="11">
        <v>3572</v>
      </c>
    </row>
    <row r="773" spans="1:8" x14ac:dyDescent="0.2">
      <c r="A773" s="10">
        <v>34</v>
      </c>
      <c r="B773" s="10" t="s">
        <v>1092</v>
      </c>
      <c r="C773" s="10">
        <v>3468</v>
      </c>
      <c r="D773" s="10" t="s">
        <v>1123</v>
      </c>
      <c r="E773" s="11">
        <v>4895</v>
      </c>
      <c r="F773" s="11">
        <v>5029</v>
      </c>
      <c r="G773" s="11">
        <v>9924</v>
      </c>
      <c r="H773" s="11">
        <v>3535</v>
      </c>
    </row>
    <row r="774" spans="1:8" x14ac:dyDescent="0.2">
      <c r="A774" s="10">
        <v>34</v>
      </c>
      <c r="B774" s="10" t="s">
        <v>1092</v>
      </c>
      <c r="C774" s="10">
        <v>3469</v>
      </c>
      <c r="D774" s="10" t="s">
        <v>1124</v>
      </c>
      <c r="E774" s="11">
        <v>4754</v>
      </c>
      <c r="F774" s="11">
        <v>4721</v>
      </c>
      <c r="G774" s="11">
        <v>9475</v>
      </c>
      <c r="H774" s="11">
        <v>3349</v>
      </c>
    </row>
    <row r="775" spans="1:8" x14ac:dyDescent="0.2">
      <c r="A775" s="10">
        <v>34</v>
      </c>
      <c r="B775" s="10" t="s">
        <v>1092</v>
      </c>
      <c r="C775" s="10">
        <v>3470</v>
      </c>
      <c r="D775" s="10" t="s">
        <v>1125</v>
      </c>
      <c r="E775" s="11">
        <v>6164</v>
      </c>
      <c r="F775" s="11">
        <v>6246</v>
      </c>
      <c r="G775" s="11">
        <v>12410</v>
      </c>
      <c r="H775" s="11">
        <v>4386</v>
      </c>
    </row>
    <row r="776" spans="1:8" x14ac:dyDescent="0.2">
      <c r="A776" s="10">
        <v>34</v>
      </c>
      <c r="B776" s="10" t="s">
        <v>1092</v>
      </c>
      <c r="C776" s="10">
        <v>3471</v>
      </c>
      <c r="D776" s="10" t="s">
        <v>1126</v>
      </c>
      <c r="E776" s="11">
        <v>4904</v>
      </c>
      <c r="F776" s="11">
        <v>5550</v>
      </c>
      <c r="G776" s="11">
        <v>10454</v>
      </c>
      <c r="H776" s="11">
        <v>4360</v>
      </c>
    </row>
    <row r="777" spans="1:8" x14ac:dyDescent="0.2">
      <c r="A777" s="10">
        <v>34</v>
      </c>
      <c r="B777" s="10" t="s">
        <v>1092</v>
      </c>
      <c r="C777" s="10">
        <v>3472</v>
      </c>
      <c r="D777" s="10" t="s">
        <v>1127</v>
      </c>
      <c r="E777" s="11">
        <v>6755</v>
      </c>
      <c r="F777" s="11">
        <v>6567</v>
      </c>
      <c r="G777" s="11">
        <v>13322</v>
      </c>
      <c r="H777" s="11">
        <v>4193</v>
      </c>
    </row>
    <row r="778" spans="1:8" x14ac:dyDescent="0.2">
      <c r="A778" s="10">
        <v>34</v>
      </c>
      <c r="B778" s="10" t="s">
        <v>1092</v>
      </c>
      <c r="C778" s="10">
        <v>3473</v>
      </c>
      <c r="D778" s="10" t="s">
        <v>1128</v>
      </c>
      <c r="E778" s="11">
        <v>3919</v>
      </c>
      <c r="F778" s="11">
        <v>3961</v>
      </c>
      <c r="G778" s="11">
        <v>7880</v>
      </c>
      <c r="H778" s="11">
        <v>3123</v>
      </c>
    </row>
    <row r="779" spans="1:8" x14ac:dyDescent="0.2">
      <c r="A779" s="10">
        <v>34</v>
      </c>
      <c r="B779" s="10" t="s">
        <v>1092</v>
      </c>
      <c r="C779" s="10">
        <v>3474</v>
      </c>
      <c r="D779" s="10" t="s">
        <v>1129</v>
      </c>
      <c r="E779" s="11">
        <v>6899</v>
      </c>
      <c r="F779" s="11">
        <v>6736</v>
      </c>
      <c r="G779" s="11">
        <v>13635</v>
      </c>
      <c r="H779" s="11">
        <v>5374</v>
      </c>
    </row>
    <row r="780" spans="1:8" x14ac:dyDescent="0.2">
      <c r="A780" s="10">
        <v>34</v>
      </c>
      <c r="B780" s="10" t="s">
        <v>1092</v>
      </c>
      <c r="C780" s="10">
        <v>3475</v>
      </c>
      <c r="D780" s="10" t="s">
        <v>1130</v>
      </c>
      <c r="E780" s="11">
        <v>19714</v>
      </c>
      <c r="F780" s="11">
        <v>22013</v>
      </c>
      <c r="G780" s="11">
        <v>41727</v>
      </c>
      <c r="H780" s="11">
        <v>22883</v>
      </c>
    </row>
    <row r="781" spans="1:8" x14ac:dyDescent="0.2">
      <c r="A781" s="10">
        <v>34</v>
      </c>
      <c r="B781" s="10" t="s">
        <v>1092</v>
      </c>
      <c r="C781" s="10">
        <v>3476</v>
      </c>
      <c r="D781" s="10" t="s">
        <v>1131</v>
      </c>
      <c r="E781" s="11">
        <v>13627</v>
      </c>
      <c r="F781" s="11">
        <v>11324</v>
      </c>
      <c r="G781" s="11">
        <v>24951</v>
      </c>
      <c r="H781" s="11">
        <v>11955</v>
      </c>
    </row>
    <row r="782" spans="1:8" x14ac:dyDescent="0.2">
      <c r="A782" s="10">
        <v>34</v>
      </c>
      <c r="B782" s="10" t="s">
        <v>1092</v>
      </c>
      <c r="C782" s="10">
        <v>3477</v>
      </c>
      <c r="D782" s="10" t="s">
        <v>1132</v>
      </c>
      <c r="E782" s="11">
        <v>3111</v>
      </c>
      <c r="F782" s="11">
        <v>3206</v>
      </c>
      <c r="G782" s="11">
        <v>6317</v>
      </c>
      <c r="H782" s="11">
        <v>1951</v>
      </c>
    </row>
    <row r="783" spans="1:8" x14ac:dyDescent="0.2">
      <c r="A783" s="10">
        <v>34</v>
      </c>
      <c r="B783" s="10" t="s">
        <v>1092</v>
      </c>
      <c r="C783" s="10">
        <v>3478</v>
      </c>
      <c r="D783" s="10" t="s">
        <v>1133</v>
      </c>
      <c r="E783" s="11">
        <v>1849</v>
      </c>
      <c r="F783" s="11">
        <v>1947</v>
      </c>
      <c r="G783" s="11">
        <v>3796</v>
      </c>
      <c r="H783" s="11">
        <v>1974</v>
      </c>
    </row>
    <row r="784" spans="1:8" x14ac:dyDescent="0.2">
      <c r="A784" s="10">
        <v>34</v>
      </c>
      <c r="B784" s="10" t="s">
        <v>1092</v>
      </c>
      <c r="C784" s="10">
        <v>3479</v>
      </c>
      <c r="D784" s="10" t="s">
        <v>1134</v>
      </c>
      <c r="E784" s="11">
        <v>1446</v>
      </c>
      <c r="F784" s="11">
        <v>1507</v>
      </c>
      <c r="G784" s="11">
        <v>2953</v>
      </c>
      <c r="H784" s="11">
        <v>1234</v>
      </c>
    </row>
    <row r="785" spans="1:8" x14ac:dyDescent="0.2">
      <c r="A785" s="10">
        <v>34</v>
      </c>
      <c r="B785" s="10" t="s">
        <v>1092</v>
      </c>
      <c r="C785" s="10">
        <v>3480</v>
      </c>
      <c r="D785" s="10" t="s">
        <v>1135</v>
      </c>
      <c r="E785" s="11">
        <v>1584</v>
      </c>
      <c r="F785" s="11">
        <v>1616</v>
      </c>
      <c r="G785" s="11">
        <v>3200</v>
      </c>
      <c r="H785" s="11">
        <v>1164</v>
      </c>
    </row>
    <row r="786" spans="1:8" x14ac:dyDescent="0.2">
      <c r="A786" s="10">
        <v>34</v>
      </c>
      <c r="B786" s="10" t="s">
        <v>1092</v>
      </c>
      <c r="C786" s="10">
        <v>3481</v>
      </c>
      <c r="D786" s="10" t="s">
        <v>1136</v>
      </c>
      <c r="E786" s="11">
        <v>1435</v>
      </c>
      <c r="F786" s="11">
        <v>1568</v>
      </c>
      <c r="G786" s="11">
        <v>3003</v>
      </c>
      <c r="H786" s="11">
        <v>1058</v>
      </c>
    </row>
    <row r="787" spans="1:8" x14ac:dyDescent="0.2">
      <c r="A787" s="10">
        <v>34</v>
      </c>
      <c r="B787" s="10" t="s">
        <v>1092</v>
      </c>
      <c r="C787" s="10">
        <v>3482</v>
      </c>
      <c r="D787" s="10" t="s">
        <v>1137</v>
      </c>
      <c r="E787" s="11">
        <v>1489</v>
      </c>
      <c r="F787" s="11">
        <v>1566</v>
      </c>
      <c r="G787" s="11">
        <v>3055</v>
      </c>
      <c r="H787" s="11">
        <v>1012</v>
      </c>
    </row>
    <row r="788" spans="1:8" x14ac:dyDescent="0.2">
      <c r="A788" s="10">
        <v>34</v>
      </c>
      <c r="B788" s="10" t="s">
        <v>1092</v>
      </c>
      <c r="C788" s="10">
        <v>3483</v>
      </c>
      <c r="D788" s="10" t="s">
        <v>1138</v>
      </c>
      <c r="E788" s="11">
        <v>1407</v>
      </c>
      <c r="F788" s="11">
        <v>1543</v>
      </c>
      <c r="G788" s="11">
        <v>2950</v>
      </c>
      <c r="H788" s="11">
        <v>1656</v>
      </c>
    </row>
    <row r="789" spans="1:8" x14ac:dyDescent="0.2">
      <c r="A789" s="10">
        <v>34</v>
      </c>
      <c r="B789" s="10" t="s">
        <v>1092</v>
      </c>
      <c r="C789" s="10">
        <v>3484</v>
      </c>
      <c r="D789" s="10" t="s">
        <v>1139</v>
      </c>
      <c r="E789" s="11">
        <v>2098</v>
      </c>
      <c r="F789" s="11">
        <v>2060</v>
      </c>
      <c r="G789" s="11">
        <v>4158</v>
      </c>
      <c r="H789" s="11">
        <v>1552</v>
      </c>
    </row>
    <row r="790" spans="1:8" x14ac:dyDescent="0.2">
      <c r="A790" s="10">
        <v>34</v>
      </c>
      <c r="B790" s="10" t="s">
        <v>1092</v>
      </c>
      <c r="C790" s="10">
        <v>3485</v>
      </c>
      <c r="D790" s="10" t="s">
        <v>1140</v>
      </c>
      <c r="E790" s="11">
        <v>4265</v>
      </c>
      <c r="F790" s="11">
        <v>4522</v>
      </c>
      <c r="G790" s="11">
        <v>8787</v>
      </c>
      <c r="H790" s="11">
        <v>4544</v>
      </c>
    </row>
    <row r="791" spans="1:8" x14ac:dyDescent="0.2">
      <c r="A791" s="10">
        <v>34</v>
      </c>
      <c r="B791" s="10" t="s">
        <v>1092</v>
      </c>
      <c r="C791" s="10">
        <v>3486</v>
      </c>
      <c r="D791" s="10" t="s">
        <v>1141</v>
      </c>
      <c r="E791" s="11">
        <v>2108</v>
      </c>
      <c r="F791" s="11">
        <v>2235</v>
      </c>
      <c r="G791" s="11">
        <v>4343</v>
      </c>
      <c r="H791" s="11">
        <v>2192</v>
      </c>
    </row>
    <row r="792" spans="1:8" x14ac:dyDescent="0.2">
      <c r="A792" s="10">
        <v>34</v>
      </c>
      <c r="B792" s="10" t="s">
        <v>1092</v>
      </c>
      <c r="C792" s="10">
        <v>3487</v>
      </c>
      <c r="D792" s="10" t="s">
        <v>1142</v>
      </c>
      <c r="E792" s="11">
        <v>4260</v>
      </c>
      <c r="F792" s="11">
        <v>4382</v>
      </c>
      <c r="G792" s="11">
        <v>8642</v>
      </c>
      <c r="H792" s="11">
        <v>3525</v>
      </c>
    </row>
    <row r="793" spans="1:8" x14ac:dyDescent="0.2">
      <c r="A793" s="10">
        <v>34</v>
      </c>
      <c r="B793" s="10" t="s">
        <v>1092</v>
      </c>
      <c r="C793" s="10">
        <v>3488</v>
      </c>
      <c r="D793" s="10" t="s">
        <v>1143</v>
      </c>
      <c r="E793" s="11">
        <v>3391</v>
      </c>
      <c r="F793" s="11">
        <v>3423</v>
      </c>
      <c r="G793" s="11">
        <v>6814</v>
      </c>
      <c r="H793" s="11">
        <v>2736</v>
      </c>
    </row>
    <row r="794" spans="1:8" x14ac:dyDescent="0.2">
      <c r="A794" s="10">
        <v>34</v>
      </c>
      <c r="B794" s="10" t="s">
        <v>1092</v>
      </c>
      <c r="C794" s="10">
        <v>3489</v>
      </c>
      <c r="D794" s="10" t="s">
        <v>1144</v>
      </c>
      <c r="E794" s="11">
        <v>6103</v>
      </c>
      <c r="F794" s="11">
        <v>6644</v>
      </c>
      <c r="G794" s="11">
        <v>12747</v>
      </c>
      <c r="H794" s="11">
        <v>7011</v>
      </c>
    </row>
    <row r="795" spans="1:8" x14ac:dyDescent="0.2">
      <c r="A795" s="10">
        <v>34</v>
      </c>
      <c r="B795" s="10" t="s">
        <v>1092</v>
      </c>
      <c r="C795" s="10">
        <v>3490</v>
      </c>
      <c r="D795" s="10" t="s">
        <v>1145</v>
      </c>
      <c r="E795" s="11">
        <v>3259</v>
      </c>
      <c r="F795" s="11">
        <v>3278</v>
      </c>
      <c r="G795" s="11">
        <v>6537</v>
      </c>
      <c r="H795" s="11">
        <v>1938</v>
      </c>
    </row>
    <row r="796" spans="1:8" x14ac:dyDescent="0.2">
      <c r="A796" s="10">
        <v>34</v>
      </c>
      <c r="B796" s="10" t="s">
        <v>1092</v>
      </c>
      <c r="C796" s="10">
        <v>3491</v>
      </c>
      <c r="D796" s="10" t="s">
        <v>1146</v>
      </c>
      <c r="E796" s="11">
        <v>1500</v>
      </c>
      <c r="F796" s="11">
        <v>1603</v>
      </c>
      <c r="G796" s="11">
        <v>3103</v>
      </c>
      <c r="H796" s="11">
        <v>1049</v>
      </c>
    </row>
    <row r="797" spans="1:8" x14ac:dyDescent="0.2">
      <c r="A797" s="10">
        <v>34</v>
      </c>
      <c r="B797" s="10" t="s">
        <v>1092</v>
      </c>
      <c r="C797" s="10">
        <v>3492</v>
      </c>
      <c r="D797" s="10" t="s">
        <v>1147</v>
      </c>
      <c r="E797" s="11">
        <v>2817</v>
      </c>
      <c r="F797" s="11">
        <v>3121</v>
      </c>
      <c r="G797" s="11">
        <v>5938</v>
      </c>
      <c r="H797" s="11">
        <v>2640</v>
      </c>
    </row>
    <row r="798" spans="1:8" x14ac:dyDescent="0.2">
      <c r="A798" s="10">
        <v>34</v>
      </c>
      <c r="B798" s="10" t="s">
        <v>1092</v>
      </c>
      <c r="C798" s="10">
        <v>3493</v>
      </c>
      <c r="D798" s="10" t="s">
        <v>1148</v>
      </c>
      <c r="E798" s="11">
        <v>2116</v>
      </c>
      <c r="F798" s="11">
        <v>2261</v>
      </c>
      <c r="G798" s="11">
        <v>4377</v>
      </c>
      <c r="H798" s="11">
        <v>2201</v>
      </c>
    </row>
    <row r="799" spans="1:8" x14ac:dyDescent="0.2">
      <c r="A799" s="10">
        <v>34</v>
      </c>
      <c r="B799" s="10" t="s">
        <v>1092</v>
      </c>
      <c r="C799" s="10">
        <v>3494</v>
      </c>
      <c r="D799" s="10" t="s">
        <v>1149</v>
      </c>
      <c r="E799" s="11">
        <v>1438</v>
      </c>
      <c r="F799" s="11">
        <v>1459</v>
      </c>
      <c r="G799" s="11">
        <v>2897</v>
      </c>
      <c r="H799" s="11">
        <v>1382</v>
      </c>
    </row>
    <row r="800" spans="1:8" x14ac:dyDescent="0.2">
      <c r="A800" s="10">
        <v>34</v>
      </c>
      <c r="B800" s="10" t="s">
        <v>1092</v>
      </c>
      <c r="C800" s="10">
        <v>3495</v>
      </c>
      <c r="D800" s="10" t="s">
        <v>1150</v>
      </c>
      <c r="E800" s="11">
        <v>2016</v>
      </c>
      <c r="F800" s="11">
        <v>2009</v>
      </c>
      <c r="G800" s="11">
        <v>4025</v>
      </c>
      <c r="H800" s="11">
        <v>2117</v>
      </c>
    </row>
    <row r="801" spans="1:8" x14ac:dyDescent="0.2">
      <c r="A801" s="10">
        <v>34</v>
      </c>
      <c r="B801" s="10" t="s">
        <v>1092</v>
      </c>
      <c r="C801" s="10">
        <v>3496</v>
      </c>
      <c r="D801" s="10" t="s">
        <v>1151</v>
      </c>
      <c r="E801" s="11">
        <v>2551</v>
      </c>
      <c r="F801" s="11">
        <v>2998</v>
      </c>
      <c r="G801" s="11">
        <v>5549</v>
      </c>
      <c r="H801" s="11">
        <v>3214</v>
      </c>
    </row>
    <row r="802" spans="1:8" x14ac:dyDescent="0.2">
      <c r="A802" s="10">
        <v>34</v>
      </c>
      <c r="B802" s="10" t="s">
        <v>1092</v>
      </c>
      <c r="C802" s="10">
        <v>3497</v>
      </c>
      <c r="D802" s="10" t="s">
        <v>1152</v>
      </c>
      <c r="E802" s="11">
        <v>4779</v>
      </c>
      <c r="F802" s="11">
        <v>5066</v>
      </c>
      <c r="G802" s="11">
        <v>9845</v>
      </c>
      <c r="H802" s="11">
        <v>4683</v>
      </c>
    </row>
    <row r="803" spans="1:8" x14ac:dyDescent="0.2">
      <c r="A803" s="10">
        <v>34</v>
      </c>
      <c r="B803" s="10" t="s">
        <v>1092</v>
      </c>
      <c r="C803" s="10">
        <v>3498</v>
      </c>
      <c r="D803" s="10" t="s">
        <v>1153</v>
      </c>
      <c r="E803" s="11">
        <v>11476</v>
      </c>
      <c r="F803" s="11">
        <v>12990</v>
      </c>
      <c r="G803" s="11">
        <v>24466</v>
      </c>
      <c r="H803" s="11">
        <v>11080</v>
      </c>
    </row>
    <row r="804" spans="1:8" x14ac:dyDescent="0.2">
      <c r="A804" s="10">
        <v>34</v>
      </c>
      <c r="B804" s="10" t="s">
        <v>1092</v>
      </c>
      <c r="C804" s="10">
        <v>3499</v>
      </c>
      <c r="D804" s="10" t="s">
        <v>1154</v>
      </c>
      <c r="E804" s="11">
        <v>31533</v>
      </c>
      <c r="F804" s="11">
        <v>37042</v>
      </c>
      <c r="G804" s="11">
        <v>68575</v>
      </c>
      <c r="H804" s="11">
        <v>32743</v>
      </c>
    </row>
    <row r="805" spans="1:8" x14ac:dyDescent="0.2">
      <c r="A805" s="10">
        <v>35</v>
      </c>
      <c r="B805" s="10" t="s">
        <v>1155</v>
      </c>
      <c r="C805" s="10">
        <v>3501</v>
      </c>
      <c r="D805" s="10" t="s">
        <v>1156</v>
      </c>
      <c r="E805" s="11">
        <v>52643</v>
      </c>
      <c r="F805" s="11">
        <v>52992</v>
      </c>
      <c r="G805" s="11">
        <v>105635</v>
      </c>
      <c r="H805" s="11">
        <v>40833</v>
      </c>
    </row>
    <row r="806" spans="1:8" x14ac:dyDescent="0.2">
      <c r="A806" s="10">
        <v>35</v>
      </c>
      <c r="B806" s="10" t="s">
        <v>1155</v>
      </c>
      <c r="C806" s="10">
        <v>3502</v>
      </c>
      <c r="D806" s="10" t="s">
        <v>1157</v>
      </c>
      <c r="E806" s="11">
        <v>12087</v>
      </c>
      <c r="F806" s="11">
        <v>12071</v>
      </c>
      <c r="G806" s="11">
        <v>24158</v>
      </c>
      <c r="H806" s="11">
        <v>8419</v>
      </c>
    </row>
    <row r="807" spans="1:8" x14ac:dyDescent="0.2">
      <c r="A807" s="10">
        <v>35</v>
      </c>
      <c r="B807" s="10" t="s">
        <v>1155</v>
      </c>
      <c r="C807" s="10">
        <v>3503</v>
      </c>
      <c r="D807" s="10" t="s">
        <v>1158</v>
      </c>
      <c r="E807" s="11">
        <v>30502</v>
      </c>
      <c r="F807" s="11">
        <v>30192</v>
      </c>
      <c r="G807" s="11">
        <v>60694</v>
      </c>
      <c r="H807" s="11">
        <v>21029</v>
      </c>
    </row>
    <row r="808" spans="1:8" x14ac:dyDescent="0.2">
      <c r="A808" s="10">
        <v>35</v>
      </c>
      <c r="B808" s="10" t="s">
        <v>1155</v>
      </c>
      <c r="C808" s="10">
        <v>3504</v>
      </c>
      <c r="D808" s="10" t="s">
        <v>1159</v>
      </c>
      <c r="E808" s="11">
        <v>30273</v>
      </c>
      <c r="F808" s="11">
        <v>30438</v>
      </c>
      <c r="G808" s="11">
        <v>60711</v>
      </c>
      <c r="H808" s="11">
        <v>20093</v>
      </c>
    </row>
    <row r="809" spans="1:8" x14ac:dyDescent="0.2">
      <c r="A809" s="10">
        <v>35</v>
      </c>
      <c r="B809" s="10" t="s">
        <v>1155</v>
      </c>
      <c r="C809" s="10">
        <v>3505</v>
      </c>
      <c r="D809" s="10" t="s">
        <v>1160</v>
      </c>
      <c r="E809" s="11">
        <v>15672</v>
      </c>
      <c r="F809" s="11">
        <v>15856</v>
      </c>
      <c r="G809" s="11">
        <v>31528</v>
      </c>
      <c r="H809" s="11">
        <v>10634</v>
      </c>
    </row>
    <row r="810" spans="1:8" x14ac:dyDescent="0.2">
      <c r="A810" s="10">
        <v>35</v>
      </c>
      <c r="B810" s="10" t="s">
        <v>1155</v>
      </c>
      <c r="C810" s="10">
        <v>3506</v>
      </c>
      <c r="D810" s="10" t="s">
        <v>1161</v>
      </c>
      <c r="E810" s="11">
        <v>25192</v>
      </c>
      <c r="F810" s="11">
        <v>25220</v>
      </c>
      <c r="G810" s="11">
        <v>50412</v>
      </c>
      <c r="H810" s="11">
        <v>15229</v>
      </c>
    </row>
    <row r="811" spans="1:8" x14ac:dyDescent="0.2">
      <c r="A811" s="10">
        <v>35</v>
      </c>
      <c r="B811" s="10" t="s">
        <v>1155</v>
      </c>
      <c r="C811" s="10">
        <v>3507</v>
      </c>
      <c r="D811" s="10" t="s">
        <v>1162</v>
      </c>
      <c r="E811" s="11">
        <v>10066</v>
      </c>
      <c r="F811" s="11">
        <v>10280</v>
      </c>
      <c r="G811" s="11">
        <v>20346</v>
      </c>
      <c r="H811" s="11">
        <v>5752</v>
      </c>
    </row>
    <row r="812" spans="1:8" x14ac:dyDescent="0.2">
      <c r="A812" s="10">
        <v>35</v>
      </c>
      <c r="B812" s="10" t="s">
        <v>1155</v>
      </c>
      <c r="C812" s="10">
        <v>3508</v>
      </c>
      <c r="D812" s="10" t="s">
        <v>1163</v>
      </c>
      <c r="E812" s="11">
        <v>44216</v>
      </c>
      <c r="F812" s="11">
        <v>44657</v>
      </c>
      <c r="G812" s="11">
        <v>88873</v>
      </c>
      <c r="H812" s="11">
        <v>31695</v>
      </c>
    </row>
    <row r="813" spans="1:8" x14ac:dyDescent="0.2">
      <c r="A813" s="10">
        <v>35</v>
      </c>
      <c r="B813" s="10" t="s">
        <v>1155</v>
      </c>
      <c r="C813" s="10">
        <v>3509</v>
      </c>
      <c r="D813" s="10" t="s">
        <v>1164</v>
      </c>
      <c r="E813" s="11">
        <v>14952</v>
      </c>
      <c r="F813" s="11">
        <v>15167</v>
      </c>
      <c r="G813" s="11">
        <v>30119</v>
      </c>
      <c r="H813" s="11">
        <v>11510</v>
      </c>
    </row>
    <row r="814" spans="1:8" x14ac:dyDescent="0.2">
      <c r="A814" s="10">
        <v>35</v>
      </c>
      <c r="B814" s="10" t="s">
        <v>1155</v>
      </c>
      <c r="C814" s="10">
        <v>3591</v>
      </c>
      <c r="D814" s="10" t="s">
        <v>1165</v>
      </c>
      <c r="E814" s="11">
        <v>1837</v>
      </c>
      <c r="F814" s="11">
        <v>1954</v>
      </c>
      <c r="G814" s="11">
        <v>3791</v>
      </c>
      <c r="H814" s="11">
        <v>2389</v>
      </c>
    </row>
    <row r="815" spans="1:8" x14ac:dyDescent="0.2">
      <c r="A815" s="10">
        <v>35</v>
      </c>
      <c r="B815" s="10" t="s">
        <v>1155</v>
      </c>
      <c r="C815" s="10">
        <v>3592</v>
      </c>
      <c r="D815" s="10" t="s">
        <v>1166</v>
      </c>
      <c r="E815" s="11">
        <v>1349</v>
      </c>
      <c r="F815" s="11">
        <v>1444</v>
      </c>
      <c r="G815" s="11">
        <v>2793</v>
      </c>
      <c r="H815" s="11">
        <v>1131</v>
      </c>
    </row>
    <row r="816" spans="1:8" x14ac:dyDescent="0.2">
      <c r="A816" s="10">
        <v>35</v>
      </c>
      <c r="B816" s="10" t="s">
        <v>1155</v>
      </c>
      <c r="C816" s="10">
        <v>3593</v>
      </c>
      <c r="D816" s="10" t="s">
        <v>1167</v>
      </c>
      <c r="E816" s="11">
        <v>2137</v>
      </c>
      <c r="F816" s="11">
        <v>2271</v>
      </c>
      <c r="G816" s="11">
        <v>4408</v>
      </c>
      <c r="H816" s="11">
        <v>1699</v>
      </c>
    </row>
    <row r="817" spans="1:8" x14ac:dyDescent="0.2">
      <c r="A817" s="10">
        <v>35</v>
      </c>
      <c r="B817" s="10" t="s">
        <v>1155</v>
      </c>
      <c r="C817" s="10">
        <v>3594</v>
      </c>
      <c r="D817" s="10" t="s">
        <v>1168</v>
      </c>
      <c r="E817" s="11">
        <v>2249</v>
      </c>
      <c r="F817" s="11">
        <v>2298</v>
      </c>
      <c r="G817" s="11">
        <v>4547</v>
      </c>
      <c r="H817" s="11">
        <v>1935</v>
      </c>
    </row>
    <row r="818" spans="1:8" x14ac:dyDescent="0.2">
      <c r="A818" s="10">
        <v>35</v>
      </c>
      <c r="B818" s="10" t="s">
        <v>1155</v>
      </c>
      <c r="C818" s="10">
        <v>3595</v>
      </c>
      <c r="D818" s="10" t="s">
        <v>1169</v>
      </c>
      <c r="E818" s="11">
        <v>1451</v>
      </c>
      <c r="F818" s="11">
        <v>1486</v>
      </c>
      <c r="G818" s="11">
        <v>2937</v>
      </c>
      <c r="H818" s="11">
        <v>1323</v>
      </c>
    </row>
    <row r="819" spans="1:8" x14ac:dyDescent="0.2">
      <c r="A819" s="10">
        <v>35</v>
      </c>
      <c r="B819" s="10" t="s">
        <v>1155</v>
      </c>
      <c r="C819" s="10">
        <v>3596</v>
      </c>
      <c r="D819" s="10" t="s">
        <v>1170</v>
      </c>
      <c r="E819" s="11">
        <v>1788</v>
      </c>
      <c r="F819" s="11">
        <v>1857</v>
      </c>
      <c r="G819" s="11">
        <v>3645</v>
      </c>
      <c r="H819" s="11">
        <v>1590</v>
      </c>
    </row>
    <row r="820" spans="1:8" x14ac:dyDescent="0.2">
      <c r="A820" s="10">
        <v>35</v>
      </c>
      <c r="B820" s="10" t="s">
        <v>1155</v>
      </c>
      <c r="C820" s="10">
        <v>3597</v>
      </c>
      <c r="D820" s="10" t="s">
        <v>1171</v>
      </c>
      <c r="E820" s="11">
        <v>2319</v>
      </c>
      <c r="F820" s="11">
        <v>2437</v>
      </c>
      <c r="G820" s="11">
        <v>4756</v>
      </c>
      <c r="H820" s="11">
        <v>2322</v>
      </c>
    </row>
    <row r="821" spans="1:8" x14ac:dyDescent="0.2">
      <c r="A821" s="10">
        <v>35</v>
      </c>
      <c r="B821" s="10" t="s">
        <v>1155</v>
      </c>
      <c r="C821" s="10">
        <v>3598</v>
      </c>
      <c r="D821" s="10" t="s">
        <v>1172</v>
      </c>
      <c r="E821" s="11">
        <v>2973</v>
      </c>
      <c r="F821" s="11">
        <v>3223</v>
      </c>
      <c r="G821" s="11">
        <v>6196</v>
      </c>
      <c r="H821" s="11">
        <v>2266</v>
      </c>
    </row>
    <row r="822" spans="1:8" x14ac:dyDescent="0.2">
      <c r="A822" s="10">
        <v>35</v>
      </c>
      <c r="B822" s="10" t="s">
        <v>1155</v>
      </c>
      <c r="C822" s="10">
        <v>3599</v>
      </c>
      <c r="D822" s="10" t="s">
        <v>1173</v>
      </c>
      <c r="E822" s="11">
        <v>9498</v>
      </c>
      <c r="F822" s="11">
        <v>10278</v>
      </c>
      <c r="G822" s="11">
        <v>19776</v>
      </c>
      <c r="H822" s="11">
        <v>9493</v>
      </c>
    </row>
    <row r="823" spans="1:8" x14ac:dyDescent="0.2">
      <c r="A823" s="10">
        <v>36</v>
      </c>
      <c r="B823" s="10" t="s">
        <v>1174</v>
      </c>
      <c r="C823" s="10">
        <v>3601</v>
      </c>
      <c r="D823" s="10" t="s">
        <v>1175</v>
      </c>
      <c r="E823" s="11">
        <v>65937</v>
      </c>
      <c r="F823" s="11">
        <v>69521</v>
      </c>
      <c r="G823" s="11">
        <v>135458</v>
      </c>
      <c r="H823" s="11">
        <v>57980</v>
      </c>
    </row>
    <row r="824" spans="1:8" x14ac:dyDescent="0.2">
      <c r="A824" s="10">
        <v>36</v>
      </c>
      <c r="B824" s="10" t="s">
        <v>1174</v>
      </c>
      <c r="C824" s="10">
        <v>3602</v>
      </c>
      <c r="D824" s="10" t="s">
        <v>1176</v>
      </c>
      <c r="E824" s="11">
        <v>20529</v>
      </c>
      <c r="F824" s="11">
        <v>21078</v>
      </c>
      <c r="G824" s="11">
        <v>41607</v>
      </c>
      <c r="H824" s="11">
        <v>15324</v>
      </c>
    </row>
    <row r="825" spans="1:8" x14ac:dyDescent="0.2">
      <c r="A825" s="10">
        <v>36</v>
      </c>
      <c r="B825" s="10" t="s">
        <v>1174</v>
      </c>
      <c r="C825" s="10">
        <v>3603</v>
      </c>
      <c r="D825" s="10" t="s">
        <v>1177</v>
      </c>
      <c r="E825" s="11">
        <v>23221</v>
      </c>
      <c r="F825" s="11">
        <v>23833</v>
      </c>
      <c r="G825" s="11">
        <v>47054</v>
      </c>
      <c r="H825" s="11">
        <v>18679</v>
      </c>
    </row>
    <row r="826" spans="1:8" x14ac:dyDescent="0.2">
      <c r="A826" s="10">
        <v>36</v>
      </c>
      <c r="B826" s="10" t="s">
        <v>1174</v>
      </c>
      <c r="C826" s="10">
        <v>3604</v>
      </c>
      <c r="D826" s="10" t="s">
        <v>1178</v>
      </c>
      <c r="E826" s="11">
        <v>42087</v>
      </c>
      <c r="F826" s="11">
        <v>42474</v>
      </c>
      <c r="G826" s="11">
        <v>84561</v>
      </c>
      <c r="H826" s="11">
        <v>26275</v>
      </c>
    </row>
    <row r="827" spans="1:8" x14ac:dyDescent="0.2">
      <c r="A827" s="10">
        <v>36</v>
      </c>
      <c r="B827" s="10" t="s">
        <v>1174</v>
      </c>
      <c r="C827" s="10">
        <v>3605</v>
      </c>
      <c r="D827" s="10" t="s">
        <v>1179</v>
      </c>
      <c r="E827" s="11">
        <v>46415</v>
      </c>
      <c r="F827" s="11">
        <v>46278</v>
      </c>
      <c r="G827" s="11">
        <v>92693</v>
      </c>
      <c r="H827" s="11">
        <v>31368</v>
      </c>
    </row>
    <row r="828" spans="1:8" x14ac:dyDescent="0.2">
      <c r="A828" s="10">
        <v>36</v>
      </c>
      <c r="B828" s="10" t="s">
        <v>1174</v>
      </c>
      <c r="C828" s="10">
        <v>3606</v>
      </c>
      <c r="D828" s="10" t="s">
        <v>1180</v>
      </c>
      <c r="E828" s="11">
        <v>32128</v>
      </c>
      <c r="F828" s="11">
        <v>34416</v>
      </c>
      <c r="G828" s="11">
        <v>66544</v>
      </c>
      <c r="H828" s="11">
        <v>25942</v>
      </c>
    </row>
    <row r="829" spans="1:8" x14ac:dyDescent="0.2">
      <c r="A829" s="10">
        <v>36</v>
      </c>
      <c r="B829" s="10" t="s">
        <v>1174</v>
      </c>
      <c r="C829" s="10">
        <v>3607</v>
      </c>
      <c r="D829" s="10" t="s">
        <v>1181</v>
      </c>
      <c r="E829" s="11">
        <v>19790</v>
      </c>
      <c r="F829" s="11">
        <v>20382</v>
      </c>
      <c r="G829" s="11">
        <v>40172</v>
      </c>
      <c r="H829" s="11">
        <v>14274</v>
      </c>
    </row>
    <row r="830" spans="1:8" x14ac:dyDescent="0.2">
      <c r="A830" s="10">
        <v>36</v>
      </c>
      <c r="B830" s="10" t="s">
        <v>1174</v>
      </c>
      <c r="C830" s="10">
        <v>3608</v>
      </c>
      <c r="D830" s="10" t="s">
        <v>1182</v>
      </c>
      <c r="E830" s="11">
        <v>16277</v>
      </c>
      <c r="F830" s="11">
        <v>16235</v>
      </c>
      <c r="G830" s="11">
        <v>32512</v>
      </c>
      <c r="H830" s="11">
        <v>12131</v>
      </c>
    </row>
    <row r="831" spans="1:8" x14ac:dyDescent="0.2">
      <c r="A831" s="10">
        <v>36</v>
      </c>
      <c r="B831" s="10" t="s">
        <v>1174</v>
      </c>
      <c r="C831" s="10">
        <v>3609</v>
      </c>
      <c r="D831" s="10" t="s">
        <v>1183</v>
      </c>
      <c r="E831" s="11">
        <v>32855</v>
      </c>
      <c r="F831" s="11">
        <v>32261</v>
      </c>
      <c r="G831" s="11">
        <v>65116</v>
      </c>
      <c r="H831" s="11">
        <v>25075</v>
      </c>
    </row>
    <row r="832" spans="1:8" x14ac:dyDescent="0.2">
      <c r="A832" s="10">
        <v>36</v>
      </c>
      <c r="B832" s="10" t="s">
        <v>1174</v>
      </c>
      <c r="C832" s="10">
        <v>3610</v>
      </c>
      <c r="D832" s="10" t="s">
        <v>1184</v>
      </c>
      <c r="E832" s="11">
        <v>52601</v>
      </c>
      <c r="F832" s="11">
        <v>54537</v>
      </c>
      <c r="G832" s="11">
        <v>107138</v>
      </c>
      <c r="H832" s="11">
        <v>36788</v>
      </c>
    </row>
    <row r="833" spans="1:8" x14ac:dyDescent="0.2">
      <c r="A833" s="10">
        <v>36</v>
      </c>
      <c r="B833" s="10" t="s">
        <v>1174</v>
      </c>
      <c r="C833" s="10">
        <v>3611</v>
      </c>
      <c r="D833" s="10" t="s">
        <v>1185</v>
      </c>
      <c r="E833" s="11">
        <v>19920</v>
      </c>
      <c r="F833" s="11">
        <v>20321</v>
      </c>
      <c r="G833" s="11">
        <v>40241</v>
      </c>
      <c r="H833" s="11">
        <v>12139</v>
      </c>
    </row>
    <row r="834" spans="1:8" x14ac:dyDescent="0.2">
      <c r="A834" s="10">
        <v>36</v>
      </c>
      <c r="B834" s="10" t="s">
        <v>1174</v>
      </c>
      <c r="C834" s="10">
        <v>3612</v>
      </c>
      <c r="D834" s="10" t="s">
        <v>1186</v>
      </c>
      <c r="E834" s="11">
        <v>35963</v>
      </c>
      <c r="F834" s="11">
        <v>36250</v>
      </c>
      <c r="G834" s="11">
        <v>72213</v>
      </c>
      <c r="H834" s="11">
        <v>26397</v>
      </c>
    </row>
    <row r="835" spans="1:8" x14ac:dyDescent="0.2">
      <c r="A835" s="10">
        <v>36</v>
      </c>
      <c r="B835" s="10" t="s">
        <v>1174</v>
      </c>
      <c r="C835" s="10">
        <v>3613</v>
      </c>
      <c r="D835" s="10" t="s">
        <v>1187</v>
      </c>
      <c r="E835" s="11">
        <v>19865</v>
      </c>
      <c r="F835" s="11">
        <v>20301</v>
      </c>
      <c r="G835" s="11">
        <v>40166</v>
      </c>
      <c r="H835" s="11">
        <v>14662</v>
      </c>
    </row>
    <row r="836" spans="1:8" x14ac:dyDescent="0.2">
      <c r="A836" s="10">
        <v>36</v>
      </c>
      <c r="B836" s="10" t="s">
        <v>1174</v>
      </c>
      <c r="C836" s="10">
        <v>3614</v>
      </c>
      <c r="D836" s="10" t="s">
        <v>1188</v>
      </c>
      <c r="E836" s="11">
        <v>15250</v>
      </c>
      <c r="F836" s="11">
        <v>15079</v>
      </c>
      <c r="G836" s="11">
        <v>30329</v>
      </c>
      <c r="H836" s="11">
        <v>12863</v>
      </c>
    </row>
    <row r="837" spans="1:8" x14ac:dyDescent="0.2">
      <c r="A837" s="10">
        <v>36</v>
      </c>
      <c r="B837" s="10" t="s">
        <v>1174</v>
      </c>
      <c r="C837" s="10">
        <v>3615</v>
      </c>
      <c r="D837" s="10" t="s">
        <v>1189</v>
      </c>
      <c r="E837" s="11">
        <v>12492</v>
      </c>
      <c r="F837" s="11">
        <v>12900</v>
      </c>
      <c r="G837" s="11">
        <v>25392</v>
      </c>
      <c r="H837" s="11">
        <v>8876</v>
      </c>
    </row>
    <row r="838" spans="1:8" x14ac:dyDescent="0.2">
      <c r="A838" s="10">
        <v>36</v>
      </c>
      <c r="B838" s="10" t="s">
        <v>1174</v>
      </c>
      <c r="C838" s="10">
        <v>3616</v>
      </c>
      <c r="D838" s="10" t="s">
        <v>1190</v>
      </c>
      <c r="E838" s="11">
        <v>7833</v>
      </c>
      <c r="F838" s="11">
        <v>7675</v>
      </c>
      <c r="G838" s="11">
        <v>15508</v>
      </c>
      <c r="H838" s="11">
        <v>6044</v>
      </c>
    </row>
    <row r="839" spans="1:8" x14ac:dyDescent="0.2">
      <c r="A839" s="10">
        <v>36</v>
      </c>
      <c r="B839" s="10" t="s">
        <v>1174</v>
      </c>
      <c r="C839" s="10">
        <v>3676</v>
      </c>
      <c r="D839" s="10" t="s">
        <v>1191</v>
      </c>
      <c r="E839" s="11">
        <v>7630</v>
      </c>
      <c r="F839" s="11">
        <v>7649</v>
      </c>
      <c r="G839" s="11">
        <v>15279</v>
      </c>
      <c r="H839" s="11">
        <v>4788</v>
      </c>
    </row>
    <row r="840" spans="1:8" x14ac:dyDescent="0.2">
      <c r="A840" s="10">
        <v>36</v>
      </c>
      <c r="B840" s="10" t="s">
        <v>1174</v>
      </c>
      <c r="C840" s="10">
        <v>3677</v>
      </c>
      <c r="D840" s="10" t="s">
        <v>1192</v>
      </c>
      <c r="E840" s="11">
        <v>7659</v>
      </c>
      <c r="F840" s="11">
        <v>7726</v>
      </c>
      <c r="G840" s="11">
        <v>15385</v>
      </c>
      <c r="H840" s="11">
        <v>4784</v>
      </c>
    </row>
    <row r="841" spans="1:8" x14ac:dyDescent="0.2">
      <c r="A841" s="10">
        <v>36</v>
      </c>
      <c r="B841" s="10" t="s">
        <v>1174</v>
      </c>
      <c r="C841" s="10">
        <v>3680</v>
      </c>
      <c r="D841" s="10" t="s">
        <v>1193</v>
      </c>
      <c r="E841" s="11">
        <v>1900</v>
      </c>
      <c r="F841" s="11">
        <v>2139</v>
      </c>
      <c r="G841" s="11">
        <v>4039</v>
      </c>
      <c r="H841" s="11">
        <v>1515</v>
      </c>
    </row>
    <row r="842" spans="1:8" x14ac:dyDescent="0.2">
      <c r="A842" s="10">
        <v>36</v>
      </c>
      <c r="B842" s="10" t="s">
        <v>1174</v>
      </c>
      <c r="C842" s="10">
        <v>3681</v>
      </c>
      <c r="D842" s="10" t="s">
        <v>1194</v>
      </c>
      <c r="E842" s="11">
        <v>3789</v>
      </c>
      <c r="F842" s="11">
        <v>4315</v>
      </c>
      <c r="G842" s="11">
        <v>8104</v>
      </c>
      <c r="H842" s="11">
        <v>4824</v>
      </c>
    </row>
    <row r="843" spans="1:8" x14ac:dyDescent="0.2">
      <c r="A843" s="10">
        <v>36</v>
      </c>
      <c r="B843" s="10" t="s">
        <v>1174</v>
      </c>
      <c r="C843" s="10">
        <v>3682</v>
      </c>
      <c r="D843" s="10" t="s">
        <v>1195</v>
      </c>
      <c r="E843" s="11">
        <v>5090</v>
      </c>
      <c r="F843" s="11">
        <v>5459</v>
      </c>
      <c r="G843" s="11">
        <v>10549</v>
      </c>
      <c r="H843" s="11">
        <v>3399</v>
      </c>
    </row>
    <row r="844" spans="1:8" x14ac:dyDescent="0.2">
      <c r="A844" s="10">
        <v>36</v>
      </c>
      <c r="B844" s="10" t="s">
        <v>1174</v>
      </c>
      <c r="C844" s="10">
        <v>3683</v>
      </c>
      <c r="D844" s="10" t="s">
        <v>1196</v>
      </c>
      <c r="E844" s="11">
        <v>1908</v>
      </c>
      <c r="F844" s="11">
        <v>2005</v>
      </c>
      <c r="G844" s="11">
        <v>3913</v>
      </c>
      <c r="H844" s="11">
        <v>1697</v>
      </c>
    </row>
    <row r="845" spans="1:8" x14ac:dyDescent="0.2">
      <c r="A845" s="10">
        <v>36</v>
      </c>
      <c r="B845" s="10" t="s">
        <v>1174</v>
      </c>
      <c r="C845" s="10">
        <v>3684</v>
      </c>
      <c r="D845" s="10" t="s">
        <v>1197</v>
      </c>
      <c r="E845" s="11">
        <v>2691</v>
      </c>
      <c r="F845" s="11">
        <v>3137</v>
      </c>
      <c r="G845" s="11">
        <v>5828</v>
      </c>
      <c r="H845" s="11">
        <v>3122</v>
      </c>
    </row>
    <row r="846" spans="1:8" x14ac:dyDescent="0.2">
      <c r="A846" s="10">
        <v>36</v>
      </c>
      <c r="B846" s="10" t="s">
        <v>1174</v>
      </c>
      <c r="C846" s="10">
        <v>3685</v>
      </c>
      <c r="D846" s="10" t="s">
        <v>1198</v>
      </c>
      <c r="E846" s="11">
        <v>2686</v>
      </c>
      <c r="F846" s="11">
        <v>2735</v>
      </c>
      <c r="G846" s="11">
        <v>5421</v>
      </c>
      <c r="H846" s="11">
        <v>1810</v>
      </c>
    </row>
    <row r="847" spans="1:8" x14ac:dyDescent="0.2">
      <c r="A847" s="10">
        <v>36</v>
      </c>
      <c r="B847" s="10" t="s">
        <v>1174</v>
      </c>
      <c r="C847" s="10">
        <v>3686</v>
      </c>
      <c r="D847" s="10" t="s">
        <v>1199</v>
      </c>
      <c r="E847" s="11">
        <v>1864</v>
      </c>
      <c r="F847" s="11">
        <v>1886</v>
      </c>
      <c r="G847" s="11">
        <v>3750</v>
      </c>
      <c r="H847" s="11">
        <v>2384</v>
      </c>
    </row>
    <row r="848" spans="1:8" x14ac:dyDescent="0.2">
      <c r="A848" s="10">
        <v>36</v>
      </c>
      <c r="B848" s="10" t="s">
        <v>1174</v>
      </c>
      <c r="C848" s="10">
        <v>3687</v>
      </c>
      <c r="D848" s="10" t="s">
        <v>1200</v>
      </c>
      <c r="E848" s="11">
        <v>2838</v>
      </c>
      <c r="F848" s="11">
        <v>2903</v>
      </c>
      <c r="G848" s="11">
        <v>5741</v>
      </c>
      <c r="H848" s="11">
        <v>2816</v>
      </c>
    </row>
    <row r="849" spans="1:8" x14ac:dyDescent="0.2">
      <c r="A849" s="10">
        <v>36</v>
      </c>
      <c r="B849" s="10" t="s">
        <v>1174</v>
      </c>
      <c r="C849" s="10">
        <v>3688</v>
      </c>
      <c r="D849" s="10" t="s">
        <v>1201</v>
      </c>
      <c r="E849" s="11">
        <v>3170</v>
      </c>
      <c r="F849" s="11">
        <v>3462</v>
      </c>
      <c r="G849" s="11">
        <v>6632</v>
      </c>
      <c r="H849" s="11">
        <v>3139</v>
      </c>
    </row>
    <row r="850" spans="1:8" x14ac:dyDescent="0.2">
      <c r="A850" s="10">
        <v>36</v>
      </c>
      <c r="B850" s="10" t="s">
        <v>1174</v>
      </c>
      <c r="C850" s="10">
        <v>3689</v>
      </c>
      <c r="D850" s="10" t="s">
        <v>1202</v>
      </c>
      <c r="E850" s="11">
        <v>2258</v>
      </c>
      <c r="F850" s="11">
        <v>2427</v>
      </c>
      <c r="G850" s="11">
        <v>4685</v>
      </c>
      <c r="H850" s="11">
        <v>2289</v>
      </c>
    </row>
    <row r="851" spans="1:8" x14ac:dyDescent="0.2">
      <c r="A851" s="10">
        <v>36</v>
      </c>
      <c r="B851" s="10" t="s">
        <v>1174</v>
      </c>
      <c r="C851" s="10">
        <v>3690</v>
      </c>
      <c r="D851" s="10" t="s">
        <v>1203</v>
      </c>
      <c r="E851" s="10">
        <v>916</v>
      </c>
      <c r="F851" s="10">
        <v>951</v>
      </c>
      <c r="G851" s="11">
        <v>1867</v>
      </c>
      <c r="H851" s="10">
        <v>840</v>
      </c>
    </row>
    <row r="852" spans="1:8" x14ac:dyDescent="0.2">
      <c r="A852" s="10">
        <v>36</v>
      </c>
      <c r="B852" s="10" t="s">
        <v>1174</v>
      </c>
      <c r="C852" s="10">
        <v>3691</v>
      </c>
      <c r="D852" s="10" t="s">
        <v>1204</v>
      </c>
      <c r="E852" s="11">
        <v>1909</v>
      </c>
      <c r="F852" s="11">
        <v>2095</v>
      </c>
      <c r="G852" s="11">
        <v>4004</v>
      </c>
      <c r="H852" s="11">
        <v>2285</v>
      </c>
    </row>
    <row r="853" spans="1:8" x14ac:dyDescent="0.2">
      <c r="A853" s="10">
        <v>36</v>
      </c>
      <c r="B853" s="10" t="s">
        <v>1174</v>
      </c>
      <c r="C853" s="10">
        <v>3692</v>
      </c>
      <c r="D853" s="10" t="s">
        <v>1205</v>
      </c>
      <c r="E853" s="11">
        <v>4148</v>
      </c>
      <c r="F853" s="11">
        <v>4376</v>
      </c>
      <c r="G853" s="11">
        <v>8524</v>
      </c>
      <c r="H853" s="11">
        <v>4600</v>
      </c>
    </row>
    <row r="854" spans="1:8" x14ac:dyDescent="0.2">
      <c r="A854" s="10">
        <v>36</v>
      </c>
      <c r="B854" s="10" t="s">
        <v>1174</v>
      </c>
      <c r="C854" s="10">
        <v>3693</v>
      </c>
      <c r="D854" s="10" t="s">
        <v>1206</v>
      </c>
      <c r="E854" s="11">
        <v>3642</v>
      </c>
      <c r="F854" s="11">
        <v>3849</v>
      </c>
      <c r="G854" s="11">
        <v>7491</v>
      </c>
      <c r="H854" s="11">
        <v>2442</v>
      </c>
    </row>
    <row r="855" spans="1:8" x14ac:dyDescent="0.2">
      <c r="A855" s="10">
        <v>36</v>
      </c>
      <c r="B855" s="10" t="s">
        <v>1174</v>
      </c>
      <c r="C855" s="10">
        <v>3694</v>
      </c>
      <c r="D855" s="10" t="s">
        <v>1207</v>
      </c>
      <c r="E855" s="11">
        <v>1344</v>
      </c>
      <c r="F855" s="11">
        <v>1493</v>
      </c>
      <c r="G855" s="11">
        <v>2837</v>
      </c>
      <c r="H855" s="11">
        <v>1353</v>
      </c>
    </row>
    <row r="856" spans="1:8" x14ac:dyDescent="0.2">
      <c r="A856" s="10">
        <v>36</v>
      </c>
      <c r="B856" s="10" t="s">
        <v>1174</v>
      </c>
      <c r="C856" s="10">
        <v>3695</v>
      </c>
      <c r="D856" s="10" t="s">
        <v>1208</v>
      </c>
      <c r="E856" s="11">
        <v>1918</v>
      </c>
      <c r="F856" s="11">
        <v>2125</v>
      </c>
      <c r="G856" s="11">
        <v>4043</v>
      </c>
      <c r="H856" s="11">
        <v>1938</v>
      </c>
    </row>
    <row r="857" spans="1:8" x14ac:dyDescent="0.2">
      <c r="A857" s="10">
        <v>36</v>
      </c>
      <c r="B857" s="10" t="s">
        <v>1174</v>
      </c>
      <c r="C857" s="10">
        <v>3696</v>
      </c>
      <c r="D857" s="10" t="s">
        <v>1209</v>
      </c>
      <c r="E857" s="11">
        <v>3674</v>
      </c>
      <c r="F857" s="11">
        <v>4063</v>
      </c>
      <c r="G857" s="11">
        <v>7737</v>
      </c>
      <c r="H857" s="11">
        <v>3567</v>
      </c>
    </row>
    <row r="858" spans="1:8" x14ac:dyDescent="0.2">
      <c r="A858" s="10">
        <v>36</v>
      </c>
      <c r="B858" s="10" t="s">
        <v>1174</v>
      </c>
      <c r="C858" s="10">
        <v>3697</v>
      </c>
      <c r="D858" s="10" t="s">
        <v>1210</v>
      </c>
      <c r="E858" s="11">
        <v>2085</v>
      </c>
      <c r="F858" s="11">
        <v>2361</v>
      </c>
      <c r="G858" s="11">
        <v>4446</v>
      </c>
      <c r="H858" s="11">
        <v>1813</v>
      </c>
    </row>
    <row r="859" spans="1:8" x14ac:dyDescent="0.2">
      <c r="A859" s="10">
        <v>36</v>
      </c>
      <c r="B859" s="10" t="s">
        <v>1174</v>
      </c>
      <c r="C859" s="10">
        <v>3698</v>
      </c>
      <c r="D859" s="10" t="s">
        <v>1211</v>
      </c>
      <c r="E859" s="11">
        <v>2303</v>
      </c>
      <c r="F859" s="11">
        <v>2423</v>
      </c>
      <c r="G859" s="11">
        <v>4726</v>
      </c>
      <c r="H859" s="11">
        <v>2001</v>
      </c>
    </row>
    <row r="860" spans="1:8" x14ac:dyDescent="0.2">
      <c r="A860" s="10">
        <v>36</v>
      </c>
      <c r="B860" s="10" t="s">
        <v>1174</v>
      </c>
      <c r="C860" s="10">
        <v>3699</v>
      </c>
      <c r="D860" s="10" t="s">
        <v>1212</v>
      </c>
      <c r="E860" s="11">
        <v>16369</v>
      </c>
      <c r="F860" s="11">
        <v>18330</v>
      </c>
      <c r="G860" s="11">
        <v>34699</v>
      </c>
      <c r="H860" s="11">
        <v>21996</v>
      </c>
    </row>
    <row r="861" spans="1:8" x14ac:dyDescent="0.2">
      <c r="A861" s="10">
        <v>37</v>
      </c>
      <c r="B861" s="10" t="s">
        <v>1213</v>
      </c>
      <c r="C861" s="10">
        <v>3701</v>
      </c>
      <c r="D861" s="10" t="s">
        <v>1214</v>
      </c>
      <c r="E861" s="11">
        <v>48313</v>
      </c>
      <c r="F861" s="11">
        <v>48483</v>
      </c>
      <c r="G861" s="11">
        <v>96796</v>
      </c>
      <c r="H861" s="11">
        <v>33111</v>
      </c>
    </row>
    <row r="862" spans="1:8" x14ac:dyDescent="0.2">
      <c r="A862" s="10">
        <v>37</v>
      </c>
      <c r="B862" s="10" t="s">
        <v>1213</v>
      </c>
      <c r="C862" s="10">
        <v>3702</v>
      </c>
      <c r="D862" s="10" t="s">
        <v>1215</v>
      </c>
      <c r="E862" s="11">
        <v>19403</v>
      </c>
      <c r="F862" s="11">
        <v>19305</v>
      </c>
      <c r="G862" s="11">
        <v>38708</v>
      </c>
      <c r="H862" s="11">
        <v>12404</v>
      </c>
    </row>
    <row r="863" spans="1:8" x14ac:dyDescent="0.2">
      <c r="A863" s="10">
        <v>37</v>
      </c>
      <c r="B863" s="10" t="s">
        <v>1213</v>
      </c>
      <c r="C863" s="10">
        <v>3703</v>
      </c>
      <c r="D863" s="10" t="s">
        <v>1216</v>
      </c>
      <c r="E863" s="11">
        <v>22916</v>
      </c>
      <c r="F863" s="11">
        <v>22672</v>
      </c>
      <c r="G863" s="11">
        <v>45588</v>
      </c>
      <c r="H863" s="11">
        <v>14242</v>
      </c>
    </row>
    <row r="864" spans="1:8" x14ac:dyDescent="0.2">
      <c r="A864" s="10">
        <v>37</v>
      </c>
      <c r="B864" s="10" t="s">
        <v>1213</v>
      </c>
      <c r="C864" s="10">
        <v>3704</v>
      </c>
      <c r="D864" s="10" t="s">
        <v>1217</v>
      </c>
      <c r="E864" s="11">
        <v>9511</v>
      </c>
      <c r="F864" s="11">
        <v>9400</v>
      </c>
      <c r="G864" s="11">
        <v>18911</v>
      </c>
      <c r="H864" s="11">
        <v>7079</v>
      </c>
    </row>
    <row r="865" spans="1:8" x14ac:dyDescent="0.2">
      <c r="A865" s="10">
        <v>37</v>
      </c>
      <c r="B865" s="10" t="s">
        <v>1213</v>
      </c>
      <c r="C865" s="10">
        <v>3705</v>
      </c>
      <c r="D865" s="10" t="s">
        <v>1218</v>
      </c>
      <c r="E865" s="11">
        <v>17247</v>
      </c>
      <c r="F865" s="11">
        <v>17597</v>
      </c>
      <c r="G865" s="11">
        <v>34844</v>
      </c>
      <c r="H865" s="11">
        <v>11519</v>
      </c>
    </row>
    <row r="866" spans="1:8" x14ac:dyDescent="0.2">
      <c r="A866" s="10">
        <v>37</v>
      </c>
      <c r="B866" s="10" t="s">
        <v>1213</v>
      </c>
      <c r="C866" s="10">
        <v>3706</v>
      </c>
      <c r="D866" s="10" t="s">
        <v>1219</v>
      </c>
      <c r="E866" s="11">
        <v>20612</v>
      </c>
      <c r="F866" s="11">
        <v>20711</v>
      </c>
      <c r="G866" s="11">
        <v>41323</v>
      </c>
      <c r="H866" s="11">
        <v>11474</v>
      </c>
    </row>
    <row r="867" spans="1:8" x14ac:dyDescent="0.2">
      <c r="A867" s="10">
        <v>37</v>
      </c>
      <c r="B867" s="10" t="s">
        <v>1213</v>
      </c>
      <c r="C867" s="10">
        <v>3707</v>
      </c>
      <c r="D867" s="10" t="s">
        <v>1220</v>
      </c>
      <c r="E867" s="11">
        <v>16722</v>
      </c>
      <c r="F867" s="11">
        <v>16922</v>
      </c>
      <c r="G867" s="11">
        <v>33644</v>
      </c>
      <c r="H867" s="11">
        <v>10315</v>
      </c>
    </row>
    <row r="868" spans="1:8" x14ac:dyDescent="0.2">
      <c r="A868" s="10">
        <v>37</v>
      </c>
      <c r="B868" s="10" t="s">
        <v>1213</v>
      </c>
      <c r="C868" s="10">
        <v>3790</v>
      </c>
      <c r="D868" s="10" t="s">
        <v>1221</v>
      </c>
      <c r="E868" s="11">
        <v>2557</v>
      </c>
      <c r="F868" s="11">
        <v>2630</v>
      </c>
      <c r="G868" s="11">
        <v>5187</v>
      </c>
      <c r="H868" s="11">
        <v>1597</v>
      </c>
    </row>
    <row r="869" spans="1:8" x14ac:dyDescent="0.2">
      <c r="A869" s="10">
        <v>37</v>
      </c>
      <c r="B869" s="10" t="s">
        <v>1213</v>
      </c>
      <c r="C869" s="10">
        <v>3791</v>
      </c>
      <c r="D869" s="10" t="s">
        <v>1222</v>
      </c>
      <c r="E869" s="11">
        <v>2956</v>
      </c>
      <c r="F869" s="11">
        <v>2990</v>
      </c>
      <c r="G869" s="11">
        <v>5946</v>
      </c>
      <c r="H869" s="11">
        <v>2341</v>
      </c>
    </row>
    <row r="870" spans="1:8" x14ac:dyDescent="0.2">
      <c r="A870" s="10">
        <v>37</v>
      </c>
      <c r="B870" s="10" t="s">
        <v>1213</v>
      </c>
      <c r="C870" s="10">
        <v>3792</v>
      </c>
      <c r="D870" s="10" t="s">
        <v>1223</v>
      </c>
      <c r="E870" s="10">
        <v>985</v>
      </c>
      <c r="F870" s="11">
        <v>1128</v>
      </c>
      <c r="G870" s="11">
        <v>2113</v>
      </c>
      <c r="H870" s="11">
        <v>1063</v>
      </c>
    </row>
    <row r="871" spans="1:8" x14ac:dyDescent="0.2">
      <c r="A871" s="10">
        <v>37</v>
      </c>
      <c r="B871" s="10" t="s">
        <v>1213</v>
      </c>
      <c r="C871" s="10">
        <v>3793</v>
      </c>
      <c r="D871" s="10" t="s">
        <v>1224</v>
      </c>
      <c r="E871" s="11">
        <v>3289</v>
      </c>
      <c r="F871" s="11">
        <v>3441</v>
      </c>
      <c r="G871" s="11">
        <v>6730</v>
      </c>
      <c r="H871" s="11">
        <v>2329</v>
      </c>
    </row>
    <row r="872" spans="1:8" x14ac:dyDescent="0.2">
      <c r="A872" s="10">
        <v>37</v>
      </c>
      <c r="B872" s="10" t="s">
        <v>1213</v>
      </c>
      <c r="C872" s="10">
        <v>3794</v>
      </c>
      <c r="D872" s="10" t="s">
        <v>1225</v>
      </c>
      <c r="E872" s="11">
        <v>2637</v>
      </c>
      <c r="F872" s="11">
        <v>2893</v>
      </c>
      <c r="G872" s="11">
        <v>5530</v>
      </c>
      <c r="H872" s="11">
        <v>2026</v>
      </c>
    </row>
    <row r="873" spans="1:8" x14ac:dyDescent="0.2">
      <c r="A873" s="10">
        <v>37</v>
      </c>
      <c r="B873" s="10" t="s">
        <v>1213</v>
      </c>
      <c r="C873" s="10">
        <v>3795</v>
      </c>
      <c r="D873" s="10" t="s">
        <v>1226</v>
      </c>
      <c r="E873" s="11">
        <v>1173</v>
      </c>
      <c r="F873" s="11">
        <v>1346</v>
      </c>
      <c r="G873" s="11">
        <v>2519</v>
      </c>
      <c r="H873" s="11">
        <v>1176</v>
      </c>
    </row>
    <row r="874" spans="1:8" x14ac:dyDescent="0.2">
      <c r="A874" s="10">
        <v>37</v>
      </c>
      <c r="B874" s="10" t="s">
        <v>1213</v>
      </c>
      <c r="C874" s="10">
        <v>3796</v>
      </c>
      <c r="D874" s="10" t="s">
        <v>1227</v>
      </c>
      <c r="E874" s="11">
        <v>1628</v>
      </c>
      <c r="F874" s="11">
        <v>1688</v>
      </c>
      <c r="G874" s="11">
        <v>3316</v>
      </c>
      <c r="H874" s="11">
        <v>1771</v>
      </c>
    </row>
    <row r="875" spans="1:8" x14ac:dyDescent="0.2">
      <c r="A875" s="10">
        <v>37</v>
      </c>
      <c r="B875" s="10" t="s">
        <v>1213</v>
      </c>
      <c r="C875" s="10">
        <v>3797</v>
      </c>
      <c r="D875" s="10" t="s">
        <v>1228</v>
      </c>
      <c r="E875" s="11">
        <v>1502</v>
      </c>
      <c r="F875" s="11">
        <v>1647</v>
      </c>
      <c r="G875" s="11">
        <v>3149</v>
      </c>
      <c r="H875" s="11">
        <v>1521</v>
      </c>
    </row>
    <row r="876" spans="1:8" x14ac:dyDescent="0.2">
      <c r="A876" s="10">
        <v>37</v>
      </c>
      <c r="B876" s="10" t="s">
        <v>1213</v>
      </c>
      <c r="C876" s="10">
        <v>3798</v>
      </c>
      <c r="D876" s="10" t="s">
        <v>1229</v>
      </c>
      <c r="E876" s="11">
        <v>1727</v>
      </c>
      <c r="F876" s="11">
        <v>1889</v>
      </c>
      <c r="G876" s="11">
        <v>3616</v>
      </c>
      <c r="H876" s="11">
        <v>1272</v>
      </c>
    </row>
    <row r="877" spans="1:8" x14ac:dyDescent="0.2">
      <c r="A877" s="10">
        <v>37</v>
      </c>
      <c r="B877" s="10" t="s">
        <v>1213</v>
      </c>
      <c r="C877" s="10">
        <v>3799</v>
      </c>
      <c r="D877" s="10" t="s">
        <v>1230</v>
      </c>
      <c r="E877" s="11">
        <v>11605</v>
      </c>
      <c r="F877" s="11">
        <v>12658</v>
      </c>
      <c r="G877" s="11">
        <v>24263</v>
      </c>
      <c r="H877" s="11">
        <v>13319</v>
      </c>
    </row>
    <row r="878" spans="1:8" x14ac:dyDescent="0.2">
      <c r="A878" s="10">
        <v>38</v>
      </c>
      <c r="B878" s="10" t="s">
        <v>1231</v>
      </c>
      <c r="C878" s="10">
        <v>3801</v>
      </c>
      <c r="D878" s="10" t="s">
        <v>1232</v>
      </c>
      <c r="E878" s="11">
        <v>29214</v>
      </c>
      <c r="F878" s="11">
        <v>29166</v>
      </c>
      <c r="G878" s="11">
        <v>58380</v>
      </c>
      <c r="H878" s="11">
        <v>19608</v>
      </c>
    </row>
    <row r="879" spans="1:8" x14ac:dyDescent="0.2">
      <c r="A879" s="10">
        <v>38</v>
      </c>
      <c r="B879" s="10" t="s">
        <v>1231</v>
      </c>
      <c r="C879" s="10">
        <v>3802</v>
      </c>
      <c r="D879" s="10" t="s">
        <v>1233</v>
      </c>
      <c r="E879" s="11">
        <v>14421</v>
      </c>
      <c r="F879" s="11">
        <v>14277</v>
      </c>
      <c r="G879" s="11">
        <v>28698</v>
      </c>
      <c r="H879" s="11">
        <v>8648</v>
      </c>
    </row>
    <row r="880" spans="1:8" x14ac:dyDescent="0.2">
      <c r="A880" s="10">
        <v>38</v>
      </c>
      <c r="B880" s="10" t="s">
        <v>1231</v>
      </c>
      <c r="C880" s="10">
        <v>3803</v>
      </c>
      <c r="D880" s="10" t="s">
        <v>1234</v>
      </c>
      <c r="E880" s="11">
        <v>32438</v>
      </c>
      <c r="F880" s="11">
        <v>32079</v>
      </c>
      <c r="G880" s="11">
        <v>64517</v>
      </c>
      <c r="H880" s="11">
        <v>20112</v>
      </c>
    </row>
    <row r="881" spans="1:8" x14ac:dyDescent="0.2">
      <c r="A881" s="10">
        <v>38</v>
      </c>
      <c r="B881" s="10" t="s">
        <v>1231</v>
      </c>
      <c r="C881" s="10">
        <v>3804</v>
      </c>
      <c r="D881" s="10" t="s">
        <v>1235</v>
      </c>
      <c r="E881" s="11">
        <v>36646</v>
      </c>
      <c r="F881" s="11">
        <v>36361</v>
      </c>
      <c r="G881" s="11">
        <v>73007</v>
      </c>
      <c r="H881" s="11">
        <v>24745</v>
      </c>
    </row>
    <row r="882" spans="1:8" x14ac:dyDescent="0.2">
      <c r="A882" s="10">
        <v>38</v>
      </c>
      <c r="B882" s="10" t="s">
        <v>1231</v>
      </c>
      <c r="C882" s="10">
        <v>3805</v>
      </c>
      <c r="D882" s="10" t="s">
        <v>1236</v>
      </c>
      <c r="E882" s="11">
        <v>14046</v>
      </c>
      <c r="F882" s="11">
        <v>13962</v>
      </c>
      <c r="G882" s="11">
        <v>28008</v>
      </c>
      <c r="H882" s="11">
        <v>10192</v>
      </c>
    </row>
    <row r="883" spans="1:8" x14ac:dyDescent="0.2">
      <c r="A883" s="10">
        <v>38</v>
      </c>
      <c r="B883" s="10" t="s">
        <v>1231</v>
      </c>
      <c r="C883" s="10">
        <v>3806</v>
      </c>
      <c r="D883" s="10" t="s">
        <v>1237</v>
      </c>
      <c r="E883" s="11">
        <v>14116</v>
      </c>
      <c r="F883" s="11">
        <v>13887</v>
      </c>
      <c r="G883" s="11">
        <v>28003</v>
      </c>
      <c r="H883" s="11">
        <v>9521</v>
      </c>
    </row>
    <row r="884" spans="1:8" x14ac:dyDescent="0.2">
      <c r="A884" s="10">
        <v>38</v>
      </c>
      <c r="B884" s="10" t="s">
        <v>1231</v>
      </c>
      <c r="C884" s="10">
        <v>3807</v>
      </c>
      <c r="D884" s="10" t="s">
        <v>1238</v>
      </c>
      <c r="E884" s="11">
        <v>14246</v>
      </c>
      <c r="F884" s="11">
        <v>14105</v>
      </c>
      <c r="G884" s="11">
        <v>28351</v>
      </c>
      <c r="H884" s="11">
        <v>9819</v>
      </c>
    </row>
    <row r="885" spans="1:8" x14ac:dyDescent="0.2">
      <c r="A885" s="10">
        <v>38</v>
      </c>
      <c r="B885" s="10" t="s">
        <v>1231</v>
      </c>
      <c r="C885" s="10">
        <v>3808</v>
      </c>
      <c r="D885" s="10" t="s">
        <v>1239</v>
      </c>
      <c r="E885" s="11">
        <v>6956</v>
      </c>
      <c r="F885" s="11">
        <v>6987</v>
      </c>
      <c r="G885" s="11">
        <v>13943</v>
      </c>
      <c r="H885" s="11">
        <v>4455</v>
      </c>
    </row>
    <row r="886" spans="1:8" x14ac:dyDescent="0.2">
      <c r="A886" s="10">
        <v>38</v>
      </c>
      <c r="B886" s="10" t="s">
        <v>1231</v>
      </c>
      <c r="C886" s="10">
        <v>3887</v>
      </c>
      <c r="D886" s="10" t="s">
        <v>1240</v>
      </c>
      <c r="E886" s="11">
        <v>3612</v>
      </c>
      <c r="F886" s="11">
        <v>3620</v>
      </c>
      <c r="G886" s="11">
        <v>7232</v>
      </c>
      <c r="H886" s="11">
        <v>2453</v>
      </c>
    </row>
    <row r="887" spans="1:8" x14ac:dyDescent="0.2">
      <c r="A887" s="10">
        <v>38</v>
      </c>
      <c r="B887" s="10" t="s">
        <v>1231</v>
      </c>
      <c r="C887" s="10">
        <v>3888</v>
      </c>
      <c r="D887" s="10" t="s">
        <v>1241</v>
      </c>
      <c r="E887" s="11">
        <v>3409</v>
      </c>
      <c r="F887" s="11">
        <v>3432</v>
      </c>
      <c r="G887" s="11">
        <v>6841</v>
      </c>
      <c r="H887" s="11">
        <v>2485</v>
      </c>
    </row>
    <row r="888" spans="1:8" x14ac:dyDescent="0.2">
      <c r="A888" s="10">
        <v>38</v>
      </c>
      <c r="B888" s="10" t="s">
        <v>1231</v>
      </c>
      <c r="C888" s="10">
        <v>3890</v>
      </c>
      <c r="D888" s="10" t="s">
        <v>1242</v>
      </c>
      <c r="E888" s="11">
        <v>5397</v>
      </c>
      <c r="F888" s="11">
        <v>5484</v>
      </c>
      <c r="G888" s="11">
        <v>10881</v>
      </c>
      <c r="H888" s="11">
        <v>4125</v>
      </c>
    </row>
    <row r="889" spans="1:8" x14ac:dyDescent="0.2">
      <c r="A889" s="10">
        <v>38</v>
      </c>
      <c r="B889" s="10" t="s">
        <v>1231</v>
      </c>
      <c r="C889" s="10">
        <v>3891</v>
      </c>
      <c r="D889" s="10" t="s">
        <v>1243</v>
      </c>
      <c r="E889" s="11">
        <v>4749</v>
      </c>
      <c r="F889" s="11">
        <v>4900</v>
      </c>
      <c r="G889" s="11">
        <v>9649</v>
      </c>
      <c r="H889" s="11">
        <v>3717</v>
      </c>
    </row>
    <row r="890" spans="1:8" x14ac:dyDescent="0.2">
      <c r="A890" s="10">
        <v>38</v>
      </c>
      <c r="B890" s="10" t="s">
        <v>1231</v>
      </c>
      <c r="C890" s="10">
        <v>3892</v>
      </c>
      <c r="D890" s="10" t="s">
        <v>1244</v>
      </c>
      <c r="E890" s="11">
        <v>3190</v>
      </c>
      <c r="F890" s="11">
        <v>3174</v>
      </c>
      <c r="G890" s="11">
        <v>6364</v>
      </c>
      <c r="H890" s="11">
        <v>2800</v>
      </c>
    </row>
    <row r="891" spans="1:8" x14ac:dyDescent="0.2">
      <c r="A891" s="10">
        <v>38</v>
      </c>
      <c r="B891" s="10" t="s">
        <v>1231</v>
      </c>
      <c r="C891" s="10">
        <v>3893</v>
      </c>
      <c r="D891" s="10" t="s">
        <v>1245</v>
      </c>
      <c r="E891" s="11">
        <v>3190</v>
      </c>
      <c r="F891" s="11">
        <v>3249</v>
      </c>
      <c r="G891" s="11">
        <v>6439</v>
      </c>
      <c r="H891" s="11">
        <v>2815</v>
      </c>
    </row>
    <row r="892" spans="1:8" x14ac:dyDescent="0.2">
      <c r="A892" s="10">
        <v>38</v>
      </c>
      <c r="B892" s="10" t="s">
        <v>1231</v>
      </c>
      <c r="C892" s="10">
        <v>3894</v>
      </c>
      <c r="D892" s="10" t="s">
        <v>1246</v>
      </c>
      <c r="E892" s="11">
        <v>3309</v>
      </c>
      <c r="F892" s="11">
        <v>3480</v>
      </c>
      <c r="G892" s="11">
        <v>6789</v>
      </c>
      <c r="H892" s="11">
        <v>2053</v>
      </c>
    </row>
    <row r="893" spans="1:8" x14ac:dyDescent="0.2">
      <c r="A893" s="10">
        <v>38</v>
      </c>
      <c r="B893" s="10" t="s">
        <v>1231</v>
      </c>
      <c r="C893" s="10">
        <v>3895</v>
      </c>
      <c r="D893" s="10" t="s">
        <v>1247</v>
      </c>
      <c r="E893" s="11">
        <v>3187</v>
      </c>
      <c r="F893" s="11">
        <v>3204</v>
      </c>
      <c r="G893" s="11">
        <v>6391</v>
      </c>
      <c r="H893" s="11">
        <v>2734</v>
      </c>
    </row>
    <row r="894" spans="1:8" x14ac:dyDescent="0.2">
      <c r="A894" s="10">
        <v>38</v>
      </c>
      <c r="B894" s="10" t="s">
        <v>1231</v>
      </c>
      <c r="C894" s="10">
        <v>3896</v>
      </c>
      <c r="D894" s="10" t="s">
        <v>1248</v>
      </c>
      <c r="E894" s="11">
        <v>4931</v>
      </c>
      <c r="F894" s="11">
        <v>5201</v>
      </c>
      <c r="G894" s="11">
        <v>10132</v>
      </c>
      <c r="H894" s="11">
        <v>3719</v>
      </c>
    </row>
    <row r="895" spans="1:8" x14ac:dyDescent="0.2">
      <c r="A895" s="10">
        <v>38</v>
      </c>
      <c r="B895" s="10" t="s">
        <v>1231</v>
      </c>
      <c r="C895" s="10">
        <v>3897</v>
      </c>
      <c r="D895" s="10" t="s">
        <v>1249</v>
      </c>
      <c r="E895" s="11">
        <v>2465</v>
      </c>
      <c r="F895" s="11">
        <v>2504</v>
      </c>
      <c r="G895" s="11">
        <v>4969</v>
      </c>
      <c r="H895" s="11">
        <v>1584</v>
      </c>
    </row>
    <row r="896" spans="1:8" x14ac:dyDescent="0.2">
      <c r="A896" s="10">
        <v>38</v>
      </c>
      <c r="B896" s="10" t="s">
        <v>1231</v>
      </c>
      <c r="C896" s="10">
        <v>3898</v>
      </c>
      <c r="D896" s="10" t="s">
        <v>1250</v>
      </c>
      <c r="E896" s="11">
        <v>9937</v>
      </c>
      <c r="F896" s="11">
        <v>10202</v>
      </c>
      <c r="G896" s="11">
        <v>20139</v>
      </c>
      <c r="H896" s="11">
        <v>11874</v>
      </c>
    </row>
    <row r="897" spans="1:8" x14ac:dyDescent="0.2">
      <c r="A897" s="10">
        <v>39</v>
      </c>
      <c r="B897" s="10" t="s">
        <v>1251</v>
      </c>
      <c r="C897" s="10">
        <v>3901</v>
      </c>
      <c r="D897" s="10" t="s">
        <v>1252</v>
      </c>
      <c r="E897" s="11">
        <v>50613</v>
      </c>
      <c r="F897" s="11">
        <v>50890</v>
      </c>
      <c r="G897" s="11">
        <v>101503</v>
      </c>
      <c r="H897" s="11">
        <v>33364</v>
      </c>
    </row>
    <row r="898" spans="1:8" x14ac:dyDescent="0.2">
      <c r="A898" s="10">
        <v>39</v>
      </c>
      <c r="B898" s="10" t="s">
        <v>1251</v>
      </c>
      <c r="C898" s="10">
        <v>3902</v>
      </c>
      <c r="D898" s="10" t="s">
        <v>1253</v>
      </c>
      <c r="E898" s="11">
        <v>33352</v>
      </c>
      <c r="F898" s="11">
        <v>33053</v>
      </c>
      <c r="G898" s="11">
        <v>66405</v>
      </c>
      <c r="H898" s="11">
        <v>19618</v>
      </c>
    </row>
    <row r="899" spans="1:8" x14ac:dyDescent="0.2">
      <c r="A899" s="10">
        <v>39</v>
      </c>
      <c r="B899" s="10" t="s">
        <v>1251</v>
      </c>
      <c r="C899" s="10">
        <v>3903</v>
      </c>
      <c r="D899" s="10" t="s">
        <v>1254</v>
      </c>
      <c r="E899" s="11">
        <v>26446</v>
      </c>
      <c r="F899" s="11">
        <v>26878</v>
      </c>
      <c r="G899" s="11">
        <v>53324</v>
      </c>
      <c r="H899" s="11">
        <v>14379</v>
      </c>
    </row>
    <row r="900" spans="1:8" x14ac:dyDescent="0.2">
      <c r="A900" s="10">
        <v>39</v>
      </c>
      <c r="B900" s="10" t="s">
        <v>1251</v>
      </c>
      <c r="C900" s="10">
        <v>3904</v>
      </c>
      <c r="D900" s="10" t="s">
        <v>1255</v>
      </c>
      <c r="E900" s="11">
        <v>45168</v>
      </c>
      <c r="F900" s="11">
        <v>44632</v>
      </c>
      <c r="G900" s="11">
        <v>89800</v>
      </c>
      <c r="H900" s="11">
        <v>26271</v>
      </c>
    </row>
    <row r="901" spans="1:8" x14ac:dyDescent="0.2">
      <c r="A901" s="10">
        <v>39</v>
      </c>
      <c r="B901" s="10" t="s">
        <v>1251</v>
      </c>
      <c r="C901" s="10">
        <v>3905</v>
      </c>
      <c r="D901" s="10" t="s">
        <v>1256</v>
      </c>
      <c r="E901" s="11">
        <v>26799</v>
      </c>
      <c r="F901" s="11">
        <v>26737</v>
      </c>
      <c r="G901" s="11">
        <v>53536</v>
      </c>
      <c r="H901" s="11">
        <v>15816</v>
      </c>
    </row>
    <row r="902" spans="1:8" x14ac:dyDescent="0.2">
      <c r="A902" s="10">
        <v>39</v>
      </c>
      <c r="B902" s="10" t="s">
        <v>1251</v>
      </c>
      <c r="C902" s="10">
        <v>3906</v>
      </c>
      <c r="D902" s="10" t="s">
        <v>1257</v>
      </c>
      <c r="E902" s="11">
        <v>15008</v>
      </c>
      <c r="F902" s="11">
        <v>14988</v>
      </c>
      <c r="G902" s="11">
        <v>29996</v>
      </c>
      <c r="H902" s="11">
        <v>9081</v>
      </c>
    </row>
    <row r="903" spans="1:8" x14ac:dyDescent="0.2">
      <c r="A903" s="10">
        <v>39</v>
      </c>
      <c r="B903" s="10" t="s">
        <v>1251</v>
      </c>
      <c r="C903" s="10">
        <v>3986</v>
      </c>
      <c r="D903" s="10" t="s">
        <v>1258</v>
      </c>
      <c r="E903" s="11">
        <v>4566</v>
      </c>
      <c r="F903" s="11">
        <v>4688</v>
      </c>
      <c r="G903" s="11">
        <v>9254</v>
      </c>
      <c r="H903" s="11">
        <v>2700</v>
      </c>
    </row>
    <row r="904" spans="1:8" x14ac:dyDescent="0.2">
      <c r="A904" s="10">
        <v>39</v>
      </c>
      <c r="B904" s="10" t="s">
        <v>1251</v>
      </c>
      <c r="C904" s="10">
        <v>3987</v>
      </c>
      <c r="D904" s="10" t="s">
        <v>1259</v>
      </c>
      <c r="E904" s="11">
        <v>3319</v>
      </c>
      <c r="F904" s="11">
        <v>3513</v>
      </c>
      <c r="G904" s="11">
        <v>6832</v>
      </c>
      <c r="H904" s="11">
        <v>2504</v>
      </c>
    </row>
    <row r="905" spans="1:8" x14ac:dyDescent="0.2">
      <c r="A905" s="10">
        <v>39</v>
      </c>
      <c r="B905" s="10" t="s">
        <v>1251</v>
      </c>
      <c r="C905" s="10">
        <v>3988</v>
      </c>
      <c r="D905" s="10" t="s">
        <v>1260</v>
      </c>
      <c r="E905" s="11">
        <v>3742</v>
      </c>
      <c r="F905" s="11">
        <v>3929</v>
      </c>
      <c r="G905" s="11">
        <v>7671</v>
      </c>
      <c r="H905" s="11">
        <v>2999</v>
      </c>
    </row>
    <row r="906" spans="1:8" x14ac:dyDescent="0.2">
      <c r="A906" s="10">
        <v>39</v>
      </c>
      <c r="B906" s="10" t="s">
        <v>1251</v>
      </c>
      <c r="C906" s="10">
        <v>3989</v>
      </c>
      <c r="D906" s="10" t="s">
        <v>1261</v>
      </c>
      <c r="E906" s="11">
        <v>2928</v>
      </c>
      <c r="F906" s="11">
        <v>3226</v>
      </c>
      <c r="G906" s="11">
        <v>6154</v>
      </c>
      <c r="H906" s="11">
        <v>1958</v>
      </c>
    </row>
    <row r="907" spans="1:8" x14ac:dyDescent="0.2">
      <c r="A907" s="10">
        <v>39</v>
      </c>
      <c r="B907" s="10" t="s">
        <v>1251</v>
      </c>
      <c r="C907" s="10">
        <v>3990</v>
      </c>
      <c r="D907" s="10" t="s">
        <v>1262</v>
      </c>
      <c r="E907" s="11">
        <v>2141</v>
      </c>
      <c r="F907" s="11">
        <v>2382</v>
      </c>
      <c r="G907" s="11">
        <v>4523</v>
      </c>
      <c r="H907" s="11">
        <v>2721</v>
      </c>
    </row>
    <row r="908" spans="1:8" x14ac:dyDescent="0.2">
      <c r="A908" s="10">
        <v>39</v>
      </c>
      <c r="B908" s="10" t="s">
        <v>1251</v>
      </c>
      <c r="C908" s="10">
        <v>3991</v>
      </c>
      <c r="D908" s="10" t="s">
        <v>1263</v>
      </c>
      <c r="E908" s="11">
        <v>2500</v>
      </c>
      <c r="F908" s="11">
        <v>2421</v>
      </c>
      <c r="G908" s="11">
        <v>4921</v>
      </c>
      <c r="H908" s="11">
        <v>1551</v>
      </c>
    </row>
    <row r="909" spans="1:8" x14ac:dyDescent="0.2">
      <c r="A909" s="10">
        <v>39</v>
      </c>
      <c r="B909" s="10" t="s">
        <v>1251</v>
      </c>
      <c r="C909" s="10">
        <v>3992</v>
      </c>
      <c r="D909" s="10" t="s">
        <v>1264</v>
      </c>
      <c r="E909" s="11">
        <v>4038</v>
      </c>
      <c r="F909" s="11">
        <v>4193</v>
      </c>
      <c r="G909" s="11">
        <v>8231</v>
      </c>
      <c r="H909" s="11">
        <v>3030</v>
      </c>
    </row>
    <row r="910" spans="1:8" x14ac:dyDescent="0.2">
      <c r="A910" s="10">
        <v>39</v>
      </c>
      <c r="B910" s="10" t="s">
        <v>1251</v>
      </c>
      <c r="C910" s="10">
        <v>3993</v>
      </c>
      <c r="D910" s="10" t="s">
        <v>1265</v>
      </c>
      <c r="E910" s="11">
        <v>1358</v>
      </c>
      <c r="F910" s="11">
        <v>1367</v>
      </c>
      <c r="G910" s="11">
        <v>2725</v>
      </c>
      <c r="H910" s="10">
        <v>783</v>
      </c>
    </row>
    <row r="911" spans="1:8" x14ac:dyDescent="0.2">
      <c r="A911" s="10">
        <v>39</v>
      </c>
      <c r="B911" s="10" t="s">
        <v>1251</v>
      </c>
      <c r="C911" s="10">
        <v>3994</v>
      </c>
      <c r="D911" s="10" t="s">
        <v>1266</v>
      </c>
      <c r="E911" s="11">
        <v>9540</v>
      </c>
      <c r="F911" s="11">
        <v>10055</v>
      </c>
      <c r="G911" s="11">
        <v>19595</v>
      </c>
      <c r="H911" s="11">
        <v>6896</v>
      </c>
    </row>
    <row r="912" spans="1:8" x14ac:dyDescent="0.2">
      <c r="A912" s="10">
        <v>39</v>
      </c>
      <c r="B912" s="10" t="s">
        <v>1251</v>
      </c>
      <c r="C912" s="10">
        <v>3995</v>
      </c>
      <c r="D912" s="10" t="s">
        <v>1267</v>
      </c>
      <c r="E912" s="11">
        <v>2693</v>
      </c>
      <c r="F912" s="11">
        <v>2837</v>
      </c>
      <c r="G912" s="11">
        <v>5530</v>
      </c>
      <c r="H912" s="11">
        <v>1895</v>
      </c>
    </row>
    <row r="913" spans="1:8" x14ac:dyDescent="0.2">
      <c r="A913" s="10">
        <v>39</v>
      </c>
      <c r="B913" s="10" t="s">
        <v>1251</v>
      </c>
      <c r="C913" s="10">
        <v>3996</v>
      </c>
      <c r="D913" s="10" t="s">
        <v>1120</v>
      </c>
      <c r="E913" s="11">
        <v>1779</v>
      </c>
      <c r="F913" s="11">
        <v>1758</v>
      </c>
      <c r="G913" s="11">
        <v>3537</v>
      </c>
      <c r="H913" s="11">
        <v>1090</v>
      </c>
    </row>
    <row r="914" spans="1:8" x14ac:dyDescent="0.2">
      <c r="A914" s="10">
        <v>39</v>
      </c>
      <c r="B914" s="10" t="s">
        <v>1251</v>
      </c>
      <c r="C914" s="10">
        <v>3997</v>
      </c>
      <c r="D914" s="10" t="s">
        <v>1268</v>
      </c>
      <c r="E914" s="11">
        <v>2010</v>
      </c>
      <c r="F914" s="11">
        <v>2145</v>
      </c>
      <c r="G914" s="11">
        <v>4155</v>
      </c>
      <c r="H914" s="11">
        <v>1135</v>
      </c>
    </row>
    <row r="915" spans="1:8" x14ac:dyDescent="0.2">
      <c r="A915" s="10">
        <v>39</v>
      </c>
      <c r="B915" s="10" t="s">
        <v>1251</v>
      </c>
      <c r="C915" s="10">
        <v>3998</v>
      </c>
      <c r="D915" s="10" t="s">
        <v>1269</v>
      </c>
      <c r="E915" s="11">
        <v>2408</v>
      </c>
      <c r="F915" s="11">
        <v>2464</v>
      </c>
      <c r="G915" s="11">
        <v>4872</v>
      </c>
      <c r="H915" s="11">
        <v>1466</v>
      </c>
    </row>
    <row r="916" spans="1:8" x14ac:dyDescent="0.2">
      <c r="A916" s="10">
        <v>39</v>
      </c>
      <c r="B916" s="10" t="s">
        <v>1251</v>
      </c>
      <c r="C916" s="10">
        <v>3999</v>
      </c>
      <c r="D916" s="10" t="s">
        <v>1270</v>
      </c>
      <c r="E916" s="11">
        <v>10454</v>
      </c>
      <c r="F916" s="11">
        <v>11361</v>
      </c>
      <c r="G916" s="11">
        <v>21815</v>
      </c>
      <c r="H916" s="11">
        <v>12732</v>
      </c>
    </row>
    <row r="917" spans="1:8" x14ac:dyDescent="0.2">
      <c r="A917" s="10">
        <v>40</v>
      </c>
      <c r="B917" s="10" t="s">
        <v>1271</v>
      </c>
      <c r="C917" s="10">
        <v>4001</v>
      </c>
      <c r="D917" s="10" t="s">
        <v>1272</v>
      </c>
      <c r="E917" s="11">
        <v>48020</v>
      </c>
      <c r="F917" s="11">
        <v>51475</v>
      </c>
      <c r="G917" s="11">
        <v>99495</v>
      </c>
      <c r="H917" s="11">
        <v>43676</v>
      </c>
    </row>
    <row r="918" spans="1:8" x14ac:dyDescent="0.2">
      <c r="A918" s="10">
        <v>40</v>
      </c>
      <c r="B918" s="10" t="s">
        <v>1271</v>
      </c>
      <c r="C918" s="10">
        <v>4002</v>
      </c>
      <c r="D918" s="10" t="s">
        <v>1273</v>
      </c>
      <c r="E918" s="11">
        <v>24745</v>
      </c>
      <c r="F918" s="11">
        <v>25046</v>
      </c>
      <c r="G918" s="11">
        <v>49791</v>
      </c>
      <c r="H918" s="11">
        <v>18297</v>
      </c>
    </row>
    <row r="919" spans="1:8" x14ac:dyDescent="0.2">
      <c r="A919" s="10">
        <v>40</v>
      </c>
      <c r="B919" s="10" t="s">
        <v>1271</v>
      </c>
      <c r="C919" s="10">
        <v>4003</v>
      </c>
      <c r="D919" s="10" t="s">
        <v>1274</v>
      </c>
      <c r="E919" s="11">
        <v>12046</v>
      </c>
      <c r="F919" s="11">
        <v>12540</v>
      </c>
      <c r="G919" s="11">
        <v>24586</v>
      </c>
      <c r="H919" s="11">
        <v>8286</v>
      </c>
    </row>
    <row r="920" spans="1:8" x14ac:dyDescent="0.2">
      <c r="A920" s="10">
        <v>40</v>
      </c>
      <c r="B920" s="10" t="s">
        <v>1271</v>
      </c>
      <c r="C920" s="10">
        <v>4004</v>
      </c>
      <c r="D920" s="10" t="s">
        <v>1275</v>
      </c>
      <c r="E920" s="11">
        <v>40685</v>
      </c>
      <c r="F920" s="11">
        <v>41824</v>
      </c>
      <c r="G920" s="11">
        <v>82509</v>
      </c>
      <c r="H920" s="11">
        <v>24212</v>
      </c>
    </row>
    <row r="921" spans="1:8" x14ac:dyDescent="0.2">
      <c r="A921" s="10">
        <v>40</v>
      </c>
      <c r="B921" s="10" t="s">
        <v>1271</v>
      </c>
      <c r="C921" s="10">
        <v>4005</v>
      </c>
      <c r="D921" s="10" t="s">
        <v>1276</v>
      </c>
      <c r="E921" s="11">
        <v>41023</v>
      </c>
      <c r="F921" s="11">
        <v>41484</v>
      </c>
      <c r="G921" s="11">
        <v>82507</v>
      </c>
      <c r="H921" s="11">
        <v>27365</v>
      </c>
    </row>
    <row r="922" spans="1:8" x14ac:dyDescent="0.2">
      <c r="A922" s="10">
        <v>40</v>
      </c>
      <c r="B922" s="10" t="s">
        <v>1271</v>
      </c>
      <c r="C922" s="10">
        <v>4006</v>
      </c>
      <c r="D922" s="10" t="s">
        <v>1277</v>
      </c>
      <c r="E922" s="11">
        <v>36148</v>
      </c>
      <c r="F922" s="11">
        <v>36720</v>
      </c>
      <c r="G922" s="11">
        <v>72868</v>
      </c>
      <c r="H922" s="11">
        <v>23437</v>
      </c>
    </row>
    <row r="923" spans="1:8" x14ac:dyDescent="0.2">
      <c r="A923" s="10">
        <v>40</v>
      </c>
      <c r="B923" s="10" t="s">
        <v>1271</v>
      </c>
      <c r="C923" s="10">
        <v>4007</v>
      </c>
      <c r="D923" s="10" t="s">
        <v>1278</v>
      </c>
      <c r="E923" s="11">
        <v>35444</v>
      </c>
      <c r="F923" s="11">
        <v>36275</v>
      </c>
      <c r="G923" s="11">
        <v>71719</v>
      </c>
      <c r="H923" s="11">
        <v>23023</v>
      </c>
    </row>
    <row r="924" spans="1:8" x14ac:dyDescent="0.2">
      <c r="A924" s="10">
        <v>40</v>
      </c>
      <c r="B924" s="10" t="s">
        <v>1271</v>
      </c>
      <c r="C924" s="10">
        <v>4008</v>
      </c>
      <c r="D924" s="10" t="s">
        <v>1279</v>
      </c>
      <c r="E924" s="11">
        <v>15322</v>
      </c>
      <c r="F924" s="11">
        <v>15719</v>
      </c>
      <c r="G924" s="11">
        <v>31041</v>
      </c>
      <c r="H924" s="11">
        <v>8723</v>
      </c>
    </row>
    <row r="925" spans="1:8" x14ac:dyDescent="0.2">
      <c r="A925" s="10">
        <v>40</v>
      </c>
      <c r="B925" s="10" t="s">
        <v>1271</v>
      </c>
      <c r="C925" s="10">
        <v>4009</v>
      </c>
      <c r="D925" s="10" t="s">
        <v>1280</v>
      </c>
      <c r="E925" s="11">
        <v>33727</v>
      </c>
      <c r="F925" s="11">
        <v>34219</v>
      </c>
      <c r="G925" s="11">
        <v>67946</v>
      </c>
      <c r="H925" s="11">
        <v>21248</v>
      </c>
    </row>
    <row r="926" spans="1:8" x14ac:dyDescent="0.2">
      <c r="A926" s="10">
        <v>40</v>
      </c>
      <c r="B926" s="10" t="s">
        <v>1271</v>
      </c>
      <c r="C926" s="10">
        <v>4010</v>
      </c>
      <c r="D926" s="10" t="s">
        <v>1281</v>
      </c>
      <c r="E926" s="11">
        <v>35278</v>
      </c>
      <c r="F926" s="11">
        <v>36289</v>
      </c>
      <c r="G926" s="11">
        <v>71567</v>
      </c>
      <c r="H926" s="11">
        <v>24663</v>
      </c>
    </row>
    <row r="927" spans="1:8" x14ac:dyDescent="0.2">
      <c r="A927" s="10">
        <v>40</v>
      </c>
      <c r="B927" s="10" t="s">
        <v>1271</v>
      </c>
      <c r="C927" s="10">
        <v>4011</v>
      </c>
      <c r="D927" s="10" t="s">
        <v>1282</v>
      </c>
      <c r="E927" s="11">
        <v>7139</v>
      </c>
      <c r="F927" s="11">
        <v>7037</v>
      </c>
      <c r="G927" s="11">
        <v>14176</v>
      </c>
      <c r="H927" s="11">
        <v>4165</v>
      </c>
    </row>
    <row r="928" spans="1:8" x14ac:dyDescent="0.2">
      <c r="A928" s="10">
        <v>40</v>
      </c>
      <c r="B928" s="10" t="s">
        <v>1271</v>
      </c>
      <c r="C928" s="10">
        <v>4012</v>
      </c>
      <c r="D928" s="10" t="s">
        <v>1283</v>
      </c>
      <c r="E928" s="11">
        <v>36928</v>
      </c>
      <c r="F928" s="11">
        <v>37946</v>
      </c>
      <c r="G928" s="11">
        <v>74874</v>
      </c>
      <c r="H928" s="11">
        <v>24469</v>
      </c>
    </row>
    <row r="929" spans="1:8" x14ac:dyDescent="0.2">
      <c r="A929" s="10">
        <v>40</v>
      </c>
      <c r="B929" s="10" t="s">
        <v>1271</v>
      </c>
      <c r="C929" s="10">
        <v>4013</v>
      </c>
      <c r="D929" s="10" t="s">
        <v>1284</v>
      </c>
      <c r="E929" s="11">
        <v>11718</v>
      </c>
      <c r="F929" s="11">
        <v>12054</v>
      </c>
      <c r="G929" s="11">
        <v>23772</v>
      </c>
      <c r="H929" s="11">
        <v>6685</v>
      </c>
    </row>
    <row r="930" spans="1:8" x14ac:dyDescent="0.2">
      <c r="A930" s="10">
        <v>40</v>
      </c>
      <c r="B930" s="10" t="s">
        <v>1271</v>
      </c>
      <c r="C930" s="10">
        <v>4014</v>
      </c>
      <c r="D930" s="10" t="s">
        <v>1285</v>
      </c>
      <c r="E930" s="11">
        <v>18986</v>
      </c>
      <c r="F930" s="11">
        <v>19101</v>
      </c>
      <c r="G930" s="11">
        <v>38087</v>
      </c>
      <c r="H930" s="11">
        <v>11903</v>
      </c>
    </row>
    <row r="931" spans="1:8" x14ac:dyDescent="0.2">
      <c r="A931" s="10">
        <v>40</v>
      </c>
      <c r="B931" s="10" t="s">
        <v>1271</v>
      </c>
      <c r="C931" s="10">
        <v>4015</v>
      </c>
      <c r="D931" s="10" t="s">
        <v>1286</v>
      </c>
      <c r="E931" s="11">
        <v>35017</v>
      </c>
      <c r="F931" s="11">
        <v>35506</v>
      </c>
      <c r="G931" s="11">
        <v>70523</v>
      </c>
      <c r="H931" s="11">
        <v>21915</v>
      </c>
    </row>
    <row r="932" spans="1:8" x14ac:dyDescent="0.2">
      <c r="A932" s="10">
        <v>40</v>
      </c>
      <c r="B932" s="10" t="s">
        <v>1271</v>
      </c>
      <c r="C932" s="10">
        <v>4016</v>
      </c>
      <c r="D932" s="10" t="s">
        <v>1287</v>
      </c>
      <c r="E932" s="11">
        <v>33867</v>
      </c>
      <c r="F932" s="11">
        <v>34334</v>
      </c>
      <c r="G932" s="11">
        <v>68201</v>
      </c>
      <c r="H932" s="11">
        <v>21470</v>
      </c>
    </row>
    <row r="933" spans="1:8" x14ac:dyDescent="0.2">
      <c r="A933" s="10">
        <v>40</v>
      </c>
      <c r="B933" s="10" t="s">
        <v>1271</v>
      </c>
      <c r="C933" s="10">
        <v>4017</v>
      </c>
      <c r="D933" s="10" t="s">
        <v>1288</v>
      </c>
      <c r="E933" s="11">
        <v>32441</v>
      </c>
      <c r="F933" s="11">
        <v>33152</v>
      </c>
      <c r="G933" s="11">
        <v>65593</v>
      </c>
      <c r="H933" s="11">
        <v>22831</v>
      </c>
    </row>
    <row r="934" spans="1:8" x14ac:dyDescent="0.2">
      <c r="A934" s="10">
        <v>40</v>
      </c>
      <c r="B934" s="10" t="s">
        <v>1271</v>
      </c>
      <c r="C934" s="10">
        <v>4018</v>
      </c>
      <c r="D934" s="10" t="s">
        <v>1289</v>
      </c>
      <c r="E934" s="11">
        <v>19112</v>
      </c>
      <c r="F934" s="11">
        <v>19905</v>
      </c>
      <c r="G934" s="11">
        <v>39017</v>
      </c>
      <c r="H934" s="11">
        <v>12191</v>
      </c>
    </row>
    <row r="935" spans="1:8" x14ac:dyDescent="0.2">
      <c r="A935" s="10">
        <v>40</v>
      </c>
      <c r="B935" s="10" t="s">
        <v>1271</v>
      </c>
      <c r="C935" s="10">
        <v>4019</v>
      </c>
      <c r="D935" s="10" t="s">
        <v>1290</v>
      </c>
      <c r="E935" s="11">
        <v>10572</v>
      </c>
      <c r="F935" s="11">
        <v>10681</v>
      </c>
      <c r="G935" s="11">
        <v>21253</v>
      </c>
      <c r="H935" s="11">
        <v>6661</v>
      </c>
    </row>
    <row r="936" spans="1:8" x14ac:dyDescent="0.2">
      <c r="A936" s="10">
        <v>40</v>
      </c>
      <c r="B936" s="10" t="s">
        <v>1271</v>
      </c>
      <c r="C936" s="10">
        <v>4020</v>
      </c>
      <c r="D936" s="10" t="s">
        <v>1291</v>
      </c>
      <c r="E936" s="11">
        <v>9728</v>
      </c>
      <c r="F936" s="11">
        <v>9710</v>
      </c>
      <c r="G936" s="11">
        <v>19438</v>
      </c>
      <c r="H936" s="11">
        <v>6098</v>
      </c>
    </row>
    <row r="937" spans="1:8" x14ac:dyDescent="0.2">
      <c r="A937" s="10">
        <v>40</v>
      </c>
      <c r="B937" s="10" t="s">
        <v>1271</v>
      </c>
      <c r="C937" s="10">
        <v>4021</v>
      </c>
      <c r="D937" s="10" t="s">
        <v>1292</v>
      </c>
      <c r="E937" s="11">
        <v>8819</v>
      </c>
      <c r="F937" s="11">
        <v>9120</v>
      </c>
      <c r="G937" s="11">
        <v>17939</v>
      </c>
      <c r="H937" s="11">
        <v>5504</v>
      </c>
    </row>
    <row r="938" spans="1:8" x14ac:dyDescent="0.2">
      <c r="A938" s="10">
        <v>40</v>
      </c>
      <c r="B938" s="10" t="s">
        <v>1271</v>
      </c>
      <c r="C938" s="10">
        <v>4022</v>
      </c>
      <c r="D938" s="10" t="s">
        <v>1293</v>
      </c>
      <c r="E938" s="11">
        <v>10382</v>
      </c>
      <c r="F938" s="11">
        <v>10437</v>
      </c>
      <c r="G938" s="11">
        <v>20819</v>
      </c>
      <c r="H938" s="11">
        <v>6935</v>
      </c>
    </row>
    <row r="939" spans="1:8" x14ac:dyDescent="0.2">
      <c r="A939" s="10">
        <v>40</v>
      </c>
      <c r="B939" s="10" t="s">
        <v>1271</v>
      </c>
      <c r="C939" s="10">
        <v>4023</v>
      </c>
      <c r="D939" s="10" t="s">
        <v>1294</v>
      </c>
      <c r="E939" s="11">
        <v>11613</v>
      </c>
      <c r="F939" s="11">
        <v>11782</v>
      </c>
      <c r="G939" s="11">
        <v>23395</v>
      </c>
      <c r="H939" s="11">
        <v>7104</v>
      </c>
    </row>
    <row r="940" spans="1:8" x14ac:dyDescent="0.2">
      <c r="A940" s="10">
        <v>40</v>
      </c>
      <c r="B940" s="10" t="s">
        <v>1271</v>
      </c>
      <c r="C940" s="10">
        <v>4024</v>
      </c>
      <c r="D940" s="10" t="s">
        <v>1295</v>
      </c>
      <c r="E940" s="11">
        <v>12829</v>
      </c>
      <c r="F940" s="11">
        <v>13151</v>
      </c>
      <c r="G940" s="11">
        <v>25980</v>
      </c>
      <c r="H940" s="11">
        <v>8738</v>
      </c>
    </row>
    <row r="941" spans="1:8" x14ac:dyDescent="0.2">
      <c r="A941" s="10">
        <v>40</v>
      </c>
      <c r="B941" s="10" t="s">
        <v>1271</v>
      </c>
      <c r="C941" s="10">
        <v>4025</v>
      </c>
      <c r="D941" s="10" t="s">
        <v>1296</v>
      </c>
      <c r="E941" s="11">
        <v>10387</v>
      </c>
      <c r="F941" s="11">
        <v>10504</v>
      </c>
      <c r="G941" s="11">
        <v>20891</v>
      </c>
      <c r="H941" s="11">
        <v>6801</v>
      </c>
    </row>
    <row r="942" spans="1:8" x14ac:dyDescent="0.2">
      <c r="A942" s="10">
        <v>40</v>
      </c>
      <c r="B942" s="10" t="s">
        <v>1271</v>
      </c>
      <c r="C942" s="10">
        <v>4029</v>
      </c>
      <c r="D942" s="10" t="s">
        <v>1297</v>
      </c>
      <c r="E942" s="11">
        <v>9750</v>
      </c>
      <c r="F942" s="11">
        <v>9954</v>
      </c>
      <c r="G942" s="11">
        <v>19704</v>
      </c>
      <c r="H942" s="11">
        <v>5977</v>
      </c>
    </row>
    <row r="943" spans="1:8" x14ac:dyDescent="0.2">
      <c r="A943" s="10">
        <v>40</v>
      </c>
      <c r="B943" s="10" t="s">
        <v>1271</v>
      </c>
      <c r="C943" s="10">
        <v>4054</v>
      </c>
      <c r="D943" s="10" t="s">
        <v>1298</v>
      </c>
      <c r="E943" s="11">
        <v>27265</v>
      </c>
      <c r="F943" s="11">
        <v>28075</v>
      </c>
      <c r="G943" s="11">
        <v>55340</v>
      </c>
      <c r="H943" s="11">
        <v>32137</v>
      </c>
    </row>
    <row r="944" spans="1:8" x14ac:dyDescent="0.2">
      <c r="A944" s="10">
        <v>40</v>
      </c>
      <c r="B944" s="10" t="s">
        <v>1271</v>
      </c>
      <c r="C944" s="10">
        <v>4055</v>
      </c>
      <c r="D944" s="10" t="s">
        <v>1299</v>
      </c>
      <c r="E944" s="11">
        <v>4409</v>
      </c>
      <c r="F944" s="11">
        <v>4330</v>
      </c>
      <c r="G944" s="11">
        <v>8739</v>
      </c>
      <c r="H944" s="11">
        <v>2606</v>
      </c>
    </row>
    <row r="945" spans="1:8" x14ac:dyDescent="0.2">
      <c r="A945" s="10">
        <v>40</v>
      </c>
      <c r="B945" s="10" t="s">
        <v>1271</v>
      </c>
      <c r="C945" s="10">
        <v>4056</v>
      </c>
      <c r="D945" s="10" t="s">
        <v>1300</v>
      </c>
      <c r="E945" s="11">
        <v>4892</v>
      </c>
      <c r="F945" s="11">
        <v>4965</v>
      </c>
      <c r="G945" s="11">
        <v>9857</v>
      </c>
      <c r="H945" s="11">
        <v>2803</v>
      </c>
    </row>
    <row r="946" spans="1:8" x14ac:dyDescent="0.2">
      <c r="A946" s="10">
        <v>40</v>
      </c>
      <c r="B946" s="10" t="s">
        <v>1271</v>
      </c>
      <c r="C946" s="10">
        <v>4057</v>
      </c>
      <c r="D946" s="10" t="s">
        <v>1301</v>
      </c>
      <c r="E946" s="11">
        <v>9333</v>
      </c>
      <c r="F946" s="11">
        <v>10049</v>
      </c>
      <c r="G946" s="11">
        <v>19382</v>
      </c>
      <c r="H946" s="11">
        <v>9638</v>
      </c>
    </row>
    <row r="947" spans="1:8" x14ac:dyDescent="0.2">
      <c r="A947" s="10">
        <v>40</v>
      </c>
      <c r="B947" s="10" t="s">
        <v>1271</v>
      </c>
      <c r="C947" s="10">
        <v>4058</v>
      </c>
      <c r="D947" s="10" t="s">
        <v>950</v>
      </c>
      <c r="E947" s="11">
        <v>2914</v>
      </c>
      <c r="F947" s="11">
        <v>2929</v>
      </c>
      <c r="G947" s="11">
        <v>5843</v>
      </c>
      <c r="H947" s="11">
        <v>1863</v>
      </c>
    </row>
    <row r="948" spans="1:8" x14ac:dyDescent="0.2">
      <c r="A948" s="10">
        <v>40</v>
      </c>
      <c r="B948" s="10" t="s">
        <v>1271</v>
      </c>
      <c r="C948" s="10">
        <v>4060</v>
      </c>
      <c r="D948" s="10" t="s">
        <v>1302</v>
      </c>
      <c r="E948" s="11">
        <v>4924</v>
      </c>
      <c r="F948" s="11">
        <v>5158</v>
      </c>
      <c r="G948" s="11">
        <v>10082</v>
      </c>
      <c r="H948" s="11">
        <v>3684</v>
      </c>
    </row>
    <row r="949" spans="1:8" x14ac:dyDescent="0.2">
      <c r="A949" s="10">
        <v>40</v>
      </c>
      <c r="B949" s="10" t="s">
        <v>1271</v>
      </c>
      <c r="C949" s="10">
        <v>4061</v>
      </c>
      <c r="D949" s="10" t="s">
        <v>1303</v>
      </c>
      <c r="E949" s="11">
        <v>3624</v>
      </c>
      <c r="F949" s="11">
        <v>3964</v>
      </c>
      <c r="G949" s="11">
        <v>7588</v>
      </c>
      <c r="H949" s="11">
        <v>2339</v>
      </c>
    </row>
    <row r="950" spans="1:8" x14ac:dyDescent="0.2">
      <c r="A950" s="10">
        <v>40</v>
      </c>
      <c r="B950" s="10" t="s">
        <v>1271</v>
      </c>
      <c r="C950" s="10">
        <v>4062</v>
      </c>
      <c r="D950" s="10" t="s">
        <v>833</v>
      </c>
      <c r="E950" s="11">
        <v>15303</v>
      </c>
      <c r="F950" s="11">
        <v>17691</v>
      </c>
      <c r="G950" s="11">
        <v>32994</v>
      </c>
      <c r="H950" s="11">
        <v>19056</v>
      </c>
    </row>
    <row r="951" spans="1:8" x14ac:dyDescent="0.2">
      <c r="A951" s="10">
        <v>40</v>
      </c>
      <c r="B951" s="10" t="s">
        <v>1271</v>
      </c>
      <c r="C951" s="10">
        <v>4063</v>
      </c>
      <c r="D951" s="10" t="s">
        <v>1304</v>
      </c>
      <c r="E951" s="11">
        <v>4762</v>
      </c>
      <c r="F951" s="11">
        <v>4965</v>
      </c>
      <c r="G951" s="11">
        <v>9727</v>
      </c>
      <c r="H951" s="11">
        <v>3351</v>
      </c>
    </row>
    <row r="952" spans="1:8" x14ac:dyDescent="0.2">
      <c r="A952" s="10">
        <v>40</v>
      </c>
      <c r="B952" s="10" t="s">
        <v>1271</v>
      </c>
      <c r="C952" s="10">
        <v>4064</v>
      </c>
      <c r="D952" s="10" t="s">
        <v>1305</v>
      </c>
      <c r="E952" s="11">
        <v>8536</v>
      </c>
      <c r="F952" s="11">
        <v>8944</v>
      </c>
      <c r="G952" s="11">
        <v>17480</v>
      </c>
      <c r="H952" s="11">
        <v>7548</v>
      </c>
    </row>
    <row r="953" spans="1:8" x14ac:dyDescent="0.2">
      <c r="A953" s="10">
        <v>40</v>
      </c>
      <c r="B953" s="10" t="s">
        <v>1271</v>
      </c>
      <c r="C953" s="10">
        <v>4065</v>
      </c>
      <c r="D953" s="10" t="s">
        <v>1306</v>
      </c>
      <c r="E953" s="11">
        <v>4149</v>
      </c>
      <c r="F953" s="11">
        <v>4334</v>
      </c>
      <c r="G953" s="11">
        <v>8483</v>
      </c>
      <c r="H953" s="11">
        <v>2848</v>
      </c>
    </row>
    <row r="954" spans="1:8" x14ac:dyDescent="0.2">
      <c r="A954" s="10">
        <v>40</v>
      </c>
      <c r="B954" s="10" t="s">
        <v>1271</v>
      </c>
      <c r="C954" s="10">
        <v>4067</v>
      </c>
      <c r="D954" s="10" t="s">
        <v>1307</v>
      </c>
      <c r="E954" s="11">
        <v>8857</v>
      </c>
      <c r="F954" s="11">
        <v>9046</v>
      </c>
      <c r="G954" s="11">
        <v>17903</v>
      </c>
      <c r="H954" s="11">
        <v>6137</v>
      </c>
    </row>
    <row r="955" spans="1:8" x14ac:dyDescent="0.2">
      <c r="A955" s="10">
        <v>40</v>
      </c>
      <c r="B955" s="10" t="s">
        <v>1271</v>
      </c>
      <c r="C955" s="10">
        <v>4068</v>
      </c>
      <c r="D955" s="10" t="s">
        <v>1308</v>
      </c>
      <c r="E955" s="11">
        <v>22409</v>
      </c>
      <c r="F955" s="11">
        <v>26213</v>
      </c>
      <c r="G955" s="11">
        <v>48622</v>
      </c>
      <c r="H955" s="11">
        <v>30471</v>
      </c>
    </row>
    <row r="956" spans="1:8" x14ac:dyDescent="0.2">
      <c r="A956" s="10">
        <v>40</v>
      </c>
      <c r="B956" s="10" t="s">
        <v>1271</v>
      </c>
      <c r="C956" s="10">
        <v>4069</v>
      </c>
      <c r="D956" s="10" t="s">
        <v>1309</v>
      </c>
      <c r="E956" s="11">
        <v>2724</v>
      </c>
      <c r="F956" s="11">
        <v>2768</v>
      </c>
      <c r="G956" s="11">
        <v>5492</v>
      </c>
      <c r="H956" s="11">
        <v>1965</v>
      </c>
    </row>
    <row r="957" spans="1:8" x14ac:dyDescent="0.2">
      <c r="A957" s="10">
        <v>40</v>
      </c>
      <c r="B957" s="10" t="s">
        <v>1271</v>
      </c>
      <c r="C957" s="10">
        <v>4070</v>
      </c>
      <c r="D957" s="10" t="s">
        <v>1310</v>
      </c>
      <c r="E957" s="11">
        <v>3249</v>
      </c>
      <c r="F957" s="11">
        <v>3340</v>
      </c>
      <c r="G957" s="11">
        <v>6589</v>
      </c>
      <c r="H957" s="11">
        <v>2369</v>
      </c>
    </row>
    <row r="958" spans="1:8" x14ac:dyDescent="0.2">
      <c r="A958" s="10">
        <v>40</v>
      </c>
      <c r="B958" s="10" t="s">
        <v>1271</v>
      </c>
      <c r="C958" s="10">
        <v>4071</v>
      </c>
      <c r="D958" s="10" t="s">
        <v>1261</v>
      </c>
      <c r="E958" s="11">
        <v>1926</v>
      </c>
      <c r="F958" s="11">
        <v>2099</v>
      </c>
      <c r="G958" s="11">
        <v>4025</v>
      </c>
      <c r="H958" s="11">
        <v>1568</v>
      </c>
    </row>
    <row r="959" spans="1:8" x14ac:dyDescent="0.2">
      <c r="A959" s="10">
        <v>40</v>
      </c>
      <c r="B959" s="10" t="s">
        <v>1271</v>
      </c>
      <c r="C959" s="10">
        <v>4072</v>
      </c>
      <c r="D959" s="10" t="s">
        <v>1311</v>
      </c>
      <c r="E959" s="11">
        <v>2531</v>
      </c>
      <c r="F959" s="11">
        <v>2648</v>
      </c>
      <c r="G959" s="11">
        <v>5179</v>
      </c>
      <c r="H959" s="11">
        <v>2044</v>
      </c>
    </row>
    <row r="960" spans="1:8" x14ac:dyDescent="0.2">
      <c r="A960" s="10">
        <v>40</v>
      </c>
      <c r="B960" s="10" t="s">
        <v>1271</v>
      </c>
      <c r="C960" s="10">
        <v>4073</v>
      </c>
      <c r="D960" s="10" t="s">
        <v>1312</v>
      </c>
      <c r="E960" s="11">
        <v>1644</v>
      </c>
      <c r="F960" s="11">
        <v>1750</v>
      </c>
      <c r="G960" s="11">
        <v>3394</v>
      </c>
      <c r="H960" s="11">
        <v>1352</v>
      </c>
    </row>
    <row r="961" spans="1:8" x14ac:dyDescent="0.2">
      <c r="A961" s="10">
        <v>40</v>
      </c>
      <c r="B961" s="10" t="s">
        <v>1271</v>
      </c>
      <c r="C961" s="10">
        <v>4074</v>
      </c>
      <c r="D961" s="10" t="s">
        <v>1313</v>
      </c>
      <c r="E961" s="11">
        <v>5200</v>
      </c>
      <c r="F961" s="11">
        <v>5336</v>
      </c>
      <c r="G961" s="11">
        <v>10536</v>
      </c>
      <c r="H961" s="11">
        <v>3952</v>
      </c>
    </row>
    <row r="962" spans="1:8" x14ac:dyDescent="0.2">
      <c r="A962" s="10">
        <v>40</v>
      </c>
      <c r="B962" s="10" t="s">
        <v>1271</v>
      </c>
      <c r="C962" s="10">
        <v>4075</v>
      </c>
      <c r="D962" s="10" t="s">
        <v>1314</v>
      </c>
      <c r="E962" s="11">
        <v>3566</v>
      </c>
      <c r="F962" s="11">
        <v>4017</v>
      </c>
      <c r="G962" s="11">
        <v>7583</v>
      </c>
      <c r="H962" s="11">
        <v>3461</v>
      </c>
    </row>
    <row r="963" spans="1:8" x14ac:dyDescent="0.2">
      <c r="A963" s="10">
        <v>40</v>
      </c>
      <c r="B963" s="10" t="s">
        <v>1271</v>
      </c>
      <c r="C963" s="10">
        <v>4076</v>
      </c>
      <c r="D963" s="10" t="s">
        <v>1315</v>
      </c>
      <c r="E963" s="11">
        <v>1600</v>
      </c>
      <c r="F963" s="11">
        <v>1771</v>
      </c>
      <c r="G963" s="11">
        <v>3371</v>
      </c>
      <c r="H963" s="11">
        <v>2003</v>
      </c>
    </row>
    <row r="964" spans="1:8" x14ac:dyDescent="0.2">
      <c r="A964" s="10">
        <v>40</v>
      </c>
      <c r="B964" s="10" t="s">
        <v>1271</v>
      </c>
      <c r="C964" s="10">
        <v>4077</v>
      </c>
      <c r="D964" s="10" t="s">
        <v>1316</v>
      </c>
      <c r="E964" s="11">
        <v>1287</v>
      </c>
      <c r="F964" s="11">
        <v>1459</v>
      </c>
      <c r="G964" s="11">
        <v>2746</v>
      </c>
      <c r="H964" s="11">
        <v>1780</v>
      </c>
    </row>
    <row r="965" spans="1:8" x14ac:dyDescent="0.2">
      <c r="A965" s="10">
        <v>40</v>
      </c>
      <c r="B965" s="10" t="s">
        <v>1271</v>
      </c>
      <c r="C965" s="10">
        <v>4078</v>
      </c>
      <c r="D965" s="10" t="s">
        <v>1317</v>
      </c>
      <c r="E965" s="11">
        <v>2648</v>
      </c>
      <c r="F965" s="11">
        <v>2814</v>
      </c>
      <c r="G965" s="11">
        <v>5462</v>
      </c>
      <c r="H965" s="11">
        <v>2849</v>
      </c>
    </row>
    <row r="966" spans="1:8" x14ac:dyDescent="0.2">
      <c r="A966" s="10">
        <v>40</v>
      </c>
      <c r="B966" s="10" t="s">
        <v>1271</v>
      </c>
      <c r="C966" s="10">
        <v>4079</v>
      </c>
      <c r="D966" s="10" t="s">
        <v>1318</v>
      </c>
      <c r="E966" s="11">
        <v>1412</v>
      </c>
      <c r="F966" s="11">
        <v>1570</v>
      </c>
      <c r="G966" s="11">
        <v>2982</v>
      </c>
      <c r="H966" s="11">
        <v>1393</v>
      </c>
    </row>
    <row r="967" spans="1:8" x14ac:dyDescent="0.2">
      <c r="A967" s="10">
        <v>40</v>
      </c>
      <c r="B967" s="10" t="s">
        <v>1271</v>
      </c>
      <c r="C967" s="10">
        <v>4080</v>
      </c>
      <c r="D967" s="10" t="s">
        <v>1319</v>
      </c>
      <c r="E967" s="11">
        <v>2441</v>
      </c>
      <c r="F967" s="11">
        <v>2627</v>
      </c>
      <c r="G967" s="11">
        <v>5068</v>
      </c>
      <c r="H967" s="11">
        <v>1874</v>
      </c>
    </row>
    <row r="968" spans="1:8" x14ac:dyDescent="0.2">
      <c r="A968" s="10">
        <v>40</v>
      </c>
      <c r="B968" s="10" t="s">
        <v>1271</v>
      </c>
      <c r="C968" s="10">
        <v>4081</v>
      </c>
      <c r="D968" s="10" t="s">
        <v>1320</v>
      </c>
      <c r="E968" s="11">
        <v>2827</v>
      </c>
      <c r="F968" s="11">
        <v>2951</v>
      </c>
      <c r="G968" s="11">
        <v>5778</v>
      </c>
      <c r="H968" s="11">
        <v>2089</v>
      </c>
    </row>
    <row r="969" spans="1:8" x14ac:dyDescent="0.2">
      <c r="A969" s="10">
        <v>40</v>
      </c>
      <c r="B969" s="10" t="s">
        <v>1271</v>
      </c>
      <c r="C969" s="10">
        <v>4082</v>
      </c>
      <c r="D969" s="10" t="s">
        <v>1321</v>
      </c>
      <c r="E969" s="11">
        <v>4555</v>
      </c>
      <c r="F969" s="11">
        <v>5022</v>
      </c>
      <c r="G969" s="11">
        <v>9577</v>
      </c>
      <c r="H969" s="11">
        <v>4677</v>
      </c>
    </row>
    <row r="970" spans="1:8" x14ac:dyDescent="0.2">
      <c r="A970" s="10">
        <v>40</v>
      </c>
      <c r="B970" s="10" t="s">
        <v>1271</v>
      </c>
      <c r="C970" s="10">
        <v>4083</v>
      </c>
      <c r="D970" s="10" t="s">
        <v>1322</v>
      </c>
      <c r="E970" s="11">
        <v>1860</v>
      </c>
      <c r="F970" s="11">
        <v>1966</v>
      </c>
      <c r="G970" s="11">
        <v>3826</v>
      </c>
      <c r="H970" s="11">
        <v>2138</v>
      </c>
    </row>
    <row r="971" spans="1:8" x14ac:dyDescent="0.2">
      <c r="A971" s="10">
        <v>40</v>
      </c>
      <c r="B971" s="10" t="s">
        <v>1271</v>
      </c>
      <c r="C971" s="10">
        <v>4084</v>
      </c>
      <c r="D971" s="10" t="s">
        <v>1323</v>
      </c>
      <c r="E971" s="11">
        <v>2994</v>
      </c>
      <c r="F971" s="11">
        <v>3253</v>
      </c>
      <c r="G971" s="11">
        <v>6247</v>
      </c>
      <c r="H971" s="11">
        <v>3029</v>
      </c>
    </row>
    <row r="972" spans="1:8" x14ac:dyDescent="0.2">
      <c r="A972" s="10">
        <v>40</v>
      </c>
      <c r="B972" s="10" t="s">
        <v>1271</v>
      </c>
      <c r="C972" s="10">
        <v>4085</v>
      </c>
      <c r="D972" s="10" t="s">
        <v>1324</v>
      </c>
      <c r="E972" s="11">
        <v>2225</v>
      </c>
      <c r="F972" s="11">
        <v>2456</v>
      </c>
      <c r="G972" s="11">
        <v>4681</v>
      </c>
      <c r="H972" s="11">
        <v>2489</v>
      </c>
    </row>
    <row r="973" spans="1:8" x14ac:dyDescent="0.2">
      <c r="A973" s="10">
        <v>40</v>
      </c>
      <c r="B973" s="10" t="s">
        <v>1271</v>
      </c>
      <c r="C973" s="10">
        <v>4086</v>
      </c>
      <c r="D973" s="10" t="s">
        <v>1325</v>
      </c>
      <c r="E973" s="11">
        <v>1609</v>
      </c>
      <c r="F973" s="11">
        <v>1660</v>
      </c>
      <c r="G973" s="11">
        <v>3269</v>
      </c>
      <c r="H973" s="11">
        <v>1603</v>
      </c>
    </row>
    <row r="974" spans="1:8" x14ac:dyDescent="0.2">
      <c r="A974" s="10">
        <v>40</v>
      </c>
      <c r="B974" s="10" t="s">
        <v>1271</v>
      </c>
      <c r="C974" s="10">
        <v>4087</v>
      </c>
      <c r="D974" s="10" t="s">
        <v>1326</v>
      </c>
      <c r="E974" s="11">
        <v>2133</v>
      </c>
      <c r="F974" s="11">
        <v>2362</v>
      </c>
      <c r="G974" s="11">
        <v>4495</v>
      </c>
      <c r="H974" s="11">
        <v>1571</v>
      </c>
    </row>
    <row r="975" spans="1:8" x14ac:dyDescent="0.2">
      <c r="A975" s="10">
        <v>40</v>
      </c>
      <c r="B975" s="10" t="s">
        <v>1271</v>
      </c>
      <c r="C975" s="10">
        <v>4088</v>
      </c>
      <c r="D975" s="10" t="s">
        <v>1327</v>
      </c>
      <c r="E975" s="11">
        <v>2059</v>
      </c>
      <c r="F975" s="11">
        <v>2274</v>
      </c>
      <c r="G975" s="11">
        <v>4333</v>
      </c>
      <c r="H975" s="11">
        <v>1370</v>
      </c>
    </row>
    <row r="976" spans="1:8" x14ac:dyDescent="0.2">
      <c r="A976" s="10">
        <v>40</v>
      </c>
      <c r="B976" s="10" t="s">
        <v>1271</v>
      </c>
      <c r="C976" s="10">
        <v>4089</v>
      </c>
      <c r="D976" s="10" t="s">
        <v>1328</v>
      </c>
      <c r="E976" s="11">
        <v>2090</v>
      </c>
      <c r="F976" s="11">
        <v>2057</v>
      </c>
      <c r="G976" s="11">
        <v>4147</v>
      </c>
      <c r="H976" s="11">
        <v>2287</v>
      </c>
    </row>
    <row r="977" spans="1:8" x14ac:dyDescent="0.2">
      <c r="A977" s="10">
        <v>40</v>
      </c>
      <c r="B977" s="10" t="s">
        <v>1271</v>
      </c>
      <c r="C977" s="10">
        <v>4090</v>
      </c>
      <c r="D977" s="10" t="s">
        <v>1329</v>
      </c>
      <c r="E977" s="10">
        <v>680</v>
      </c>
      <c r="F977" s="10">
        <v>675</v>
      </c>
      <c r="G977" s="11">
        <v>1355</v>
      </c>
      <c r="H977" s="10">
        <v>723</v>
      </c>
    </row>
    <row r="978" spans="1:8" x14ac:dyDescent="0.2">
      <c r="A978" s="10">
        <v>40</v>
      </c>
      <c r="B978" s="10" t="s">
        <v>1271</v>
      </c>
      <c r="C978" s="10">
        <v>4091</v>
      </c>
      <c r="D978" s="10" t="s">
        <v>1330</v>
      </c>
      <c r="E978" s="11">
        <v>1622</v>
      </c>
      <c r="F978" s="11">
        <v>1720</v>
      </c>
      <c r="G978" s="11">
        <v>3342</v>
      </c>
      <c r="H978" s="11">
        <v>1959</v>
      </c>
    </row>
    <row r="979" spans="1:8" x14ac:dyDescent="0.2">
      <c r="A979" s="10">
        <v>40</v>
      </c>
      <c r="B979" s="10" t="s">
        <v>1271</v>
      </c>
      <c r="C979" s="10">
        <v>4092</v>
      </c>
      <c r="D979" s="10" t="s">
        <v>1331</v>
      </c>
      <c r="E979" s="11">
        <v>1549</v>
      </c>
      <c r="F979" s="11">
        <v>1739</v>
      </c>
      <c r="G979" s="11">
        <v>3288</v>
      </c>
      <c r="H979" s="11">
        <v>1574</v>
      </c>
    </row>
    <row r="980" spans="1:8" x14ac:dyDescent="0.2">
      <c r="A980" s="10">
        <v>40</v>
      </c>
      <c r="B980" s="10" t="s">
        <v>1271</v>
      </c>
      <c r="C980" s="10">
        <v>4093</v>
      </c>
      <c r="D980" s="10" t="s">
        <v>1332</v>
      </c>
      <c r="E980" s="11">
        <v>3075</v>
      </c>
      <c r="F980" s="11">
        <v>3311</v>
      </c>
      <c r="G980" s="11">
        <v>6386</v>
      </c>
      <c r="H980" s="11">
        <v>2142</v>
      </c>
    </row>
    <row r="981" spans="1:8" x14ac:dyDescent="0.2">
      <c r="A981" s="10">
        <v>40</v>
      </c>
      <c r="B981" s="10" t="s">
        <v>1271</v>
      </c>
      <c r="C981" s="10">
        <v>4094</v>
      </c>
      <c r="D981" s="10" t="s">
        <v>1333</v>
      </c>
      <c r="E981" s="11">
        <v>2170</v>
      </c>
      <c r="F981" s="11">
        <v>2333</v>
      </c>
      <c r="G981" s="11">
        <v>4503</v>
      </c>
      <c r="H981" s="11">
        <v>1970</v>
      </c>
    </row>
    <row r="982" spans="1:8" x14ac:dyDescent="0.2">
      <c r="A982" s="10">
        <v>40</v>
      </c>
      <c r="B982" s="10" t="s">
        <v>1271</v>
      </c>
      <c r="C982" s="10">
        <v>4095</v>
      </c>
      <c r="D982" s="10" t="s">
        <v>1334</v>
      </c>
      <c r="E982" s="11">
        <v>4062</v>
      </c>
      <c r="F982" s="11">
        <v>4478</v>
      </c>
      <c r="G982" s="11">
        <v>8540</v>
      </c>
      <c r="H982" s="11">
        <v>4257</v>
      </c>
    </row>
    <row r="983" spans="1:8" x14ac:dyDescent="0.2">
      <c r="A983" s="10">
        <v>40</v>
      </c>
      <c r="B983" s="10" t="s">
        <v>1271</v>
      </c>
      <c r="C983" s="10">
        <v>4096</v>
      </c>
      <c r="D983" s="10" t="s">
        <v>1335</v>
      </c>
      <c r="E983" s="11">
        <v>14642</v>
      </c>
      <c r="F983" s="11">
        <v>15810</v>
      </c>
      <c r="G983" s="11">
        <v>30452</v>
      </c>
      <c r="H983" s="11">
        <v>16479</v>
      </c>
    </row>
    <row r="984" spans="1:8" x14ac:dyDescent="0.2">
      <c r="A984" s="10">
        <v>40</v>
      </c>
      <c r="B984" s="10" t="s">
        <v>1271</v>
      </c>
      <c r="C984" s="10">
        <v>4097</v>
      </c>
      <c r="D984" s="10" t="s">
        <v>1336</v>
      </c>
      <c r="E984" s="11">
        <v>12454</v>
      </c>
      <c r="F984" s="11">
        <v>13734</v>
      </c>
      <c r="G984" s="11">
        <v>26188</v>
      </c>
      <c r="H984" s="11">
        <v>13198</v>
      </c>
    </row>
    <row r="985" spans="1:8" x14ac:dyDescent="0.2">
      <c r="A985" s="10">
        <v>40</v>
      </c>
      <c r="B985" s="10" t="s">
        <v>1271</v>
      </c>
      <c r="C985" s="10">
        <v>4098</v>
      </c>
      <c r="D985" s="10" t="s">
        <v>1337</v>
      </c>
      <c r="E985" s="11">
        <v>4689</v>
      </c>
      <c r="F985" s="11">
        <v>5210</v>
      </c>
      <c r="G985" s="11">
        <v>9899</v>
      </c>
      <c r="H985" s="11">
        <v>5505</v>
      </c>
    </row>
    <row r="986" spans="1:8" x14ac:dyDescent="0.2">
      <c r="A986" s="10">
        <v>40</v>
      </c>
      <c r="B986" s="10" t="s">
        <v>1271</v>
      </c>
      <c r="C986" s="10">
        <v>4099</v>
      </c>
      <c r="D986" s="10" t="s">
        <v>1338</v>
      </c>
      <c r="E986" s="11">
        <v>47673</v>
      </c>
      <c r="F986" s="11">
        <v>52244</v>
      </c>
      <c r="G986" s="11">
        <v>99917</v>
      </c>
      <c r="H986" s="11">
        <v>69560</v>
      </c>
    </row>
    <row r="987" spans="1:8" x14ac:dyDescent="0.2">
      <c r="A987" s="10">
        <v>41</v>
      </c>
      <c r="B987" s="10" t="s">
        <v>1339</v>
      </c>
      <c r="C987" s="10">
        <v>4101</v>
      </c>
      <c r="D987" s="10" t="s">
        <v>1340</v>
      </c>
      <c r="E987" s="11">
        <v>90893</v>
      </c>
      <c r="F987" s="11">
        <v>96008</v>
      </c>
      <c r="G987" s="11">
        <v>186901</v>
      </c>
      <c r="H987" s="11">
        <v>78300</v>
      </c>
    </row>
    <row r="988" spans="1:8" x14ac:dyDescent="0.2">
      <c r="A988" s="10">
        <v>41</v>
      </c>
      <c r="B988" s="10" t="s">
        <v>1339</v>
      </c>
      <c r="C988" s="10">
        <v>4102</v>
      </c>
      <c r="D988" s="10" t="s">
        <v>1341</v>
      </c>
      <c r="E988" s="11">
        <v>21646</v>
      </c>
      <c r="F988" s="11">
        <v>21642</v>
      </c>
      <c r="G988" s="11">
        <v>43288</v>
      </c>
      <c r="H988" s="11">
        <v>13871</v>
      </c>
    </row>
    <row r="989" spans="1:8" x14ac:dyDescent="0.2">
      <c r="A989" s="10">
        <v>41</v>
      </c>
      <c r="B989" s="10" t="s">
        <v>1339</v>
      </c>
      <c r="C989" s="10">
        <v>4103</v>
      </c>
      <c r="D989" s="10" t="s">
        <v>1342</v>
      </c>
      <c r="E989" s="11">
        <v>22276</v>
      </c>
      <c r="F989" s="11">
        <v>22333</v>
      </c>
      <c r="G989" s="11">
        <v>44609</v>
      </c>
      <c r="H989" s="11">
        <v>12386</v>
      </c>
    </row>
    <row r="990" spans="1:8" x14ac:dyDescent="0.2">
      <c r="A990" s="10">
        <v>41</v>
      </c>
      <c r="B990" s="10" t="s">
        <v>1339</v>
      </c>
      <c r="C990" s="10">
        <v>4104</v>
      </c>
      <c r="D990" s="10" t="s">
        <v>1343</v>
      </c>
      <c r="E990" s="11">
        <v>36089</v>
      </c>
      <c r="F990" s="11">
        <v>36963</v>
      </c>
      <c r="G990" s="11">
        <v>73052</v>
      </c>
      <c r="H990" s="11">
        <v>22764</v>
      </c>
    </row>
    <row r="991" spans="1:8" x14ac:dyDescent="0.2">
      <c r="A991" s="10">
        <v>41</v>
      </c>
      <c r="B991" s="10" t="s">
        <v>1339</v>
      </c>
      <c r="C991" s="10">
        <v>4105</v>
      </c>
      <c r="D991" s="10" t="s">
        <v>1344</v>
      </c>
      <c r="E991" s="11">
        <v>22230</v>
      </c>
      <c r="F991" s="11">
        <v>22477</v>
      </c>
      <c r="G991" s="11">
        <v>44707</v>
      </c>
      <c r="H991" s="11">
        <v>12530</v>
      </c>
    </row>
    <row r="992" spans="1:8" x14ac:dyDescent="0.2">
      <c r="A992" s="10">
        <v>41</v>
      </c>
      <c r="B992" s="10" t="s">
        <v>1339</v>
      </c>
      <c r="C992" s="10">
        <v>4106</v>
      </c>
      <c r="D992" s="10" t="s">
        <v>1345</v>
      </c>
      <c r="E992" s="11">
        <v>43918</v>
      </c>
      <c r="F992" s="11">
        <v>44211</v>
      </c>
      <c r="G992" s="11">
        <v>88129</v>
      </c>
      <c r="H992" s="11">
        <v>29081</v>
      </c>
    </row>
    <row r="993" spans="1:8" x14ac:dyDescent="0.2">
      <c r="A993" s="10">
        <v>41</v>
      </c>
      <c r="B993" s="10" t="s">
        <v>1339</v>
      </c>
      <c r="C993" s="10">
        <v>4107</v>
      </c>
      <c r="D993" s="10" t="s">
        <v>1346</v>
      </c>
      <c r="E993" s="11">
        <v>12500</v>
      </c>
      <c r="F993" s="11">
        <v>12383</v>
      </c>
      <c r="G993" s="11">
        <v>24883</v>
      </c>
      <c r="H993" s="11">
        <v>7636</v>
      </c>
    </row>
    <row r="994" spans="1:8" x14ac:dyDescent="0.2">
      <c r="A994" s="10">
        <v>41</v>
      </c>
      <c r="B994" s="10" t="s">
        <v>1339</v>
      </c>
      <c r="C994" s="10">
        <v>4108</v>
      </c>
      <c r="D994" s="10" t="s">
        <v>1347</v>
      </c>
      <c r="E994" s="11">
        <v>11937</v>
      </c>
      <c r="F994" s="11">
        <v>11652</v>
      </c>
      <c r="G994" s="11">
        <v>23589</v>
      </c>
      <c r="H994" s="11">
        <v>6573</v>
      </c>
    </row>
    <row r="995" spans="1:8" x14ac:dyDescent="0.2">
      <c r="A995" s="10">
        <v>41</v>
      </c>
      <c r="B995" s="10" t="s">
        <v>1339</v>
      </c>
      <c r="C995" s="10">
        <v>4109</v>
      </c>
      <c r="D995" s="10" t="s">
        <v>1348</v>
      </c>
      <c r="E995" s="11">
        <v>11671</v>
      </c>
      <c r="F995" s="11">
        <v>11769</v>
      </c>
      <c r="G995" s="11">
        <v>23440</v>
      </c>
      <c r="H995" s="11">
        <v>6905</v>
      </c>
    </row>
    <row r="996" spans="1:8" x14ac:dyDescent="0.2">
      <c r="A996" s="10">
        <v>41</v>
      </c>
      <c r="B996" s="10" t="s">
        <v>1339</v>
      </c>
      <c r="C996" s="10">
        <v>4110</v>
      </c>
      <c r="D996" s="10" t="s">
        <v>1349</v>
      </c>
      <c r="E996" s="11">
        <v>15513</v>
      </c>
      <c r="F996" s="11">
        <v>15405</v>
      </c>
      <c r="G996" s="11">
        <v>30918</v>
      </c>
      <c r="H996" s="11">
        <v>9183</v>
      </c>
    </row>
    <row r="997" spans="1:8" x14ac:dyDescent="0.2">
      <c r="A997" s="10">
        <v>41</v>
      </c>
      <c r="B997" s="10" t="s">
        <v>1339</v>
      </c>
      <c r="C997" s="10">
        <v>4111</v>
      </c>
      <c r="D997" s="10" t="s">
        <v>1350</v>
      </c>
      <c r="E997" s="11">
        <v>55234</v>
      </c>
      <c r="F997" s="11">
        <v>55660</v>
      </c>
      <c r="G997" s="11">
        <v>110894</v>
      </c>
      <c r="H997" s="11">
        <v>33997</v>
      </c>
    </row>
    <row r="998" spans="1:8" x14ac:dyDescent="0.2">
      <c r="A998" s="10">
        <v>41</v>
      </c>
      <c r="B998" s="10" t="s">
        <v>1339</v>
      </c>
      <c r="C998" s="10">
        <v>4117</v>
      </c>
      <c r="D998" s="10" t="s">
        <v>1351</v>
      </c>
      <c r="E998" s="11">
        <v>50636</v>
      </c>
      <c r="F998" s="11">
        <v>50711</v>
      </c>
      <c r="G998" s="11">
        <v>101347</v>
      </c>
      <c r="H998" s="11">
        <v>32736</v>
      </c>
    </row>
    <row r="999" spans="1:8" x14ac:dyDescent="0.2">
      <c r="A999" s="10">
        <v>41</v>
      </c>
      <c r="B999" s="10" t="s">
        <v>1339</v>
      </c>
      <c r="C999" s="10">
        <v>4118</v>
      </c>
      <c r="D999" s="10" t="s">
        <v>1352</v>
      </c>
      <c r="E999" s="11">
        <v>20680</v>
      </c>
      <c r="F999" s="11">
        <v>20347</v>
      </c>
      <c r="G999" s="11">
        <v>41027</v>
      </c>
      <c r="H999" s="11">
        <v>14033</v>
      </c>
    </row>
    <row r="1000" spans="1:8" x14ac:dyDescent="0.2">
      <c r="A1000" s="10">
        <v>41</v>
      </c>
      <c r="B1000" s="10" t="s">
        <v>1339</v>
      </c>
      <c r="C1000" s="10">
        <v>4119</v>
      </c>
      <c r="D1000" s="10" t="s">
        <v>1353</v>
      </c>
      <c r="E1000" s="11">
        <v>48140</v>
      </c>
      <c r="F1000" s="11">
        <v>48216</v>
      </c>
      <c r="G1000" s="11">
        <v>96356</v>
      </c>
      <c r="H1000" s="11">
        <v>31107</v>
      </c>
    </row>
    <row r="1001" spans="1:8" x14ac:dyDescent="0.2">
      <c r="A1001" s="10">
        <v>41</v>
      </c>
      <c r="B1001" s="10" t="s">
        <v>1339</v>
      </c>
      <c r="C1001" s="10">
        <v>4120</v>
      </c>
      <c r="D1001" s="10" t="s">
        <v>1354</v>
      </c>
      <c r="E1001" s="11">
        <v>10935</v>
      </c>
      <c r="F1001" s="11">
        <v>10916</v>
      </c>
      <c r="G1001" s="11">
        <v>21851</v>
      </c>
      <c r="H1001" s="11">
        <v>7010</v>
      </c>
    </row>
    <row r="1002" spans="1:8" x14ac:dyDescent="0.2">
      <c r="A1002" s="10">
        <v>41</v>
      </c>
      <c r="B1002" s="10" t="s">
        <v>1339</v>
      </c>
      <c r="C1002" s="10">
        <v>4121</v>
      </c>
      <c r="D1002" s="10" t="s">
        <v>1355</v>
      </c>
      <c r="E1002" s="11">
        <v>11471</v>
      </c>
      <c r="F1002" s="11">
        <v>11463</v>
      </c>
      <c r="G1002" s="11">
        <v>22934</v>
      </c>
      <c r="H1002" s="11">
        <v>7203</v>
      </c>
    </row>
    <row r="1003" spans="1:8" x14ac:dyDescent="0.2">
      <c r="A1003" s="10">
        <v>41</v>
      </c>
      <c r="B1003" s="10" t="s">
        <v>1339</v>
      </c>
      <c r="C1003" s="10">
        <v>4122</v>
      </c>
      <c r="D1003" s="10" t="s">
        <v>1356</v>
      </c>
      <c r="E1003" s="11">
        <v>14344</v>
      </c>
      <c r="F1003" s="11">
        <v>14049</v>
      </c>
      <c r="G1003" s="11">
        <v>28393</v>
      </c>
      <c r="H1003" s="11">
        <v>10205</v>
      </c>
    </row>
    <row r="1004" spans="1:8" x14ac:dyDescent="0.2">
      <c r="A1004" s="10">
        <v>41</v>
      </c>
      <c r="B1004" s="10" t="s">
        <v>1339</v>
      </c>
      <c r="C1004" s="10">
        <v>4123</v>
      </c>
      <c r="D1004" s="10" t="s">
        <v>1357</v>
      </c>
      <c r="E1004" s="11">
        <v>12155</v>
      </c>
      <c r="F1004" s="11">
        <v>12443</v>
      </c>
      <c r="G1004" s="11">
        <v>24598</v>
      </c>
      <c r="H1004" s="11">
        <v>8991</v>
      </c>
    </row>
    <row r="1005" spans="1:8" x14ac:dyDescent="0.2">
      <c r="A1005" s="10">
        <v>41</v>
      </c>
      <c r="B1005" s="10" t="s">
        <v>1339</v>
      </c>
      <c r="C1005" s="10">
        <v>4124</v>
      </c>
      <c r="D1005" s="10" t="s">
        <v>1358</v>
      </c>
      <c r="E1005" s="11">
        <v>10963</v>
      </c>
      <c r="F1005" s="11">
        <v>10929</v>
      </c>
      <c r="G1005" s="11">
        <v>21892</v>
      </c>
      <c r="H1005" s="11">
        <v>7293</v>
      </c>
    </row>
    <row r="1006" spans="1:8" x14ac:dyDescent="0.2">
      <c r="A1006" s="10">
        <v>41</v>
      </c>
      <c r="B1006" s="10" t="s">
        <v>1339</v>
      </c>
      <c r="C1006" s="10">
        <v>4125</v>
      </c>
      <c r="D1006" s="10" t="s">
        <v>1359</v>
      </c>
      <c r="E1006" s="11">
        <v>12596</v>
      </c>
      <c r="F1006" s="11">
        <v>12638</v>
      </c>
      <c r="G1006" s="11">
        <v>25234</v>
      </c>
      <c r="H1006" s="11">
        <v>7710</v>
      </c>
    </row>
    <row r="1007" spans="1:8" x14ac:dyDescent="0.2">
      <c r="A1007" s="10">
        <v>41</v>
      </c>
      <c r="B1007" s="10" t="s">
        <v>1339</v>
      </c>
      <c r="C1007" s="10">
        <v>4158</v>
      </c>
      <c r="D1007" s="10" t="s">
        <v>1360</v>
      </c>
      <c r="E1007" s="11">
        <v>4097</v>
      </c>
      <c r="F1007" s="11">
        <v>4116</v>
      </c>
      <c r="G1007" s="11">
        <v>8213</v>
      </c>
      <c r="H1007" s="11">
        <v>2112</v>
      </c>
    </row>
    <row r="1008" spans="1:8" x14ac:dyDescent="0.2">
      <c r="A1008" s="10">
        <v>41</v>
      </c>
      <c r="B1008" s="10" t="s">
        <v>1339</v>
      </c>
      <c r="C1008" s="10">
        <v>4159</v>
      </c>
      <c r="D1008" s="10" t="s">
        <v>1361</v>
      </c>
      <c r="E1008" s="11">
        <v>5663</v>
      </c>
      <c r="F1008" s="11">
        <v>5546</v>
      </c>
      <c r="G1008" s="11">
        <v>11209</v>
      </c>
      <c r="H1008" s="11">
        <v>3311</v>
      </c>
    </row>
    <row r="1009" spans="1:8" x14ac:dyDescent="0.2">
      <c r="A1009" s="10">
        <v>41</v>
      </c>
      <c r="B1009" s="10" t="s">
        <v>1339</v>
      </c>
      <c r="C1009" s="10">
        <v>4160</v>
      </c>
      <c r="D1009" s="10" t="s">
        <v>1362</v>
      </c>
      <c r="E1009" s="11">
        <v>7894</v>
      </c>
      <c r="F1009" s="11">
        <v>7724</v>
      </c>
      <c r="G1009" s="11">
        <v>15618</v>
      </c>
      <c r="H1009" s="11">
        <v>4926</v>
      </c>
    </row>
    <row r="1010" spans="1:8" x14ac:dyDescent="0.2">
      <c r="A1010" s="10">
        <v>41</v>
      </c>
      <c r="B1010" s="10" t="s">
        <v>1339</v>
      </c>
      <c r="C1010" s="10">
        <v>4161</v>
      </c>
      <c r="D1010" s="10" t="s">
        <v>1363</v>
      </c>
      <c r="E1010" s="11">
        <v>3757</v>
      </c>
      <c r="F1010" s="11">
        <v>3722</v>
      </c>
      <c r="G1010" s="11">
        <v>7479</v>
      </c>
      <c r="H1010" s="11">
        <v>2002</v>
      </c>
    </row>
    <row r="1011" spans="1:8" x14ac:dyDescent="0.2">
      <c r="A1011" s="10">
        <v>41</v>
      </c>
      <c r="B1011" s="10" t="s">
        <v>1339</v>
      </c>
      <c r="C1011" s="10">
        <v>4162</v>
      </c>
      <c r="D1011" s="10" t="s">
        <v>1364</v>
      </c>
      <c r="E1011" s="11">
        <v>4074</v>
      </c>
      <c r="F1011" s="11">
        <v>4018</v>
      </c>
      <c r="G1011" s="11">
        <v>8092</v>
      </c>
      <c r="H1011" s="11">
        <v>2235</v>
      </c>
    </row>
    <row r="1012" spans="1:8" x14ac:dyDescent="0.2">
      <c r="A1012" s="10">
        <v>41</v>
      </c>
      <c r="B1012" s="10" t="s">
        <v>1339</v>
      </c>
      <c r="C1012" s="10">
        <v>4163</v>
      </c>
      <c r="D1012" s="10" t="s">
        <v>1365</v>
      </c>
      <c r="E1012" s="11">
        <v>3514</v>
      </c>
      <c r="F1012" s="11">
        <v>3673</v>
      </c>
      <c r="G1012" s="11">
        <v>7187</v>
      </c>
      <c r="H1012" s="11">
        <v>2842</v>
      </c>
    </row>
    <row r="1013" spans="1:8" x14ac:dyDescent="0.2">
      <c r="A1013" s="10">
        <v>41</v>
      </c>
      <c r="B1013" s="10" t="s">
        <v>1339</v>
      </c>
      <c r="C1013" s="10">
        <v>4164</v>
      </c>
      <c r="D1013" s="10" t="s">
        <v>1366</v>
      </c>
      <c r="E1013" s="11">
        <v>8201</v>
      </c>
      <c r="F1013" s="11">
        <v>8566</v>
      </c>
      <c r="G1013" s="11">
        <v>16767</v>
      </c>
      <c r="H1013" s="11">
        <v>5405</v>
      </c>
    </row>
    <row r="1014" spans="1:8" x14ac:dyDescent="0.2">
      <c r="A1014" s="10">
        <v>41</v>
      </c>
      <c r="B1014" s="10" t="s">
        <v>1339</v>
      </c>
      <c r="C1014" s="10">
        <v>4165</v>
      </c>
      <c r="D1014" s="10" t="s">
        <v>1367</v>
      </c>
      <c r="E1014" s="11">
        <v>5157</v>
      </c>
      <c r="F1014" s="11">
        <v>5290</v>
      </c>
      <c r="G1014" s="11">
        <v>10447</v>
      </c>
      <c r="H1014" s="11">
        <v>3361</v>
      </c>
    </row>
    <row r="1015" spans="1:8" x14ac:dyDescent="0.2">
      <c r="A1015" s="10">
        <v>41</v>
      </c>
      <c r="B1015" s="10" t="s">
        <v>1339</v>
      </c>
      <c r="C1015" s="10">
        <v>4166</v>
      </c>
      <c r="D1015" s="10" t="s">
        <v>1368</v>
      </c>
      <c r="E1015" s="11">
        <v>2798</v>
      </c>
      <c r="F1015" s="11">
        <v>2814</v>
      </c>
      <c r="G1015" s="11">
        <v>5612</v>
      </c>
      <c r="H1015" s="11">
        <v>2173</v>
      </c>
    </row>
    <row r="1016" spans="1:8" x14ac:dyDescent="0.2">
      <c r="A1016" s="10">
        <v>41</v>
      </c>
      <c r="B1016" s="10" t="s">
        <v>1339</v>
      </c>
      <c r="C1016" s="10">
        <v>4167</v>
      </c>
      <c r="D1016" s="10" t="s">
        <v>1369</v>
      </c>
      <c r="E1016" s="11">
        <v>4602</v>
      </c>
      <c r="F1016" s="11">
        <v>4785</v>
      </c>
      <c r="G1016" s="11">
        <v>9387</v>
      </c>
      <c r="H1016" s="11">
        <v>2879</v>
      </c>
    </row>
    <row r="1017" spans="1:8" x14ac:dyDescent="0.2">
      <c r="A1017" s="10">
        <v>41</v>
      </c>
      <c r="B1017" s="10" t="s">
        <v>1339</v>
      </c>
      <c r="C1017" s="10">
        <v>4168</v>
      </c>
      <c r="D1017" s="10" t="s">
        <v>1369</v>
      </c>
      <c r="E1017" s="11">
        <v>4034</v>
      </c>
      <c r="F1017" s="11">
        <v>4812</v>
      </c>
      <c r="G1017" s="11">
        <v>8846</v>
      </c>
      <c r="H1017" s="11">
        <v>2909</v>
      </c>
    </row>
    <row r="1018" spans="1:8" x14ac:dyDescent="0.2">
      <c r="A1018" s="10">
        <v>41</v>
      </c>
      <c r="B1018" s="10" t="s">
        <v>1339</v>
      </c>
      <c r="C1018" s="10">
        <v>4169</v>
      </c>
      <c r="D1018" s="10" t="s">
        <v>1370</v>
      </c>
      <c r="E1018" s="11">
        <v>5431</v>
      </c>
      <c r="F1018" s="11">
        <v>5583</v>
      </c>
      <c r="G1018" s="11">
        <v>11014</v>
      </c>
      <c r="H1018" s="11">
        <v>3558</v>
      </c>
    </row>
    <row r="1019" spans="1:8" x14ac:dyDescent="0.2">
      <c r="A1019" s="10">
        <v>41</v>
      </c>
      <c r="B1019" s="10" t="s">
        <v>1339</v>
      </c>
      <c r="C1019" s="10">
        <v>4170</v>
      </c>
      <c r="D1019" s="10" t="s">
        <v>1371</v>
      </c>
      <c r="E1019" s="11">
        <v>1973</v>
      </c>
      <c r="F1019" s="11">
        <v>1981</v>
      </c>
      <c r="G1019" s="11">
        <v>3954</v>
      </c>
      <c r="H1019" s="11">
        <v>1007</v>
      </c>
    </row>
    <row r="1020" spans="1:8" x14ac:dyDescent="0.2">
      <c r="A1020" s="10">
        <v>41</v>
      </c>
      <c r="B1020" s="10" t="s">
        <v>1339</v>
      </c>
      <c r="C1020" s="10">
        <v>4171</v>
      </c>
      <c r="D1020" s="10" t="s">
        <v>1372</v>
      </c>
      <c r="E1020" s="11">
        <v>1292</v>
      </c>
      <c r="F1020" s="11">
        <v>1340</v>
      </c>
      <c r="G1020" s="11">
        <v>2632</v>
      </c>
      <c r="H1020" s="11">
        <v>1674</v>
      </c>
    </row>
    <row r="1021" spans="1:8" x14ac:dyDescent="0.2">
      <c r="A1021" s="10">
        <v>41</v>
      </c>
      <c r="B1021" s="10" t="s">
        <v>1339</v>
      </c>
      <c r="C1021" s="10">
        <v>4172</v>
      </c>
      <c r="D1021" s="10" t="s">
        <v>1373</v>
      </c>
      <c r="E1021" s="11">
        <v>4198</v>
      </c>
      <c r="F1021" s="11">
        <v>4406</v>
      </c>
      <c r="G1021" s="11">
        <v>8604</v>
      </c>
      <c r="H1021" s="11">
        <v>2673</v>
      </c>
    </row>
    <row r="1022" spans="1:8" x14ac:dyDescent="0.2">
      <c r="A1022" s="10">
        <v>41</v>
      </c>
      <c r="B1022" s="10" t="s">
        <v>1339</v>
      </c>
      <c r="C1022" s="10">
        <v>4173</v>
      </c>
      <c r="D1022" s="10" t="s">
        <v>1374</v>
      </c>
      <c r="E1022" s="11">
        <v>4338</v>
      </c>
      <c r="F1022" s="11">
        <v>4415</v>
      </c>
      <c r="G1022" s="11">
        <v>8753</v>
      </c>
      <c r="H1022" s="11">
        <v>3569</v>
      </c>
    </row>
    <row r="1023" spans="1:8" x14ac:dyDescent="0.2">
      <c r="A1023" s="10">
        <v>41</v>
      </c>
      <c r="B1023" s="10" t="s">
        <v>1339</v>
      </c>
      <c r="C1023" s="10">
        <v>4174</v>
      </c>
      <c r="D1023" s="10" t="s">
        <v>1375</v>
      </c>
      <c r="E1023" s="11">
        <v>3615</v>
      </c>
      <c r="F1023" s="11">
        <v>3910</v>
      </c>
      <c r="G1023" s="11">
        <v>7525</v>
      </c>
      <c r="H1023" s="11">
        <v>4343</v>
      </c>
    </row>
    <row r="1024" spans="1:8" x14ac:dyDescent="0.2">
      <c r="A1024" s="10">
        <v>41</v>
      </c>
      <c r="B1024" s="10" t="s">
        <v>1339</v>
      </c>
      <c r="C1024" s="10">
        <v>4175</v>
      </c>
      <c r="D1024" s="10" t="s">
        <v>1376</v>
      </c>
      <c r="E1024" s="11">
        <v>7114</v>
      </c>
      <c r="F1024" s="11">
        <v>7678</v>
      </c>
      <c r="G1024" s="11">
        <v>14792</v>
      </c>
      <c r="H1024" s="11">
        <v>6671</v>
      </c>
    </row>
    <row r="1025" spans="1:8" x14ac:dyDescent="0.2">
      <c r="A1025" s="10">
        <v>41</v>
      </c>
      <c r="B1025" s="10" t="s">
        <v>1339</v>
      </c>
      <c r="C1025" s="10">
        <v>4176</v>
      </c>
      <c r="D1025" s="10" t="s">
        <v>1377</v>
      </c>
      <c r="E1025" s="11">
        <v>2814</v>
      </c>
      <c r="F1025" s="11">
        <v>2993</v>
      </c>
      <c r="G1025" s="11">
        <v>5807</v>
      </c>
      <c r="H1025" s="11">
        <v>2958</v>
      </c>
    </row>
    <row r="1026" spans="1:8" x14ac:dyDescent="0.2">
      <c r="A1026" s="10">
        <v>41</v>
      </c>
      <c r="B1026" s="10" t="s">
        <v>1339</v>
      </c>
      <c r="C1026" s="10">
        <v>4177</v>
      </c>
      <c r="D1026" s="10" t="s">
        <v>1378</v>
      </c>
      <c r="E1026" s="11">
        <v>2624</v>
      </c>
      <c r="F1026" s="11">
        <v>2711</v>
      </c>
      <c r="G1026" s="11">
        <v>5335</v>
      </c>
      <c r="H1026" s="11">
        <v>1970</v>
      </c>
    </row>
    <row r="1027" spans="1:8" x14ac:dyDescent="0.2">
      <c r="A1027" s="10">
        <v>41</v>
      </c>
      <c r="B1027" s="10" t="s">
        <v>1339</v>
      </c>
      <c r="C1027" s="10">
        <v>4178</v>
      </c>
      <c r="D1027" s="10" t="s">
        <v>1379</v>
      </c>
      <c r="E1027" s="11">
        <v>3913</v>
      </c>
      <c r="F1027" s="11">
        <v>4146</v>
      </c>
      <c r="G1027" s="11">
        <v>8059</v>
      </c>
      <c r="H1027" s="11">
        <v>2575</v>
      </c>
    </row>
    <row r="1028" spans="1:8" x14ac:dyDescent="0.2">
      <c r="A1028" s="10">
        <v>41</v>
      </c>
      <c r="B1028" s="10" t="s">
        <v>1339</v>
      </c>
      <c r="C1028" s="10">
        <v>4179</v>
      </c>
      <c r="D1028" s="10" t="s">
        <v>1380</v>
      </c>
      <c r="E1028" s="11">
        <v>3332</v>
      </c>
      <c r="F1028" s="11">
        <v>3628</v>
      </c>
      <c r="G1028" s="11">
        <v>6960</v>
      </c>
      <c r="H1028" s="11">
        <v>2308</v>
      </c>
    </row>
    <row r="1029" spans="1:8" x14ac:dyDescent="0.2">
      <c r="A1029" s="10">
        <v>41</v>
      </c>
      <c r="B1029" s="10" t="s">
        <v>1339</v>
      </c>
      <c r="C1029" s="10">
        <v>4180</v>
      </c>
      <c r="D1029" s="10" t="s">
        <v>1381</v>
      </c>
      <c r="E1029" s="11">
        <v>1888</v>
      </c>
      <c r="F1029" s="11">
        <v>2108</v>
      </c>
      <c r="G1029" s="11">
        <v>3996</v>
      </c>
      <c r="H1029" s="11">
        <v>1926</v>
      </c>
    </row>
    <row r="1030" spans="1:8" x14ac:dyDescent="0.2">
      <c r="A1030" s="10">
        <v>41</v>
      </c>
      <c r="B1030" s="10" t="s">
        <v>1339</v>
      </c>
      <c r="C1030" s="10">
        <v>4181</v>
      </c>
      <c r="D1030" s="10" t="s">
        <v>1382</v>
      </c>
      <c r="E1030" s="11">
        <v>4010</v>
      </c>
      <c r="F1030" s="11">
        <v>4020</v>
      </c>
      <c r="G1030" s="11">
        <v>8030</v>
      </c>
      <c r="H1030" s="11">
        <v>2371</v>
      </c>
    </row>
    <row r="1031" spans="1:8" x14ac:dyDescent="0.2">
      <c r="A1031" s="10">
        <v>41</v>
      </c>
      <c r="B1031" s="10" t="s">
        <v>1339</v>
      </c>
      <c r="C1031" s="10">
        <v>4182</v>
      </c>
      <c r="D1031" s="10" t="s">
        <v>1383</v>
      </c>
      <c r="E1031" s="11">
        <v>2779</v>
      </c>
      <c r="F1031" s="11">
        <v>2823</v>
      </c>
      <c r="G1031" s="11">
        <v>5602</v>
      </c>
      <c r="H1031" s="11">
        <v>2047</v>
      </c>
    </row>
    <row r="1032" spans="1:8" x14ac:dyDescent="0.2">
      <c r="A1032" s="10">
        <v>41</v>
      </c>
      <c r="B1032" s="10" t="s">
        <v>1339</v>
      </c>
      <c r="C1032" s="10">
        <v>4183</v>
      </c>
      <c r="D1032" s="10" t="s">
        <v>1384</v>
      </c>
      <c r="E1032" s="11">
        <v>2065</v>
      </c>
      <c r="F1032" s="11">
        <v>2198</v>
      </c>
      <c r="G1032" s="11">
        <v>4263</v>
      </c>
      <c r="H1032" s="11">
        <v>1801</v>
      </c>
    </row>
    <row r="1033" spans="1:8" x14ac:dyDescent="0.2">
      <c r="A1033" s="10">
        <v>41</v>
      </c>
      <c r="B1033" s="10" t="s">
        <v>1339</v>
      </c>
      <c r="C1033" s="10">
        <v>4184</v>
      </c>
      <c r="D1033" s="10" t="s">
        <v>1385</v>
      </c>
      <c r="E1033" s="11">
        <v>2468</v>
      </c>
      <c r="F1033" s="11">
        <v>2578</v>
      </c>
      <c r="G1033" s="11">
        <v>5046</v>
      </c>
      <c r="H1033" s="11">
        <v>1760</v>
      </c>
    </row>
    <row r="1034" spans="1:8" x14ac:dyDescent="0.2">
      <c r="A1034" s="10">
        <v>41</v>
      </c>
      <c r="B1034" s="10" t="s">
        <v>1339</v>
      </c>
      <c r="C1034" s="10">
        <v>4185</v>
      </c>
      <c r="D1034" s="10" t="s">
        <v>1386</v>
      </c>
      <c r="E1034" s="11">
        <v>2517</v>
      </c>
      <c r="F1034" s="11">
        <v>2787</v>
      </c>
      <c r="G1034" s="11">
        <v>5304</v>
      </c>
      <c r="H1034" s="11">
        <v>2752</v>
      </c>
    </row>
    <row r="1035" spans="1:8" x14ac:dyDescent="0.2">
      <c r="A1035" s="10">
        <v>41</v>
      </c>
      <c r="B1035" s="10" t="s">
        <v>1339</v>
      </c>
      <c r="C1035" s="10">
        <v>4186</v>
      </c>
      <c r="D1035" s="10" t="s">
        <v>1387</v>
      </c>
      <c r="E1035" s="11">
        <v>3703</v>
      </c>
      <c r="F1035" s="11">
        <v>4026</v>
      </c>
      <c r="G1035" s="11">
        <v>7729</v>
      </c>
      <c r="H1035" s="11">
        <v>4609</v>
      </c>
    </row>
    <row r="1036" spans="1:8" x14ac:dyDescent="0.2">
      <c r="A1036" s="10">
        <v>41</v>
      </c>
      <c r="B1036" s="10" t="s">
        <v>1339</v>
      </c>
      <c r="C1036" s="10">
        <v>4187</v>
      </c>
      <c r="D1036" s="10" t="s">
        <v>1388</v>
      </c>
      <c r="E1036" s="11">
        <v>3713</v>
      </c>
      <c r="F1036" s="11">
        <v>3942</v>
      </c>
      <c r="G1036" s="11">
        <v>7655</v>
      </c>
      <c r="H1036" s="11">
        <v>2421</v>
      </c>
    </row>
    <row r="1037" spans="1:8" x14ac:dyDescent="0.2">
      <c r="A1037" s="10">
        <v>41</v>
      </c>
      <c r="B1037" s="10" t="s">
        <v>1339</v>
      </c>
      <c r="C1037" s="10">
        <v>4188</v>
      </c>
      <c r="D1037" s="10" t="s">
        <v>1389</v>
      </c>
      <c r="E1037" s="11">
        <v>4569</v>
      </c>
      <c r="F1037" s="11">
        <v>4803</v>
      </c>
      <c r="G1037" s="11">
        <v>9372</v>
      </c>
      <c r="H1037" s="11">
        <v>3045</v>
      </c>
    </row>
    <row r="1038" spans="1:8" x14ac:dyDescent="0.2">
      <c r="A1038" s="10">
        <v>41</v>
      </c>
      <c r="B1038" s="10" t="s">
        <v>1339</v>
      </c>
      <c r="C1038" s="10">
        <v>4189</v>
      </c>
      <c r="D1038" s="10" t="s">
        <v>1390</v>
      </c>
      <c r="E1038" s="11">
        <v>1918</v>
      </c>
      <c r="F1038" s="11">
        <v>1944</v>
      </c>
      <c r="G1038" s="11">
        <v>3862</v>
      </c>
      <c r="H1038" s="11">
        <v>1121</v>
      </c>
    </row>
    <row r="1039" spans="1:8" x14ac:dyDescent="0.2">
      <c r="A1039" s="10">
        <v>41</v>
      </c>
      <c r="B1039" s="10" t="s">
        <v>1339</v>
      </c>
      <c r="C1039" s="10">
        <v>4190</v>
      </c>
      <c r="D1039" s="10" t="s">
        <v>1391</v>
      </c>
      <c r="E1039" s="11">
        <v>1819</v>
      </c>
      <c r="F1039" s="11">
        <v>1843</v>
      </c>
      <c r="G1039" s="11">
        <v>3662</v>
      </c>
      <c r="H1039" s="10">
        <v>917</v>
      </c>
    </row>
    <row r="1040" spans="1:8" x14ac:dyDescent="0.2">
      <c r="A1040" s="10">
        <v>41</v>
      </c>
      <c r="B1040" s="10" t="s">
        <v>1339</v>
      </c>
      <c r="C1040" s="10">
        <v>4191</v>
      </c>
      <c r="D1040" s="10" t="s">
        <v>1392</v>
      </c>
      <c r="E1040" s="11">
        <v>1968</v>
      </c>
      <c r="F1040" s="11">
        <v>2013</v>
      </c>
      <c r="G1040" s="11">
        <v>3981</v>
      </c>
      <c r="H1040" s="11">
        <v>1235</v>
      </c>
    </row>
    <row r="1041" spans="1:8" x14ac:dyDescent="0.2">
      <c r="A1041" s="10">
        <v>41</v>
      </c>
      <c r="B1041" s="10" t="s">
        <v>1339</v>
      </c>
      <c r="C1041" s="10">
        <v>4192</v>
      </c>
      <c r="D1041" s="10" t="s">
        <v>1393</v>
      </c>
      <c r="E1041" s="11">
        <v>4797</v>
      </c>
      <c r="F1041" s="11">
        <v>5135</v>
      </c>
      <c r="G1041" s="11">
        <v>9932</v>
      </c>
      <c r="H1041" s="11">
        <v>4132</v>
      </c>
    </row>
    <row r="1042" spans="1:8" x14ac:dyDescent="0.2">
      <c r="A1042" s="10">
        <v>41</v>
      </c>
      <c r="B1042" s="10" t="s">
        <v>1339</v>
      </c>
      <c r="C1042" s="10">
        <v>4193</v>
      </c>
      <c r="D1042" s="10" t="s">
        <v>754</v>
      </c>
      <c r="E1042" s="11">
        <v>15766</v>
      </c>
      <c r="F1042" s="11">
        <v>17646</v>
      </c>
      <c r="G1042" s="11">
        <v>33412</v>
      </c>
      <c r="H1042" s="11">
        <v>17663</v>
      </c>
    </row>
    <row r="1043" spans="1:8" x14ac:dyDescent="0.2">
      <c r="A1043" s="10">
        <v>41</v>
      </c>
      <c r="B1043" s="10" t="s">
        <v>1339</v>
      </c>
      <c r="C1043" s="10">
        <v>4194</v>
      </c>
      <c r="D1043" s="10" t="s">
        <v>1394</v>
      </c>
      <c r="E1043" s="11">
        <v>14551</v>
      </c>
      <c r="F1043" s="11">
        <v>15928</v>
      </c>
      <c r="G1043" s="11">
        <v>30479</v>
      </c>
      <c r="H1043" s="11">
        <v>16400</v>
      </c>
    </row>
    <row r="1044" spans="1:8" x14ac:dyDescent="0.2">
      <c r="A1044" s="10">
        <v>41</v>
      </c>
      <c r="B1044" s="10" t="s">
        <v>1339</v>
      </c>
      <c r="C1044" s="10">
        <v>4195</v>
      </c>
      <c r="D1044" s="10" t="s">
        <v>1395</v>
      </c>
      <c r="E1044" s="11">
        <v>3245</v>
      </c>
      <c r="F1044" s="11">
        <v>3901</v>
      </c>
      <c r="G1044" s="11">
        <v>7146</v>
      </c>
      <c r="H1044" s="11">
        <v>3719</v>
      </c>
    </row>
    <row r="1045" spans="1:8" x14ac:dyDescent="0.2">
      <c r="A1045" s="10">
        <v>41</v>
      </c>
      <c r="B1045" s="10" t="s">
        <v>1339</v>
      </c>
      <c r="C1045" s="10">
        <v>4196</v>
      </c>
      <c r="D1045" s="10" t="s">
        <v>1396</v>
      </c>
      <c r="E1045" s="11">
        <v>4521</v>
      </c>
      <c r="F1045" s="11">
        <v>3866</v>
      </c>
      <c r="G1045" s="11">
        <v>8387</v>
      </c>
      <c r="H1045" s="11">
        <v>3678</v>
      </c>
    </row>
    <row r="1046" spans="1:8" x14ac:dyDescent="0.2">
      <c r="A1046" s="10">
        <v>41</v>
      </c>
      <c r="B1046" s="10" t="s">
        <v>1339</v>
      </c>
      <c r="C1046" s="10">
        <v>4197</v>
      </c>
      <c r="D1046" s="10" t="s">
        <v>1397</v>
      </c>
      <c r="E1046" s="11">
        <v>1762</v>
      </c>
      <c r="F1046" s="11">
        <v>1895</v>
      </c>
      <c r="G1046" s="11">
        <v>3657</v>
      </c>
      <c r="H1046" s="11">
        <v>1382</v>
      </c>
    </row>
    <row r="1047" spans="1:8" x14ac:dyDescent="0.2">
      <c r="A1047" s="10">
        <v>41</v>
      </c>
      <c r="B1047" s="10" t="s">
        <v>1339</v>
      </c>
      <c r="C1047" s="10">
        <v>4198</v>
      </c>
      <c r="D1047" s="10" t="s">
        <v>1398</v>
      </c>
      <c r="E1047" s="11">
        <v>3055</v>
      </c>
      <c r="F1047" s="11">
        <v>3271</v>
      </c>
      <c r="G1047" s="11">
        <v>6326</v>
      </c>
      <c r="H1047" s="11">
        <v>2759</v>
      </c>
    </row>
    <row r="1048" spans="1:8" x14ac:dyDescent="0.2">
      <c r="A1048" s="10">
        <v>41</v>
      </c>
      <c r="B1048" s="10" t="s">
        <v>1339</v>
      </c>
      <c r="C1048" s="10">
        <v>4199</v>
      </c>
      <c r="D1048" s="10" t="s">
        <v>1399</v>
      </c>
      <c r="E1048" s="11">
        <v>54099</v>
      </c>
      <c r="F1048" s="11">
        <v>59861</v>
      </c>
      <c r="G1048" s="11">
        <v>113960</v>
      </c>
      <c r="H1048" s="11">
        <v>63163</v>
      </c>
    </row>
    <row r="1049" spans="1:8" x14ac:dyDescent="0.2">
      <c r="A1049" s="10">
        <v>42</v>
      </c>
      <c r="B1049" s="10" t="s">
        <v>1400</v>
      </c>
      <c r="C1049" s="10">
        <v>4201</v>
      </c>
      <c r="D1049" s="10" t="s">
        <v>1401</v>
      </c>
      <c r="E1049" s="11">
        <v>29973</v>
      </c>
      <c r="F1049" s="11">
        <v>29366</v>
      </c>
      <c r="G1049" s="11">
        <v>59339</v>
      </c>
      <c r="H1049" s="11">
        <v>25177</v>
      </c>
    </row>
    <row r="1050" spans="1:8" x14ac:dyDescent="0.2">
      <c r="A1050" s="10">
        <v>42</v>
      </c>
      <c r="B1050" s="10" t="s">
        <v>1400</v>
      </c>
      <c r="C1050" s="10">
        <v>4202</v>
      </c>
      <c r="D1050" s="10" t="s">
        <v>1402</v>
      </c>
      <c r="E1050" s="11">
        <v>4940</v>
      </c>
      <c r="F1050" s="11">
        <v>4864</v>
      </c>
      <c r="G1050" s="11">
        <v>9804</v>
      </c>
      <c r="H1050" s="11">
        <v>3846</v>
      </c>
    </row>
    <row r="1051" spans="1:8" x14ac:dyDescent="0.2">
      <c r="A1051" s="10">
        <v>42</v>
      </c>
      <c r="B1051" s="10" t="s">
        <v>1400</v>
      </c>
      <c r="C1051" s="10">
        <v>4203</v>
      </c>
      <c r="D1051" s="10" t="s">
        <v>1403</v>
      </c>
      <c r="E1051" s="11">
        <v>18803</v>
      </c>
      <c r="F1051" s="11">
        <v>19059</v>
      </c>
      <c r="G1051" s="11">
        <v>37862</v>
      </c>
      <c r="H1051" s="11">
        <v>14890</v>
      </c>
    </row>
    <row r="1052" spans="1:8" x14ac:dyDescent="0.2">
      <c r="A1052" s="10">
        <v>42</v>
      </c>
      <c r="B1052" s="10" t="s">
        <v>1400</v>
      </c>
      <c r="C1052" s="10">
        <v>4204</v>
      </c>
      <c r="D1052" s="10" t="s">
        <v>1404</v>
      </c>
      <c r="E1052" s="11">
        <v>17023</v>
      </c>
      <c r="F1052" s="11">
        <v>16527</v>
      </c>
      <c r="G1052" s="11">
        <v>33550</v>
      </c>
      <c r="H1052" s="11">
        <v>11815</v>
      </c>
    </row>
    <row r="1053" spans="1:8" x14ac:dyDescent="0.2">
      <c r="A1053" s="10">
        <v>42</v>
      </c>
      <c r="B1053" s="10" t="s">
        <v>1400</v>
      </c>
      <c r="C1053" s="10">
        <v>4205</v>
      </c>
      <c r="D1053" s="10" t="s">
        <v>1405</v>
      </c>
      <c r="E1053" s="11">
        <v>24326</v>
      </c>
      <c r="F1053" s="11">
        <v>23797</v>
      </c>
      <c r="G1053" s="11">
        <v>48123</v>
      </c>
      <c r="H1053" s="11">
        <v>16959</v>
      </c>
    </row>
    <row r="1054" spans="1:8" x14ac:dyDescent="0.2">
      <c r="A1054" s="10">
        <v>42</v>
      </c>
      <c r="B1054" s="10" t="s">
        <v>1400</v>
      </c>
      <c r="C1054" s="10">
        <v>4206</v>
      </c>
      <c r="D1054" s="10" t="s">
        <v>1406</v>
      </c>
      <c r="E1054" s="11">
        <v>4847</v>
      </c>
      <c r="F1054" s="11">
        <v>4802</v>
      </c>
      <c r="G1054" s="11">
        <v>9649</v>
      </c>
      <c r="H1054" s="11">
        <v>3255</v>
      </c>
    </row>
    <row r="1055" spans="1:8" x14ac:dyDescent="0.2">
      <c r="A1055" s="10">
        <v>42</v>
      </c>
      <c r="B1055" s="10" t="s">
        <v>1400</v>
      </c>
      <c r="C1055" s="10">
        <v>4207</v>
      </c>
      <c r="D1055" s="10" t="s">
        <v>1407</v>
      </c>
      <c r="E1055" s="11">
        <v>10028</v>
      </c>
      <c r="F1055" s="11">
        <v>9674</v>
      </c>
      <c r="G1055" s="11">
        <v>19702</v>
      </c>
      <c r="H1055" s="11">
        <v>7713</v>
      </c>
    </row>
    <row r="1056" spans="1:8" x14ac:dyDescent="0.2">
      <c r="A1056" s="10">
        <v>42</v>
      </c>
      <c r="B1056" s="10" t="s">
        <v>1400</v>
      </c>
      <c r="C1056" s="10">
        <v>4208</v>
      </c>
      <c r="D1056" s="10" t="s">
        <v>1408</v>
      </c>
      <c r="E1056" s="11">
        <v>12829</v>
      </c>
      <c r="F1056" s="11">
        <v>12861</v>
      </c>
      <c r="G1056" s="11">
        <v>25690</v>
      </c>
      <c r="H1056" s="11">
        <v>10443</v>
      </c>
    </row>
    <row r="1057" spans="1:8" x14ac:dyDescent="0.2">
      <c r="A1057" s="10">
        <v>42</v>
      </c>
      <c r="B1057" s="10" t="s">
        <v>1400</v>
      </c>
      <c r="C1057" s="10">
        <v>4209</v>
      </c>
      <c r="D1057" s="10" t="s">
        <v>1409</v>
      </c>
      <c r="E1057" s="11">
        <v>49244</v>
      </c>
      <c r="F1057" s="11">
        <v>49928</v>
      </c>
      <c r="G1057" s="11">
        <v>99172</v>
      </c>
      <c r="H1057" s="11">
        <v>35939</v>
      </c>
    </row>
    <row r="1058" spans="1:8" x14ac:dyDescent="0.2">
      <c r="A1058" s="10">
        <v>42</v>
      </c>
      <c r="B1058" s="10" t="s">
        <v>1400</v>
      </c>
      <c r="C1058" s="10">
        <v>4210</v>
      </c>
      <c r="D1058" s="10" t="s">
        <v>1410</v>
      </c>
      <c r="E1058" s="11">
        <v>13638</v>
      </c>
      <c r="F1058" s="11">
        <v>13526</v>
      </c>
      <c r="G1058" s="11">
        <v>27164</v>
      </c>
      <c r="H1058" s="11">
        <v>9273</v>
      </c>
    </row>
    <row r="1059" spans="1:8" x14ac:dyDescent="0.2">
      <c r="A1059" s="10">
        <v>42</v>
      </c>
      <c r="B1059" s="10" t="s">
        <v>1400</v>
      </c>
      <c r="C1059" s="10">
        <v>4211</v>
      </c>
      <c r="D1059" s="10" t="s">
        <v>1411</v>
      </c>
      <c r="E1059" s="11">
        <v>12513</v>
      </c>
      <c r="F1059" s="11">
        <v>12285</v>
      </c>
      <c r="G1059" s="11">
        <v>24798</v>
      </c>
      <c r="H1059" s="11">
        <v>8147</v>
      </c>
    </row>
    <row r="1060" spans="1:8" x14ac:dyDescent="0.2">
      <c r="A1060" s="10">
        <v>42</v>
      </c>
      <c r="B1060" s="10" t="s">
        <v>1400</v>
      </c>
      <c r="C1060" s="10">
        <v>4212</v>
      </c>
      <c r="D1060" s="10" t="s">
        <v>1412</v>
      </c>
      <c r="E1060" s="11">
        <v>15313</v>
      </c>
      <c r="F1060" s="11">
        <v>15285</v>
      </c>
      <c r="G1060" s="11">
        <v>30598</v>
      </c>
      <c r="H1060" s="11">
        <v>8801</v>
      </c>
    </row>
    <row r="1061" spans="1:8" x14ac:dyDescent="0.2">
      <c r="A1061" s="10">
        <v>42</v>
      </c>
      <c r="B1061" s="10" t="s">
        <v>1400</v>
      </c>
      <c r="C1061" s="10">
        <v>4213</v>
      </c>
      <c r="D1061" s="10" t="s">
        <v>1413</v>
      </c>
      <c r="E1061" s="11">
        <v>16771</v>
      </c>
      <c r="F1061" s="11">
        <v>16881</v>
      </c>
      <c r="G1061" s="11">
        <v>33652</v>
      </c>
      <c r="H1061" s="11">
        <v>11926</v>
      </c>
    </row>
    <row r="1062" spans="1:8" x14ac:dyDescent="0.2">
      <c r="A1062" s="10">
        <v>42</v>
      </c>
      <c r="B1062" s="10" t="s">
        <v>1400</v>
      </c>
      <c r="C1062" s="10">
        <v>4214</v>
      </c>
      <c r="D1062" s="10" t="s">
        <v>1414</v>
      </c>
      <c r="E1062" s="11">
        <v>10352</v>
      </c>
      <c r="F1062" s="11">
        <v>10192</v>
      </c>
      <c r="G1062" s="11">
        <v>20544</v>
      </c>
      <c r="H1062" s="11">
        <v>6434</v>
      </c>
    </row>
    <row r="1063" spans="1:8" x14ac:dyDescent="0.2">
      <c r="A1063" s="10">
        <v>42</v>
      </c>
      <c r="B1063" s="10" t="s">
        <v>1400</v>
      </c>
      <c r="C1063" s="10">
        <v>4279</v>
      </c>
      <c r="D1063" s="10" t="s">
        <v>1415</v>
      </c>
      <c r="E1063" s="11">
        <v>5495</v>
      </c>
      <c r="F1063" s="11">
        <v>5486</v>
      </c>
      <c r="G1063" s="11">
        <v>10981</v>
      </c>
      <c r="H1063" s="11">
        <v>3630</v>
      </c>
    </row>
    <row r="1064" spans="1:8" x14ac:dyDescent="0.2">
      <c r="A1064" s="10">
        <v>42</v>
      </c>
      <c r="B1064" s="10" t="s">
        <v>1400</v>
      </c>
      <c r="C1064" s="10">
        <v>4280</v>
      </c>
      <c r="D1064" s="10" t="s">
        <v>1416</v>
      </c>
      <c r="E1064" s="11">
        <v>4976</v>
      </c>
      <c r="F1064" s="11">
        <v>4841</v>
      </c>
      <c r="G1064" s="11">
        <v>9817</v>
      </c>
      <c r="H1064" s="11">
        <v>3041</v>
      </c>
    </row>
    <row r="1065" spans="1:8" x14ac:dyDescent="0.2">
      <c r="A1065" s="10">
        <v>42</v>
      </c>
      <c r="B1065" s="10" t="s">
        <v>1400</v>
      </c>
      <c r="C1065" s="10">
        <v>4281</v>
      </c>
      <c r="D1065" s="10" t="s">
        <v>1417</v>
      </c>
      <c r="E1065" s="11">
        <v>4723</v>
      </c>
      <c r="F1065" s="11">
        <v>4830</v>
      </c>
      <c r="G1065" s="11">
        <v>9553</v>
      </c>
      <c r="H1065" s="11">
        <v>3557</v>
      </c>
    </row>
    <row r="1066" spans="1:8" x14ac:dyDescent="0.2">
      <c r="A1066" s="10">
        <v>42</v>
      </c>
      <c r="B1066" s="10" t="s">
        <v>1400</v>
      </c>
      <c r="C1066" s="10">
        <v>4282</v>
      </c>
      <c r="D1066" s="10" t="s">
        <v>1418</v>
      </c>
      <c r="E1066" s="11">
        <v>5346</v>
      </c>
      <c r="F1066" s="11">
        <v>5312</v>
      </c>
      <c r="G1066" s="11">
        <v>10658</v>
      </c>
      <c r="H1066" s="11">
        <v>3846</v>
      </c>
    </row>
    <row r="1067" spans="1:8" x14ac:dyDescent="0.2">
      <c r="A1067" s="10">
        <v>42</v>
      </c>
      <c r="B1067" s="10" t="s">
        <v>1400</v>
      </c>
      <c r="C1067" s="10">
        <v>4283</v>
      </c>
      <c r="D1067" s="10" t="s">
        <v>1419</v>
      </c>
      <c r="E1067" s="11">
        <v>5107</v>
      </c>
      <c r="F1067" s="11">
        <v>5185</v>
      </c>
      <c r="G1067" s="11">
        <v>10292</v>
      </c>
      <c r="H1067" s="11">
        <v>3679</v>
      </c>
    </row>
    <row r="1068" spans="1:8" x14ac:dyDescent="0.2">
      <c r="A1068" s="10">
        <v>42</v>
      </c>
      <c r="B1068" s="10" t="s">
        <v>1400</v>
      </c>
      <c r="C1068" s="10">
        <v>4284</v>
      </c>
      <c r="D1068" s="10" t="s">
        <v>1420</v>
      </c>
      <c r="E1068" s="11">
        <v>6494</v>
      </c>
      <c r="F1068" s="11">
        <v>6787</v>
      </c>
      <c r="G1068" s="11">
        <v>13281</v>
      </c>
      <c r="H1068" s="11">
        <v>6516</v>
      </c>
    </row>
    <row r="1069" spans="1:8" x14ac:dyDescent="0.2">
      <c r="A1069" s="10">
        <v>42</v>
      </c>
      <c r="B1069" s="10" t="s">
        <v>1400</v>
      </c>
      <c r="C1069" s="10">
        <v>4285</v>
      </c>
      <c r="D1069" s="10" t="s">
        <v>1421</v>
      </c>
      <c r="E1069" s="11">
        <v>3859</v>
      </c>
      <c r="F1069" s="11">
        <v>3835</v>
      </c>
      <c r="G1069" s="11">
        <v>7694</v>
      </c>
      <c r="H1069" s="11">
        <v>2250</v>
      </c>
    </row>
    <row r="1070" spans="1:8" x14ac:dyDescent="0.2">
      <c r="A1070" s="10">
        <v>42</v>
      </c>
      <c r="B1070" s="10" t="s">
        <v>1400</v>
      </c>
      <c r="C1070" s="10">
        <v>4286</v>
      </c>
      <c r="D1070" s="10" t="s">
        <v>1422</v>
      </c>
      <c r="E1070" s="11">
        <v>2099</v>
      </c>
      <c r="F1070" s="11">
        <v>2229</v>
      </c>
      <c r="G1070" s="11">
        <v>4328</v>
      </c>
      <c r="H1070" s="11">
        <v>2163</v>
      </c>
    </row>
    <row r="1071" spans="1:8" x14ac:dyDescent="0.2">
      <c r="A1071" s="10">
        <v>42</v>
      </c>
      <c r="B1071" s="10" t="s">
        <v>1400</v>
      </c>
      <c r="C1071" s="10">
        <v>4287</v>
      </c>
      <c r="D1071" s="10" t="s">
        <v>1423</v>
      </c>
      <c r="E1071" s="11">
        <v>3416</v>
      </c>
      <c r="F1071" s="11">
        <v>3508</v>
      </c>
      <c r="G1071" s="11">
        <v>6924</v>
      </c>
      <c r="H1071" s="11">
        <v>2834</v>
      </c>
    </row>
    <row r="1072" spans="1:8" x14ac:dyDescent="0.2">
      <c r="A1072" s="10">
        <v>42</v>
      </c>
      <c r="B1072" s="10" t="s">
        <v>1400</v>
      </c>
      <c r="C1072" s="10">
        <v>4288</v>
      </c>
      <c r="D1072" s="10" t="s">
        <v>1424</v>
      </c>
      <c r="E1072" s="11">
        <v>4937</v>
      </c>
      <c r="F1072" s="11">
        <v>5401</v>
      </c>
      <c r="G1072" s="11">
        <v>10338</v>
      </c>
      <c r="H1072" s="11">
        <v>4736</v>
      </c>
    </row>
    <row r="1073" spans="1:8" x14ac:dyDescent="0.2">
      <c r="A1073" s="10">
        <v>42</v>
      </c>
      <c r="B1073" s="10" t="s">
        <v>1400</v>
      </c>
      <c r="C1073" s="10">
        <v>4289</v>
      </c>
      <c r="D1073" s="10" t="s">
        <v>1425</v>
      </c>
      <c r="E1073" s="10">
        <v>825</v>
      </c>
      <c r="F1073" s="10">
        <v>901</v>
      </c>
      <c r="G1073" s="11">
        <v>1726</v>
      </c>
      <c r="H1073" s="10">
        <v>836</v>
      </c>
    </row>
    <row r="1074" spans="1:8" x14ac:dyDescent="0.2">
      <c r="A1074" s="10">
        <v>42</v>
      </c>
      <c r="B1074" s="10" t="s">
        <v>1400</v>
      </c>
      <c r="C1074" s="10">
        <v>4290</v>
      </c>
      <c r="D1074" s="10" t="s">
        <v>1426</v>
      </c>
      <c r="E1074" s="11">
        <v>1337</v>
      </c>
      <c r="F1074" s="11">
        <v>1377</v>
      </c>
      <c r="G1074" s="11">
        <v>2714</v>
      </c>
      <c r="H1074" s="11">
        <v>1627</v>
      </c>
    </row>
    <row r="1075" spans="1:8" x14ac:dyDescent="0.2">
      <c r="A1075" s="10">
        <v>42</v>
      </c>
      <c r="B1075" s="10" t="s">
        <v>1400</v>
      </c>
      <c r="C1075" s="10">
        <v>4291</v>
      </c>
      <c r="D1075" s="10" t="s">
        <v>1427</v>
      </c>
      <c r="E1075" s="11">
        <v>1035</v>
      </c>
      <c r="F1075" s="11">
        <v>1002</v>
      </c>
      <c r="G1075" s="11">
        <v>2037</v>
      </c>
      <c r="H1075" s="10">
        <v>965</v>
      </c>
    </row>
    <row r="1076" spans="1:8" x14ac:dyDescent="0.2">
      <c r="A1076" s="10">
        <v>42</v>
      </c>
      <c r="B1076" s="10" t="s">
        <v>1400</v>
      </c>
      <c r="C1076" s="10">
        <v>4292</v>
      </c>
      <c r="D1076" s="10" t="s">
        <v>1428</v>
      </c>
      <c r="E1076" s="11">
        <v>1569</v>
      </c>
      <c r="F1076" s="11">
        <v>1657</v>
      </c>
      <c r="G1076" s="11">
        <v>3226</v>
      </c>
      <c r="H1076" s="11">
        <v>2048</v>
      </c>
    </row>
    <row r="1077" spans="1:8" x14ac:dyDescent="0.2">
      <c r="A1077" s="10">
        <v>42</v>
      </c>
      <c r="B1077" s="10" t="s">
        <v>1400</v>
      </c>
      <c r="C1077" s="10">
        <v>4293</v>
      </c>
      <c r="D1077" s="10" t="s">
        <v>1429</v>
      </c>
      <c r="E1077" s="11">
        <v>1637</v>
      </c>
      <c r="F1077" s="11">
        <v>1729</v>
      </c>
      <c r="G1077" s="11">
        <v>3366</v>
      </c>
      <c r="H1077" s="11">
        <v>1637</v>
      </c>
    </row>
    <row r="1078" spans="1:8" x14ac:dyDescent="0.2">
      <c r="A1078" s="10">
        <v>42</v>
      </c>
      <c r="B1078" s="10" t="s">
        <v>1400</v>
      </c>
      <c r="C1078" s="10">
        <v>4294</v>
      </c>
      <c r="D1078" s="10" t="s">
        <v>1430</v>
      </c>
      <c r="E1078" s="11">
        <v>2525</v>
      </c>
      <c r="F1078" s="11">
        <v>2584</v>
      </c>
      <c r="G1078" s="11">
        <v>5109</v>
      </c>
      <c r="H1078" s="11">
        <v>1715</v>
      </c>
    </row>
    <row r="1079" spans="1:8" x14ac:dyDescent="0.2">
      <c r="A1079" s="10">
        <v>42</v>
      </c>
      <c r="B1079" s="10" t="s">
        <v>1400</v>
      </c>
      <c r="C1079" s="10">
        <v>4295</v>
      </c>
      <c r="D1079" s="10" t="s">
        <v>1431</v>
      </c>
      <c r="E1079" s="11">
        <v>2360</v>
      </c>
      <c r="F1079" s="11">
        <v>2559</v>
      </c>
      <c r="G1079" s="11">
        <v>4919</v>
      </c>
      <c r="H1079" s="11">
        <v>2895</v>
      </c>
    </row>
    <row r="1080" spans="1:8" x14ac:dyDescent="0.2">
      <c r="A1080" s="10">
        <v>42</v>
      </c>
      <c r="B1080" s="10" t="s">
        <v>1400</v>
      </c>
      <c r="C1080" s="10">
        <v>4296</v>
      </c>
      <c r="D1080" s="10" t="s">
        <v>1432</v>
      </c>
      <c r="E1080" s="11">
        <v>3188</v>
      </c>
      <c r="F1080" s="11">
        <v>3228</v>
      </c>
      <c r="G1080" s="11">
        <v>6416</v>
      </c>
      <c r="H1080" s="11">
        <v>2461</v>
      </c>
    </row>
    <row r="1081" spans="1:8" x14ac:dyDescent="0.2">
      <c r="A1081" s="10">
        <v>42</v>
      </c>
      <c r="B1081" s="10" t="s">
        <v>1400</v>
      </c>
      <c r="C1081" s="10">
        <v>4297</v>
      </c>
      <c r="D1081" s="10" t="s">
        <v>1433</v>
      </c>
      <c r="E1081" s="11">
        <v>1746</v>
      </c>
      <c r="F1081" s="11">
        <v>1804</v>
      </c>
      <c r="G1081" s="11">
        <v>3550</v>
      </c>
      <c r="H1081" s="11">
        <v>1274</v>
      </c>
    </row>
    <row r="1082" spans="1:8" x14ac:dyDescent="0.2">
      <c r="A1082" s="10">
        <v>42</v>
      </c>
      <c r="B1082" s="10" t="s">
        <v>1400</v>
      </c>
      <c r="C1082" s="10">
        <v>4298</v>
      </c>
      <c r="D1082" s="10" t="s">
        <v>1434</v>
      </c>
      <c r="E1082" s="11">
        <v>2938</v>
      </c>
      <c r="F1082" s="11">
        <v>3054</v>
      </c>
      <c r="G1082" s="11">
        <v>5992</v>
      </c>
      <c r="H1082" s="11">
        <v>2416</v>
      </c>
    </row>
    <row r="1083" spans="1:8" x14ac:dyDescent="0.2">
      <c r="A1083" s="10">
        <v>42</v>
      </c>
      <c r="B1083" s="10" t="s">
        <v>1400</v>
      </c>
      <c r="C1083" s="10">
        <v>4299</v>
      </c>
      <c r="D1083" s="10" t="s">
        <v>1435</v>
      </c>
      <c r="E1083" s="11">
        <v>9659</v>
      </c>
      <c r="F1083" s="11">
        <v>9960</v>
      </c>
      <c r="G1083" s="11">
        <v>19619</v>
      </c>
      <c r="H1083" s="11">
        <v>11638</v>
      </c>
    </row>
    <row r="1084" spans="1:8" x14ac:dyDescent="0.2">
      <c r="A1084" s="10">
        <v>43</v>
      </c>
      <c r="B1084" s="10" t="s">
        <v>1436</v>
      </c>
      <c r="C1084" s="10">
        <v>4301</v>
      </c>
      <c r="D1084" s="10" t="s">
        <v>1437</v>
      </c>
      <c r="E1084" s="11">
        <v>37043</v>
      </c>
      <c r="F1084" s="11">
        <v>37750</v>
      </c>
      <c r="G1084" s="11">
        <v>74793</v>
      </c>
      <c r="H1084" s="11">
        <v>26094</v>
      </c>
    </row>
    <row r="1085" spans="1:8" x14ac:dyDescent="0.2">
      <c r="A1085" s="10">
        <v>43</v>
      </c>
      <c r="B1085" s="10" t="s">
        <v>1436</v>
      </c>
      <c r="C1085" s="10">
        <v>4302</v>
      </c>
      <c r="D1085" s="10" t="s">
        <v>1438</v>
      </c>
      <c r="E1085" s="11">
        <v>29989</v>
      </c>
      <c r="F1085" s="11">
        <v>30856</v>
      </c>
      <c r="G1085" s="11">
        <v>60845</v>
      </c>
      <c r="H1085" s="11">
        <v>19666</v>
      </c>
    </row>
    <row r="1086" spans="1:8" x14ac:dyDescent="0.2">
      <c r="A1086" s="10">
        <v>43</v>
      </c>
      <c r="B1086" s="10" t="s">
        <v>1436</v>
      </c>
      <c r="C1086" s="10">
        <v>4305</v>
      </c>
      <c r="D1086" s="10" t="s">
        <v>1439</v>
      </c>
      <c r="E1086" s="11">
        <v>47087</v>
      </c>
      <c r="F1086" s="11">
        <v>47704</v>
      </c>
      <c r="G1086" s="11">
        <v>94791</v>
      </c>
      <c r="H1086" s="11">
        <v>33367</v>
      </c>
    </row>
    <row r="1087" spans="1:8" x14ac:dyDescent="0.2">
      <c r="A1087" s="10">
        <v>43</v>
      </c>
      <c r="B1087" s="10" t="s">
        <v>1436</v>
      </c>
      <c r="C1087" s="10">
        <v>4307</v>
      </c>
      <c r="D1087" s="10" t="s">
        <v>1440</v>
      </c>
      <c r="E1087" s="11">
        <v>11402</v>
      </c>
      <c r="F1087" s="11">
        <v>11770</v>
      </c>
      <c r="G1087" s="11">
        <v>23172</v>
      </c>
      <c r="H1087" s="11">
        <v>7800</v>
      </c>
    </row>
    <row r="1088" spans="1:8" x14ac:dyDescent="0.2">
      <c r="A1088" s="10">
        <v>43</v>
      </c>
      <c r="B1088" s="10" t="s">
        <v>1436</v>
      </c>
      <c r="C1088" s="10">
        <v>4308</v>
      </c>
      <c r="D1088" s="10" t="s">
        <v>1441</v>
      </c>
      <c r="E1088" s="11">
        <v>11212</v>
      </c>
      <c r="F1088" s="11">
        <v>10995</v>
      </c>
      <c r="G1088" s="11">
        <v>22207</v>
      </c>
      <c r="H1088" s="11">
        <v>7631</v>
      </c>
    </row>
    <row r="1089" spans="1:8" x14ac:dyDescent="0.2">
      <c r="A1089" s="10">
        <v>43</v>
      </c>
      <c r="B1089" s="10" t="s">
        <v>1436</v>
      </c>
      <c r="C1089" s="10">
        <v>4314</v>
      </c>
      <c r="D1089" s="10" t="s">
        <v>1442</v>
      </c>
      <c r="E1089" s="11">
        <v>13296</v>
      </c>
      <c r="F1089" s="11">
        <v>13192</v>
      </c>
      <c r="G1089" s="11">
        <v>26488</v>
      </c>
      <c r="H1089" s="11">
        <v>8997</v>
      </c>
    </row>
    <row r="1090" spans="1:8" x14ac:dyDescent="0.2">
      <c r="A1090" s="10">
        <v>43</v>
      </c>
      <c r="B1090" s="10" t="s">
        <v>1436</v>
      </c>
      <c r="C1090" s="10">
        <v>4315</v>
      </c>
      <c r="D1090" s="10" t="s">
        <v>1443</v>
      </c>
      <c r="E1090" s="11">
        <v>19768</v>
      </c>
      <c r="F1090" s="11">
        <v>19801</v>
      </c>
      <c r="G1090" s="11">
        <v>39569</v>
      </c>
      <c r="H1090" s="11">
        <v>11852</v>
      </c>
    </row>
    <row r="1091" spans="1:8" x14ac:dyDescent="0.2">
      <c r="A1091" s="10">
        <v>43</v>
      </c>
      <c r="B1091" s="10" t="s">
        <v>1436</v>
      </c>
      <c r="C1091" s="10">
        <v>4316</v>
      </c>
      <c r="D1091" s="10" t="s">
        <v>1444</v>
      </c>
      <c r="E1091" s="11">
        <v>18767</v>
      </c>
      <c r="F1091" s="11">
        <v>18760</v>
      </c>
      <c r="G1091" s="11">
        <v>37527</v>
      </c>
      <c r="H1091" s="11">
        <v>13604</v>
      </c>
    </row>
    <row r="1092" spans="1:8" x14ac:dyDescent="0.2">
      <c r="A1092" s="10">
        <v>43</v>
      </c>
      <c r="B1092" s="10" t="s">
        <v>1436</v>
      </c>
      <c r="C1092" s="10">
        <v>4317</v>
      </c>
      <c r="D1092" s="10" t="s">
        <v>1445</v>
      </c>
      <c r="E1092" s="11">
        <v>7503</v>
      </c>
      <c r="F1092" s="11">
        <v>7572</v>
      </c>
      <c r="G1092" s="11">
        <v>15075</v>
      </c>
      <c r="H1092" s="11">
        <v>5369</v>
      </c>
    </row>
    <row r="1093" spans="1:8" x14ac:dyDescent="0.2">
      <c r="A1093" s="10">
        <v>43</v>
      </c>
      <c r="B1093" s="10" t="s">
        <v>1436</v>
      </c>
      <c r="C1093" s="10">
        <v>4378</v>
      </c>
      <c r="D1093" s="10" t="s">
        <v>1446</v>
      </c>
      <c r="E1093" s="11">
        <v>5437</v>
      </c>
      <c r="F1093" s="11">
        <v>5500</v>
      </c>
      <c r="G1093" s="11">
        <v>10937</v>
      </c>
      <c r="H1093" s="11">
        <v>4222</v>
      </c>
    </row>
    <row r="1094" spans="1:8" x14ac:dyDescent="0.2">
      <c r="A1094" s="10">
        <v>43</v>
      </c>
      <c r="B1094" s="10" t="s">
        <v>1436</v>
      </c>
      <c r="C1094" s="10">
        <v>4381</v>
      </c>
      <c r="D1094" s="10" t="s">
        <v>1447</v>
      </c>
      <c r="E1094" s="11">
        <v>3959</v>
      </c>
      <c r="F1094" s="11">
        <v>4229</v>
      </c>
      <c r="G1094" s="11">
        <v>8188</v>
      </c>
      <c r="H1094" s="11">
        <v>4106</v>
      </c>
    </row>
    <row r="1095" spans="1:8" x14ac:dyDescent="0.2">
      <c r="A1095" s="10">
        <v>43</v>
      </c>
      <c r="B1095" s="10" t="s">
        <v>1436</v>
      </c>
      <c r="C1095" s="10">
        <v>4382</v>
      </c>
      <c r="D1095" s="10" t="s">
        <v>1448</v>
      </c>
      <c r="E1095" s="11">
        <v>4691</v>
      </c>
      <c r="F1095" s="11">
        <v>4883</v>
      </c>
      <c r="G1095" s="11">
        <v>9574</v>
      </c>
      <c r="H1095" s="11">
        <v>3177</v>
      </c>
    </row>
    <row r="1096" spans="1:8" x14ac:dyDescent="0.2">
      <c r="A1096" s="10">
        <v>43</v>
      </c>
      <c r="B1096" s="10" t="s">
        <v>1436</v>
      </c>
      <c r="C1096" s="10">
        <v>4388</v>
      </c>
      <c r="D1096" s="10" t="s">
        <v>1449</v>
      </c>
      <c r="E1096" s="11">
        <v>1581</v>
      </c>
      <c r="F1096" s="11">
        <v>1661</v>
      </c>
      <c r="G1096" s="11">
        <v>3242</v>
      </c>
      <c r="H1096" s="11">
        <v>1531</v>
      </c>
    </row>
    <row r="1097" spans="1:8" x14ac:dyDescent="0.2">
      <c r="A1097" s="10">
        <v>43</v>
      </c>
      <c r="B1097" s="10" t="s">
        <v>1436</v>
      </c>
      <c r="C1097" s="10">
        <v>4389</v>
      </c>
      <c r="D1097" s="10" t="s">
        <v>1450</v>
      </c>
      <c r="E1097" s="11">
        <v>2961</v>
      </c>
      <c r="F1097" s="11">
        <v>3110</v>
      </c>
      <c r="G1097" s="11">
        <v>6071</v>
      </c>
      <c r="H1097" s="11">
        <v>2964</v>
      </c>
    </row>
    <row r="1098" spans="1:8" x14ac:dyDescent="0.2">
      <c r="A1098" s="10">
        <v>43</v>
      </c>
      <c r="B1098" s="10" t="s">
        <v>1436</v>
      </c>
      <c r="C1098" s="10">
        <v>4391</v>
      </c>
      <c r="D1098" s="10" t="s">
        <v>1451</v>
      </c>
      <c r="E1098" s="11">
        <v>1260</v>
      </c>
      <c r="F1098" s="11">
        <v>1246</v>
      </c>
      <c r="G1098" s="11">
        <v>2506</v>
      </c>
      <c r="H1098" s="11">
        <v>1258</v>
      </c>
    </row>
    <row r="1099" spans="1:8" x14ac:dyDescent="0.2">
      <c r="A1099" s="10">
        <v>43</v>
      </c>
      <c r="B1099" s="10" t="s">
        <v>1436</v>
      </c>
      <c r="C1099" s="10">
        <v>4395</v>
      </c>
      <c r="D1099" s="10" t="s">
        <v>1452</v>
      </c>
      <c r="E1099" s="11">
        <v>1702</v>
      </c>
      <c r="F1099" s="11">
        <v>1933</v>
      </c>
      <c r="G1099" s="11">
        <v>3635</v>
      </c>
      <c r="H1099" s="11">
        <v>1178</v>
      </c>
    </row>
    <row r="1100" spans="1:8" x14ac:dyDescent="0.2">
      <c r="A1100" s="10">
        <v>43</v>
      </c>
      <c r="B1100" s="10" t="s">
        <v>1436</v>
      </c>
      <c r="C1100" s="10">
        <v>4396</v>
      </c>
      <c r="D1100" s="10" t="s">
        <v>1453</v>
      </c>
      <c r="E1100" s="11">
        <v>8168</v>
      </c>
      <c r="F1100" s="11">
        <v>8626</v>
      </c>
      <c r="G1100" s="11">
        <v>16794</v>
      </c>
      <c r="H1100" s="11">
        <v>7626</v>
      </c>
    </row>
    <row r="1101" spans="1:8" x14ac:dyDescent="0.2">
      <c r="A1101" s="10">
        <v>43</v>
      </c>
      <c r="B1101" s="10" t="s">
        <v>1436</v>
      </c>
      <c r="C1101" s="10">
        <v>4397</v>
      </c>
      <c r="D1101" s="10" t="s">
        <v>1317</v>
      </c>
      <c r="E1101" s="11">
        <v>2531</v>
      </c>
      <c r="F1101" s="11">
        <v>2573</v>
      </c>
      <c r="G1101" s="11">
        <v>5104</v>
      </c>
      <c r="H1101" s="11">
        <v>2168</v>
      </c>
    </row>
    <row r="1102" spans="1:8" x14ac:dyDescent="0.2">
      <c r="A1102" s="10">
        <v>43</v>
      </c>
      <c r="B1102" s="10" t="s">
        <v>1436</v>
      </c>
      <c r="C1102" s="10">
        <v>4398</v>
      </c>
      <c r="D1102" s="10" t="s">
        <v>1454</v>
      </c>
      <c r="E1102" s="11">
        <v>2737</v>
      </c>
      <c r="F1102" s="11">
        <v>3011</v>
      </c>
      <c r="G1102" s="11">
        <v>5748</v>
      </c>
      <c r="H1102" s="11">
        <v>1960</v>
      </c>
    </row>
    <row r="1103" spans="1:8" x14ac:dyDescent="0.2">
      <c r="A1103" s="10">
        <v>43</v>
      </c>
      <c r="B1103" s="10" t="s">
        <v>1436</v>
      </c>
      <c r="C1103" s="10">
        <v>4399</v>
      </c>
      <c r="D1103" s="10" t="s">
        <v>1455</v>
      </c>
      <c r="E1103" s="11">
        <v>22100</v>
      </c>
      <c r="F1103" s="11">
        <v>23340</v>
      </c>
      <c r="G1103" s="11">
        <v>45440</v>
      </c>
      <c r="H1103" s="11">
        <v>25455</v>
      </c>
    </row>
    <row r="1104" spans="1:8" x14ac:dyDescent="0.2">
      <c r="A1104" s="10">
        <v>44</v>
      </c>
      <c r="B1104" s="10" t="s">
        <v>1456</v>
      </c>
      <c r="C1104" s="10">
        <v>4401</v>
      </c>
      <c r="D1104" s="10" t="s">
        <v>1457</v>
      </c>
      <c r="E1104" s="11">
        <v>49819</v>
      </c>
      <c r="F1104" s="11">
        <v>52236</v>
      </c>
      <c r="G1104" s="11">
        <v>102055</v>
      </c>
      <c r="H1104" s="11">
        <v>38380</v>
      </c>
    </row>
    <row r="1105" spans="1:8" x14ac:dyDescent="0.2">
      <c r="A1105" s="10">
        <v>44</v>
      </c>
      <c r="B1105" s="10" t="s">
        <v>1456</v>
      </c>
      <c r="C1105" s="10">
        <v>4402</v>
      </c>
      <c r="D1105" s="10" t="s">
        <v>1458</v>
      </c>
      <c r="E1105" s="11">
        <v>12138</v>
      </c>
      <c r="F1105" s="11">
        <v>12101</v>
      </c>
      <c r="G1105" s="11">
        <v>24239</v>
      </c>
      <c r="H1105" s="11">
        <v>6792</v>
      </c>
    </row>
    <row r="1106" spans="1:8" x14ac:dyDescent="0.2">
      <c r="A1106" s="10">
        <v>44</v>
      </c>
      <c r="B1106" s="10" t="s">
        <v>1456</v>
      </c>
      <c r="C1106" s="10">
        <v>4403</v>
      </c>
      <c r="D1106" s="10" t="s">
        <v>1459</v>
      </c>
      <c r="E1106" s="11">
        <v>53150</v>
      </c>
      <c r="F1106" s="11">
        <v>54933</v>
      </c>
      <c r="G1106" s="11">
        <v>108083</v>
      </c>
      <c r="H1106" s="11">
        <v>32897</v>
      </c>
    </row>
    <row r="1107" spans="1:8" x14ac:dyDescent="0.2">
      <c r="A1107" s="10">
        <v>44</v>
      </c>
      <c r="B1107" s="10" t="s">
        <v>1456</v>
      </c>
      <c r="C1107" s="10">
        <v>4404</v>
      </c>
      <c r="D1107" s="10" t="s">
        <v>1460</v>
      </c>
      <c r="E1107" s="11">
        <v>26783</v>
      </c>
      <c r="F1107" s="11">
        <v>27982</v>
      </c>
      <c r="G1107" s="11">
        <v>54765</v>
      </c>
      <c r="H1107" s="11">
        <v>17194</v>
      </c>
    </row>
    <row r="1108" spans="1:8" x14ac:dyDescent="0.2">
      <c r="A1108" s="10">
        <v>44</v>
      </c>
      <c r="B1108" s="10" t="s">
        <v>1456</v>
      </c>
      <c r="C1108" s="10">
        <v>4405</v>
      </c>
      <c r="D1108" s="10" t="s">
        <v>1461</v>
      </c>
      <c r="E1108" s="11">
        <v>26966</v>
      </c>
      <c r="F1108" s="11">
        <v>28004</v>
      </c>
      <c r="G1108" s="11">
        <v>54970</v>
      </c>
      <c r="H1108" s="11">
        <v>18898</v>
      </c>
    </row>
    <row r="1109" spans="1:8" x14ac:dyDescent="0.2">
      <c r="A1109" s="10">
        <v>44</v>
      </c>
      <c r="B1109" s="10" t="s">
        <v>1456</v>
      </c>
      <c r="C1109" s="10">
        <v>4406</v>
      </c>
      <c r="D1109" s="10" t="s">
        <v>1462</v>
      </c>
      <c r="E1109" s="11">
        <v>49969</v>
      </c>
      <c r="F1109" s="11">
        <v>50334</v>
      </c>
      <c r="G1109" s="11">
        <v>100303</v>
      </c>
      <c r="H1109" s="11">
        <v>35471</v>
      </c>
    </row>
    <row r="1110" spans="1:8" x14ac:dyDescent="0.2">
      <c r="A1110" s="10">
        <v>44</v>
      </c>
      <c r="B1110" s="10" t="s">
        <v>1456</v>
      </c>
      <c r="C1110" s="10">
        <v>4407</v>
      </c>
      <c r="D1110" s="10" t="s">
        <v>1463</v>
      </c>
      <c r="E1110" s="11">
        <v>28114</v>
      </c>
      <c r="F1110" s="11">
        <v>28508</v>
      </c>
      <c r="G1110" s="11">
        <v>56622</v>
      </c>
      <c r="H1110" s="11">
        <v>18164</v>
      </c>
    </row>
    <row r="1111" spans="1:8" x14ac:dyDescent="0.2">
      <c r="A1111" s="10">
        <v>44</v>
      </c>
      <c r="B1111" s="10" t="s">
        <v>1456</v>
      </c>
      <c r="C1111" s="10">
        <v>4408</v>
      </c>
      <c r="D1111" s="10" t="s">
        <v>1464</v>
      </c>
      <c r="E1111" s="11">
        <v>39005</v>
      </c>
      <c r="F1111" s="11">
        <v>39632</v>
      </c>
      <c r="G1111" s="11">
        <v>78637</v>
      </c>
      <c r="H1111" s="11">
        <v>23095</v>
      </c>
    </row>
    <row r="1112" spans="1:8" x14ac:dyDescent="0.2">
      <c r="A1112" s="10">
        <v>44</v>
      </c>
      <c r="B1112" s="10" t="s">
        <v>1456</v>
      </c>
      <c r="C1112" s="10">
        <v>4409</v>
      </c>
      <c r="D1112" s="10" t="s">
        <v>1465</v>
      </c>
      <c r="E1112" s="11">
        <v>52713</v>
      </c>
      <c r="F1112" s="11">
        <v>53615</v>
      </c>
      <c r="G1112" s="11">
        <v>106328</v>
      </c>
      <c r="H1112" s="11">
        <v>31602</v>
      </c>
    </row>
    <row r="1113" spans="1:8" x14ac:dyDescent="0.2">
      <c r="A1113" s="10">
        <v>44</v>
      </c>
      <c r="B1113" s="10" t="s">
        <v>1456</v>
      </c>
      <c r="C1113" s="10">
        <v>4410</v>
      </c>
      <c r="D1113" s="10" t="s">
        <v>1466</v>
      </c>
      <c r="E1113" s="11">
        <v>16036</v>
      </c>
      <c r="F1113" s="11">
        <v>16271</v>
      </c>
      <c r="G1113" s="11">
        <v>32307</v>
      </c>
      <c r="H1113" s="11">
        <v>8999</v>
      </c>
    </row>
    <row r="1114" spans="1:8" x14ac:dyDescent="0.2">
      <c r="A1114" s="10">
        <v>44</v>
      </c>
      <c r="B1114" s="10" t="s">
        <v>1456</v>
      </c>
      <c r="C1114" s="10">
        <v>4411</v>
      </c>
      <c r="D1114" s="10" t="s">
        <v>1467</v>
      </c>
      <c r="E1114" s="11">
        <v>17114</v>
      </c>
      <c r="F1114" s="11">
        <v>17301</v>
      </c>
      <c r="G1114" s="11">
        <v>34415</v>
      </c>
      <c r="H1114" s="11">
        <v>10234</v>
      </c>
    </row>
    <row r="1115" spans="1:8" x14ac:dyDescent="0.2">
      <c r="A1115" s="10">
        <v>44</v>
      </c>
      <c r="B1115" s="10" t="s">
        <v>1456</v>
      </c>
      <c r="C1115" s="10">
        <v>4412</v>
      </c>
      <c r="D1115" s="10" t="s">
        <v>1468</v>
      </c>
      <c r="E1115" s="11">
        <v>18434</v>
      </c>
      <c r="F1115" s="11">
        <v>18291</v>
      </c>
      <c r="G1115" s="11">
        <v>36725</v>
      </c>
      <c r="H1115" s="11">
        <v>11062</v>
      </c>
    </row>
    <row r="1116" spans="1:8" x14ac:dyDescent="0.2">
      <c r="A1116" s="10">
        <v>44</v>
      </c>
      <c r="B1116" s="10" t="s">
        <v>1456</v>
      </c>
      <c r="C1116" s="10">
        <v>4413</v>
      </c>
      <c r="D1116" s="10" t="s">
        <v>1469</v>
      </c>
      <c r="E1116" s="11">
        <v>11903</v>
      </c>
      <c r="F1116" s="11">
        <v>12394</v>
      </c>
      <c r="G1116" s="11">
        <v>24297</v>
      </c>
      <c r="H1116" s="11">
        <v>7263</v>
      </c>
    </row>
    <row r="1117" spans="1:8" x14ac:dyDescent="0.2">
      <c r="A1117" s="10">
        <v>44</v>
      </c>
      <c r="B1117" s="10" t="s">
        <v>1456</v>
      </c>
      <c r="C1117" s="10">
        <v>4487</v>
      </c>
      <c r="D1117" s="10" t="s">
        <v>1470</v>
      </c>
      <c r="E1117" s="11">
        <v>5185</v>
      </c>
      <c r="F1117" s="11">
        <v>6473</v>
      </c>
      <c r="G1117" s="11">
        <v>11658</v>
      </c>
      <c r="H1117" s="11">
        <v>6032</v>
      </c>
    </row>
    <row r="1118" spans="1:8" x14ac:dyDescent="0.2">
      <c r="A1118" s="10">
        <v>44</v>
      </c>
      <c r="B1118" s="10" t="s">
        <v>1456</v>
      </c>
      <c r="C1118" s="10">
        <v>4488</v>
      </c>
      <c r="D1118" s="10" t="s">
        <v>1471</v>
      </c>
      <c r="E1118" s="11">
        <v>4277</v>
      </c>
      <c r="F1118" s="11">
        <v>4595</v>
      </c>
      <c r="G1118" s="11">
        <v>8872</v>
      </c>
      <c r="H1118" s="11">
        <v>6995</v>
      </c>
    </row>
    <row r="1119" spans="1:8" x14ac:dyDescent="0.2">
      <c r="A1119" s="10">
        <v>44</v>
      </c>
      <c r="B1119" s="10" t="s">
        <v>1456</v>
      </c>
      <c r="C1119" s="10">
        <v>4489</v>
      </c>
      <c r="D1119" s="10" t="s">
        <v>1472</v>
      </c>
      <c r="E1119" s="11">
        <v>2358</v>
      </c>
      <c r="F1119" s="11">
        <v>2319</v>
      </c>
      <c r="G1119" s="11">
        <v>4677</v>
      </c>
      <c r="H1119" s="11">
        <v>1932</v>
      </c>
    </row>
    <row r="1120" spans="1:8" x14ac:dyDescent="0.2">
      <c r="A1120" s="10">
        <v>44</v>
      </c>
      <c r="B1120" s="10" t="s">
        <v>1456</v>
      </c>
      <c r="C1120" s="10">
        <v>4490</v>
      </c>
      <c r="D1120" s="10" t="s">
        <v>1473</v>
      </c>
      <c r="E1120" s="11">
        <v>2142</v>
      </c>
      <c r="F1120" s="11">
        <v>2375</v>
      </c>
      <c r="G1120" s="11">
        <v>4517</v>
      </c>
      <c r="H1120" s="11">
        <v>2474</v>
      </c>
    </row>
    <row r="1121" spans="1:8" x14ac:dyDescent="0.2">
      <c r="A1121" s="10">
        <v>44</v>
      </c>
      <c r="B1121" s="10" t="s">
        <v>1456</v>
      </c>
      <c r="C1121" s="10">
        <v>4491</v>
      </c>
      <c r="D1121" s="10" t="s">
        <v>1474</v>
      </c>
      <c r="E1121" s="11">
        <v>3748</v>
      </c>
      <c r="F1121" s="11">
        <v>4187</v>
      </c>
      <c r="G1121" s="11">
        <v>7935</v>
      </c>
      <c r="H1121" s="11">
        <v>4471</v>
      </c>
    </row>
    <row r="1122" spans="1:8" x14ac:dyDescent="0.2">
      <c r="A1122" s="10">
        <v>44</v>
      </c>
      <c r="B1122" s="10" t="s">
        <v>1456</v>
      </c>
      <c r="C1122" s="10">
        <v>4492</v>
      </c>
      <c r="D1122" s="10" t="s">
        <v>1475</v>
      </c>
      <c r="E1122" s="11">
        <v>1771</v>
      </c>
      <c r="F1122" s="11">
        <v>1893</v>
      </c>
      <c r="G1122" s="11">
        <v>3664</v>
      </c>
      <c r="H1122" s="11">
        <v>2210</v>
      </c>
    </row>
    <row r="1123" spans="1:8" x14ac:dyDescent="0.2">
      <c r="A1123" s="10">
        <v>44</v>
      </c>
      <c r="B1123" s="10" t="s">
        <v>1456</v>
      </c>
      <c r="C1123" s="10">
        <v>4493</v>
      </c>
      <c r="D1123" s="10" t="s">
        <v>1476</v>
      </c>
      <c r="E1123" s="11">
        <v>2389</v>
      </c>
      <c r="F1123" s="11">
        <v>2890</v>
      </c>
      <c r="G1123" s="11">
        <v>5279</v>
      </c>
      <c r="H1123" s="11">
        <v>2431</v>
      </c>
    </row>
    <row r="1124" spans="1:8" x14ac:dyDescent="0.2">
      <c r="A1124" s="10">
        <v>44</v>
      </c>
      <c r="B1124" s="10" t="s">
        <v>1456</v>
      </c>
      <c r="C1124" s="10">
        <v>4494</v>
      </c>
      <c r="D1124" s="10" t="s">
        <v>1477</v>
      </c>
      <c r="E1124" s="11">
        <v>2152</v>
      </c>
      <c r="F1124" s="11">
        <v>2329</v>
      </c>
      <c r="G1124" s="11">
        <v>4481</v>
      </c>
      <c r="H1124" s="11">
        <v>2483</v>
      </c>
    </row>
    <row r="1125" spans="1:8" x14ac:dyDescent="0.2">
      <c r="A1125" s="10">
        <v>44</v>
      </c>
      <c r="B1125" s="10" t="s">
        <v>1456</v>
      </c>
      <c r="C1125" s="10">
        <v>4495</v>
      </c>
      <c r="D1125" s="10" t="s">
        <v>1478</v>
      </c>
      <c r="E1125" s="11">
        <v>1525</v>
      </c>
      <c r="F1125" s="11">
        <v>1753</v>
      </c>
      <c r="G1125" s="11">
        <v>3278</v>
      </c>
      <c r="H1125" s="11">
        <v>1551</v>
      </c>
    </row>
    <row r="1126" spans="1:8" x14ac:dyDescent="0.2">
      <c r="A1126" s="10">
        <v>44</v>
      </c>
      <c r="B1126" s="10" t="s">
        <v>1456</v>
      </c>
      <c r="C1126" s="10">
        <v>4496</v>
      </c>
      <c r="D1126" s="10" t="s">
        <v>1479</v>
      </c>
      <c r="E1126" s="11">
        <v>4210</v>
      </c>
      <c r="F1126" s="11">
        <v>4624</v>
      </c>
      <c r="G1126" s="11">
        <v>8834</v>
      </c>
      <c r="H1126" s="11">
        <v>4491</v>
      </c>
    </row>
    <row r="1127" spans="1:8" x14ac:dyDescent="0.2">
      <c r="A1127" s="10">
        <v>44</v>
      </c>
      <c r="B1127" s="10" t="s">
        <v>1456</v>
      </c>
      <c r="C1127" s="10">
        <v>4497</v>
      </c>
      <c r="D1127" s="10" t="s">
        <v>1480</v>
      </c>
      <c r="E1127" s="11">
        <v>2621</v>
      </c>
      <c r="F1127" s="11">
        <v>2621</v>
      </c>
      <c r="G1127" s="11">
        <v>5242</v>
      </c>
      <c r="H1127" s="11">
        <v>1751</v>
      </c>
    </row>
    <row r="1128" spans="1:8" x14ac:dyDescent="0.2">
      <c r="A1128" s="10">
        <v>44</v>
      </c>
      <c r="B1128" s="10" t="s">
        <v>1456</v>
      </c>
      <c r="C1128" s="10">
        <v>4498</v>
      </c>
      <c r="D1128" s="10" t="s">
        <v>1481</v>
      </c>
      <c r="E1128" s="11">
        <v>2738</v>
      </c>
      <c r="F1128" s="11">
        <v>2917</v>
      </c>
      <c r="G1128" s="11">
        <v>5655</v>
      </c>
      <c r="H1128" s="11">
        <v>2350</v>
      </c>
    </row>
    <row r="1129" spans="1:8" x14ac:dyDescent="0.2">
      <c r="A1129" s="10">
        <v>44</v>
      </c>
      <c r="B1129" s="10" t="s">
        <v>1456</v>
      </c>
      <c r="C1129" s="10">
        <v>4499</v>
      </c>
      <c r="D1129" s="10" t="s">
        <v>1482</v>
      </c>
      <c r="E1129" s="11">
        <v>18986</v>
      </c>
      <c r="F1129" s="11">
        <v>23128</v>
      </c>
      <c r="G1129" s="11">
        <v>42114</v>
      </c>
      <c r="H1129" s="11">
        <v>22144</v>
      </c>
    </row>
    <row r="1130" spans="1:8" x14ac:dyDescent="0.2">
      <c r="A1130" s="10">
        <v>45</v>
      </c>
      <c r="B1130" s="10" t="s">
        <v>1483</v>
      </c>
      <c r="C1130" s="10">
        <v>4501</v>
      </c>
      <c r="D1130" s="10" t="s">
        <v>1484</v>
      </c>
      <c r="E1130" s="11">
        <v>53908</v>
      </c>
      <c r="F1130" s="11">
        <v>56696</v>
      </c>
      <c r="G1130" s="11">
        <v>110604</v>
      </c>
      <c r="H1130" s="11">
        <v>44294</v>
      </c>
    </row>
    <row r="1131" spans="1:8" x14ac:dyDescent="0.2">
      <c r="A1131" s="10">
        <v>45</v>
      </c>
      <c r="B1131" s="10" t="s">
        <v>1483</v>
      </c>
      <c r="C1131" s="10">
        <v>4502</v>
      </c>
      <c r="D1131" s="10" t="s">
        <v>1485</v>
      </c>
      <c r="E1131" s="11">
        <v>36269</v>
      </c>
      <c r="F1131" s="11">
        <v>36362</v>
      </c>
      <c r="G1131" s="11">
        <v>72631</v>
      </c>
      <c r="H1131" s="11">
        <v>21979</v>
      </c>
    </row>
    <row r="1132" spans="1:8" x14ac:dyDescent="0.2">
      <c r="A1132" s="10">
        <v>45</v>
      </c>
      <c r="B1132" s="10" t="s">
        <v>1483</v>
      </c>
      <c r="C1132" s="10">
        <v>4503</v>
      </c>
      <c r="D1132" s="10" t="s">
        <v>1486</v>
      </c>
      <c r="E1132" s="11">
        <v>23097</v>
      </c>
      <c r="F1132" s="11">
        <v>23642</v>
      </c>
      <c r="G1132" s="11">
        <v>46739</v>
      </c>
      <c r="H1132" s="11">
        <v>13458</v>
      </c>
    </row>
    <row r="1133" spans="1:8" x14ac:dyDescent="0.2">
      <c r="A1133" s="10">
        <v>45</v>
      </c>
      <c r="B1133" s="10" t="s">
        <v>1483</v>
      </c>
      <c r="C1133" s="10">
        <v>4504</v>
      </c>
      <c r="D1133" s="10" t="s">
        <v>1487</v>
      </c>
      <c r="E1133" s="11">
        <v>24867</v>
      </c>
      <c r="F1133" s="11">
        <v>25302</v>
      </c>
      <c r="G1133" s="11">
        <v>50169</v>
      </c>
      <c r="H1133" s="11">
        <v>14400</v>
      </c>
    </row>
    <row r="1134" spans="1:8" x14ac:dyDescent="0.2">
      <c r="A1134" s="10">
        <v>45</v>
      </c>
      <c r="B1134" s="10" t="s">
        <v>1483</v>
      </c>
      <c r="C1134" s="10">
        <v>4505</v>
      </c>
      <c r="D1134" s="10" t="s">
        <v>1488</v>
      </c>
      <c r="E1134" s="11">
        <v>18446</v>
      </c>
      <c r="F1134" s="11">
        <v>18495</v>
      </c>
      <c r="G1134" s="11">
        <v>36941</v>
      </c>
      <c r="H1134" s="11">
        <v>11878</v>
      </c>
    </row>
    <row r="1135" spans="1:8" x14ac:dyDescent="0.2">
      <c r="A1135" s="10">
        <v>45</v>
      </c>
      <c r="B1135" s="10" t="s">
        <v>1483</v>
      </c>
      <c r="C1135" s="10">
        <v>4506</v>
      </c>
      <c r="D1135" s="10" t="s">
        <v>1489</v>
      </c>
      <c r="E1135" s="11">
        <v>29234</v>
      </c>
      <c r="F1135" s="11">
        <v>29554</v>
      </c>
      <c r="G1135" s="11">
        <v>58788</v>
      </c>
      <c r="H1135" s="11">
        <v>18626</v>
      </c>
    </row>
    <row r="1136" spans="1:8" x14ac:dyDescent="0.2">
      <c r="A1136" s="10">
        <v>45</v>
      </c>
      <c r="B1136" s="10" t="s">
        <v>1483</v>
      </c>
      <c r="C1136" s="10">
        <v>4507</v>
      </c>
      <c r="D1136" s="10" t="s">
        <v>1490</v>
      </c>
      <c r="E1136" s="11">
        <v>47594</v>
      </c>
      <c r="F1136" s="11">
        <v>48209</v>
      </c>
      <c r="G1136" s="11">
        <v>95803</v>
      </c>
      <c r="H1136" s="11">
        <v>30249</v>
      </c>
    </row>
    <row r="1137" spans="1:8" x14ac:dyDescent="0.2">
      <c r="A1137" s="10">
        <v>45</v>
      </c>
      <c r="B1137" s="10" t="s">
        <v>1483</v>
      </c>
      <c r="C1137" s="10">
        <v>4508</v>
      </c>
      <c r="D1137" s="10" t="s">
        <v>1491</v>
      </c>
      <c r="E1137" s="11">
        <v>13319</v>
      </c>
      <c r="F1137" s="11">
        <v>13555</v>
      </c>
      <c r="G1137" s="11">
        <v>26874</v>
      </c>
      <c r="H1137" s="11">
        <v>8007</v>
      </c>
    </row>
    <row r="1138" spans="1:8" x14ac:dyDescent="0.2">
      <c r="A1138" s="10">
        <v>45</v>
      </c>
      <c r="B1138" s="10" t="s">
        <v>1483</v>
      </c>
      <c r="C1138" s="10">
        <v>4509</v>
      </c>
      <c r="D1138" s="10" t="s">
        <v>1492</v>
      </c>
      <c r="E1138" s="11">
        <v>29781</v>
      </c>
      <c r="F1138" s="11">
        <v>29705</v>
      </c>
      <c r="G1138" s="11">
        <v>59486</v>
      </c>
      <c r="H1138" s="11">
        <v>17321</v>
      </c>
    </row>
    <row r="1139" spans="1:8" x14ac:dyDescent="0.2">
      <c r="A1139" s="10">
        <v>45</v>
      </c>
      <c r="B1139" s="10" t="s">
        <v>1483</v>
      </c>
      <c r="C1139" s="10">
        <v>4510</v>
      </c>
      <c r="D1139" s="10" t="s">
        <v>1493</v>
      </c>
      <c r="E1139" s="11">
        <v>43910</v>
      </c>
      <c r="F1139" s="11">
        <v>44789</v>
      </c>
      <c r="G1139" s="11">
        <v>88699</v>
      </c>
      <c r="H1139" s="11">
        <v>26076</v>
      </c>
    </row>
    <row r="1140" spans="1:8" x14ac:dyDescent="0.2">
      <c r="A1140" s="10">
        <v>45</v>
      </c>
      <c r="B1140" s="10" t="s">
        <v>1483</v>
      </c>
      <c r="C1140" s="10">
        <v>4511</v>
      </c>
      <c r="D1140" s="10" t="s">
        <v>1494</v>
      </c>
      <c r="E1140" s="11">
        <v>51319</v>
      </c>
      <c r="F1140" s="11">
        <v>52259</v>
      </c>
      <c r="G1140" s="11">
        <v>103578</v>
      </c>
      <c r="H1140" s="11">
        <v>31239</v>
      </c>
    </row>
    <row r="1141" spans="1:8" x14ac:dyDescent="0.2">
      <c r="A1141" s="10">
        <v>45</v>
      </c>
      <c r="B1141" s="10" t="s">
        <v>1483</v>
      </c>
      <c r="C1141" s="10">
        <v>4512</v>
      </c>
      <c r="D1141" s="10" t="s">
        <v>1495</v>
      </c>
      <c r="E1141" s="11">
        <v>6686</v>
      </c>
      <c r="F1141" s="11">
        <v>6755</v>
      </c>
      <c r="G1141" s="11">
        <v>13441</v>
      </c>
      <c r="H1141" s="11">
        <v>3927</v>
      </c>
    </row>
    <row r="1142" spans="1:8" x14ac:dyDescent="0.2">
      <c r="A1142" s="10">
        <v>45</v>
      </c>
      <c r="B1142" s="10" t="s">
        <v>1483</v>
      </c>
      <c r="C1142" s="10">
        <v>4513</v>
      </c>
      <c r="D1142" s="10" t="s">
        <v>1496</v>
      </c>
      <c r="E1142" s="11">
        <v>10938</v>
      </c>
      <c r="F1142" s="11">
        <v>11037</v>
      </c>
      <c r="G1142" s="11">
        <v>21975</v>
      </c>
      <c r="H1142" s="11">
        <v>5374</v>
      </c>
    </row>
    <row r="1143" spans="1:8" x14ac:dyDescent="0.2">
      <c r="A1143" s="10">
        <v>45</v>
      </c>
      <c r="B1143" s="10" t="s">
        <v>1483</v>
      </c>
      <c r="C1143" s="10">
        <v>4514</v>
      </c>
      <c r="D1143" s="10" t="s">
        <v>1497</v>
      </c>
      <c r="E1143" s="11">
        <v>34157</v>
      </c>
      <c r="F1143" s="11">
        <v>34400</v>
      </c>
      <c r="G1143" s="11">
        <v>68557</v>
      </c>
      <c r="H1143" s="11">
        <v>19783</v>
      </c>
    </row>
    <row r="1144" spans="1:8" x14ac:dyDescent="0.2">
      <c r="A1144" s="10">
        <v>45</v>
      </c>
      <c r="B1144" s="10" t="s">
        <v>1483</v>
      </c>
      <c r="C1144" s="10">
        <v>4515</v>
      </c>
      <c r="D1144" s="10" t="s">
        <v>1498</v>
      </c>
      <c r="E1144" s="11">
        <v>11254</v>
      </c>
      <c r="F1144" s="11">
        <v>11550</v>
      </c>
      <c r="G1144" s="11">
        <v>22804</v>
      </c>
      <c r="H1144" s="11">
        <v>7235</v>
      </c>
    </row>
    <row r="1145" spans="1:8" x14ac:dyDescent="0.2">
      <c r="A1145" s="10">
        <v>45</v>
      </c>
      <c r="B1145" s="10" t="s">
        <v>1483</v>
      </c>
      <c r="C1145" s="10">
        <v>4516</v>
      </c>
      <c r="D1145" s="10" t="s">
        <v>1499</v>
      </c>
      <c r="E1145" s="11">
        <v>18110</v>
      </c>
      <c r="F1145" s="11">
        <v>17255</v>
      </c>
      <c r="G1145" s="11">
        <v>35365</v>
      </c>
      <c r="H1145" s="11">
        <v>11609</v>
      </c>
    </row>
    <row r="1146" spans="1:8" x14ac:dyDescent="0.2">
      <c r="A1146" s="10">
        <v>45</v>
      </c>
      <c r="B1146" s="10" t="s">
        <v>1483</v>
      </c>
      <c r="C1146" s="10">
        <v>4517</v>
      </c>
      <c r="D1146" s="10" t="s">
        <v>1500</v>
      </c>
      <c r="E1146" s="11">
        <v>18647</v>
      </c>
      <c r="F1146" s="11">
        <v>19432</v>
      </c>
      <c r="G1146" s="11">
        <v>38079</v>
      </c>
      <c r="H1146" s="11">
        <v>12698</v>
      </c>
    </row>
    <row r="1147" spans="1:8" x14ac:dyDescent="0.2">
      <c r="A1147" s="10">
        <v>45</v>
      </c>
      <c r="B1147" s="10" t="s">
        <v>1483</v>
      </c>
      <c r="C1147" s="10">
        <v>4518</v>
      </c>
      <c r="D1147" s="10" t="s">
        <v>1501</v>
      </c>
      <c r="E1147" s="11">
        <v>13133</v>
      </c>
      <c r="F1147" s="11">
        <v>13678</v>
      </c>
      <c r="G1147" s="11">
        <v>26811</v>
      </c>
      <c r="H1147" s="11">
        <v>8624</v>
      </c>
    </row>
    <row r="1148" spans="1:8" x14ac:dyDescent="0.2">
      <c r="A1148" s="10">
        <v>45</v>
      </c>
      <c r="B1148" s="10" t="s">
        <v>1483</v>
      </c>
      <c r="C1148" s="10">
        <v>4519</v>
      </c>
      <c r="D1148" s="10" t="s">
        <v>1502</v>
      </c>
      <c r="E1148" s="11">
        <v>11825</v>
      </c>
      <c r="F1148" s="11">
        <v>11983</v>
      </c>
      <c r="G1148" s="11">
        <v>23808</v>
      </c>
      <c r="H1148" s="11">
        <v>6788</v>
      </c>
    </row>
    <row r="1149" spans="1:8" x14ac:dyDescent="0.2">
      <c r="A1149" s="10">
        <v>45</v>
      </c>
      <c r="B1149" s="10" t="s">
        <v>1483</v>
      </c>
      <c r="C1149" s="10">
        <v>4520</v>
      </c>
      <c r="D1149" s="10" t="s">
        <v>1503</v>
      </c>
      <c r="E1149" s="11">
        <v>11253</v>
      </c>
      <c r="F1149" s="11">
        <v>11537</v>
      </c>
      <c r="G1149" s="11">
        <v>22790</v>
      </c>
      <c r="H1149" s="11">
        <v>6745</v>
      </c>
    </row>
    <row r="1150" spans="1:8" x14ac:dyDescent="0.2">
      <c r="A1150" s="10">
        <v>45</v>
      </c>
      <c r="B1150" s="10" t="s">
        <v>1483</v>
      </c>
      <c r="C1150" s="10">
        <v>4565</v>
      </c>
      <c r="D1150" s="10" t="s">
        <v>1504</v>
      </c>
      <c r="E1150" s="11">
        <v>3384</v>
      </c>
      <c r="F1150" s="11">
        <v>3443</v>
      </c>
      <c r="G1150" s="11">
        <v>6827</v>
      </c>
      <c r="H1150" s="11">
        <v>3349</v>
      </c>
    </row>
    <row r="1151" spans="1:8" x14ac:dyDescent="0.2">
      <c r="A1151" s="10">
        <v>45</v>
      </c>
      <c r="B1151" s="10" t="s">
        <v>1483</v>
      </c>
      <c r="C1151" s="10">
        <v>4566</v>
      </c>
      <c r="D1151" s="10" t="s">
        <v>1505</v>
      </c>
      <c r="E1151" s="11">
        <v>2578</v>
      </c>
      <c r="F1151" s="11">
        <v>2740</v>
      </c>
      <c r="G1151" s="11">
        <v>5318</v>
      </c>
      <c r="H1151" s="11">
        <v>2223</v>
      </c>
    </row>
    <row r="1152" spans="1:8" x14ac:dyDescent="0.2">
      <c r="A1152" s="10">
        <v>45</v>
      </c>
      <c r="B1152" s="10" t="s">
        <v>1483</v>
      </c>
      <c r="C1152" s="10">
        <v>4569</v>
      </c>
      <c r="D1152" s="10" t="s">
        <v>1447</v>
      </c>
      <c r="E1152" s="11">
        <v>3225</v>
      </c>
      <c r="F1152" s="11">
        <v>3270</v>
      </c>
      <c r="G1152" s="11">
        <v>6495</v>
      </c>
      <c r="H1152" s="11">
        <v>1815</v>
      </c>
    </row>
    <row r="1153" spans="1:8" x14ac:dyDescent="0.2">
      <c r="A1153" s="10">
        <v>45</v>
      </c>
      <c r="B1153" s="10" t="s">
        <v>1483</v>
      </c>
      <c r="C1153" s="10">
        <v>4570</v>
      </c>
      <c r="D1153" s="10" t="s">
        <v>1506</v>
      </c>
      <c r="E1153" s="11">
        <v>3266</v>
      </c>
      <c r="F1153" s="11">
        <v>3414</v>
      </c>
      <c r="G1153" s="11">
        <v>6680</v>
      </c>
      <c r="H1153" s="11">
        <v>2073</v>
      </c>
    </row>
    <row r="1154" spans="1:8" x14ac:dyDescent="0.2">
      <c r="A1154" s="10">
        <v>45</v>
      </c>
      <c r="B1154" s="10" t="s">
        <v>1483</v>
      </c>
      <c r="C1154" s="10">
        <v>4571</v>
      </c>
      <c r="D1154" s="10" t="s">
        <v>1507</v>
      </c>
      <c r="E1154" s="11">
        <v>3134</v>
      </c>
      <c r="F1154" s="11">
        <v>3031</v>
      </c>
      <c r="G1154" s="11">
        <v>6165</v>
      </c>
      <c r="H1154" s="11">
        <v>1659</v>
      </c>
    </row>
    <row r="1155" spans="1:8" x14ac:dyDescent="0.2">
      <c r="A1155" s="10">
        <v>45</v>
      </c>
      <c r="B1155" s="10" t="s">
        <v>1483</v>
      </c>
      <c r="C1155" s="10">
        <v>4572</v>
      </c>
      <c r="D1155" s="10" t="s">
        <v>1508</v>
      </c>
      <c r="E1155" s="11">
        <v>4222</v>
      </c>
      <c r="F1155" s="11">
        <v>4463</v>
      </c>
      <c r="G1155" s="11">
        <v>8685</v>
      </c>
      <c r="H1155" s="11">
        <v>2269</v>
      </c>
    </row>
    <row r="1156" spans="1:8" x14ac:dyDescent="0.2">
      <c r="A1156" s="10">
        <v>45</v>
      </c>
      <c r="B1156" s="10" t="s">
        <v>1483</v>
      </c>
      <c r="C1156" s="10">
        <v>4573</v>
      </c>
      <c r="D1156" s="10" t="s">
        <v>1509</v>
      </c>
      <c r="E1156" s="11">
        <v>4208</v>
      </c>
      <c r="F1156" s="11">
        <v>4419</v>
      </c>
      <c r="G1156" s="11">
        <v>8627</v>
      </c>
      <c r="H1156" s="11">
        <v>2515</v>
      </c>
    </row>
    <row r="1157" spans="1:8" x14ac:dyDescent="0.2">
      <c r="A1157" s="10">
        <v>45</v>
      </c>
      <c r="B1157" s="10" t="s">
        <v>1483</v>
      </c>
      <c r="C1157" s="10">
        <v>4574</v>
      </c>
      <c r="D1157" s="10" t="s">
        <v>1510</v>
      </c>
      <c r="E1157" s="11">
        <v>3566</v>
      </c>
      <c r="F1157" s="11">
        <v>3682</v>
      </c>
      <c r="G1157" s="11">
        <v>7248</v>
      </c>
      <c r="H1157" s="11">
        <v>2178</v>
      </c>
    </row>
    <row r="1158" spans="1:8" x14ac:dyDescent="0.2">
      <c r="A1158" s="10">
        <v>45</v>
      </c>
      <c r="B1158" s="10" t="s">
        <v>1483</v>
      </c>
      <c r="C1158" s="10">
        <v>4575</v>
      </c>
      <c r="D1158" s="10" t="s">
        <v>1511</v>
      </c>
      <c r="E1158" s="11">
        <v>3935</v>
      </c>
      <c r="F1158" s="11">
        <v>4182</v>
      </c>
      <c r="G1158" s="11">
        <v>8117</v>
      </c>
      <c r="H1158" s="11">
        <v>2842</v>
      </c>
    </row>
    <row r="1159" spans="1:8" x14ac:dyDescent="0.2">
      <c r="A1159" s="10">
        <v>45</v>
      </c>
      <c r="B1159" s="10" t="s">
        <v>1483</v>
      </c>
      <c r="C1159" s="10">
        <v>4576</v>
      </c>
      <c r="D1159" s="10" t="s">
        <v>1512</v>
      </c>
      <c r="E1159" s="11">
        <v>3528</v>
      </c>
      <c r="F1159" s="11">
        <v>3664</v>
      </c>
      <c r="G1159" s="11">
        <v>7192</v>
      </c>
      <c r="H1159" s="11">
        <v>2124</v>
      </c>
    </row>
    <row r="1160" spans="1:8" x14ac:dyDescent="0.2">
      <c r="A1160" s="10">
        <v>45</v>
      </c>
      <c r="B1160" s="10" t="s">
        <v>1483</v>
      </c>
      <c r="C1160" s="10">
        <v>4577</v>
      </c>
      <c r="D1160" s="10" t="s">
        <v>1513</v>
      </c>
      <c r="E1160" s="11">
        <v>3426</v>
      </c>
      <c r="F1160" s="11">
        <v>3758</v>
      </c>
      <c r="G1160" s="11">
        <v>7184</v>
      </c>
      <c r="H1160" s="11">
        <v>2547</v>
      </c>
    </row>
    <row r="1161" spans="1:8" x14ac:dyDescent="0.2">
      <c r="A1161" s="10">
        <v>45</v>
      </c>
      <c r="B1161" s="10" t="s">
        <v>1483</v>
      </c>
      <c r="C1161" s="10">
        <v>4578</v>
      </c>
      <c r="D1161" s="10" t="s">
        <v>1514</v>
      </c>
      <c r="E1161" s="11">
        <v>4048</v>
      </c>
      <c r="F1161" s="11">
        <v>4225</v>
      </c>
      <c r="G1161" s="11">
        <v>8273</v>
      </c>
      <c r="H1161" s="11">
        <v>2917</v>
      </c>
    </row>
    <row r="1162" spans="1:8" x14ac:dyDescent="0.2">
      <c r="A1162" s="10">
        <v>45</v>
      </c>
      <c r="B1162" s="10" t="s">
        <v>1483</v>
      </c>
      <c r="C1162" s="10">
        <v>4579</v>
      </c>
      <c r="D1162" s="10" t="s">
        <v>1515</v>
      </c>
      <c r="E1162" s="11">
        <v>4625</v>
      </c>
      <c r="F1162" s="11">
        <v>4521</v>
      </c>
      <c r="G1162" s="11">
        <v>9146</v>
      </c>
      <c r="H1162" s="11">
        <v>2770</v>
      </c>
    </row>
    <row r="1163" spans="1:8" x14ac:dyDescent="0.2">
      <c r="A1163" s="10">
        <v>45</v>
      </c>
      <c r="B1163" s="10" t="s">
        <v>1483</v>
      </c>
      <c r="C1163" s="10">
        <v>4580</v>
      </c>
      <c r="D1163" s="10" t="s">
        <v>1516</v>
      </c>
      <c r="E1163" s="11">
        <v>4067</v>
      </c>
      <c r="F1163" s="11">
        <v>4076</v>
      </c>
      <c r="G1163" s="11">
        <v>8143</v>
      </c>
      <c r="H1163" s="11">
        <v>2209</v>
      </c>
    </row>
    <row r="1164" spans="1:8" x14ac:dyDescent="0.2">
      <c r="A1164" s="10">
        <v>45</v>
      </c>
      <c r="B1164" s="10" t="s">
        <v>1483</v>
      </c>
      <c r="C1164" s="10">
        <v>4581</v>
      </c>
      <c r="D1164" s="10" t="s">
        <v>1517</v>
      </c>
      <c r="E1164" s="11">
        <v>2633</v>
      </c>
      <c r="F1164" s="11">
        <v>2660</v>
      </c>
      <c r="G1164" s="11">
        <v>5293</v>
      </c>
      <c r="H1164" s="11">
        <v>1553</v>
      </c>
    </row>
    <row r="1165" spans="1:8" x14ac:dyDescent="0.2">
      <c r="A1165" s="10">
        <v>45</v>
      </c>
      <c r="B1165" s="10" t="s">
        <v>1483</v>
      </c>
      <c r="C1165" s="10">
        <v>4583</v>
      </c>
      <c r="D1165" s="10" t="s">
        <v>1518</v>
      </c>
      <c r="E1165" s="11">
        <v>1893</v>
      </c>
      <c r="F1165" s="11">
        <v>2020</v>
      </c>
      <c r="G1165" s="11">
        <v>3913</v>
      </c>
      <c r="H1165" s="11">
        <v>1868</v>
      </c>
    </row>
    <row r="1166" spans="1:8" x14ac:dyDescent="0.2">
      <c r="A1166" s="10">
        <v>45</v>
      </c>
      <c r="B1166" s="10" t="s">
        <v>1483</v>
      </c>
      <c r="C1166" s="10">
        <v>4584</v>
      </c>
      <c r="D1166" s="10" t="s">
        <v>1519</v>
      </c>
      <c r="E1166" s="11">
        <v>2727</v>
      </c>
      <c r="F1166" s="11">
        <v>2819</v>
      </c>
      <c r="G1166" s="11">
        <v>5546</v>
      </c>
      <c r="H1166" s="11">
        <v>2159</v>
      </c>
    </row>
    <row r="1167" spans="1:8" x14ac:dyDescent="0.2">
      <c r="A1167" s="10">
        <v>45</v>
      </c>
      <c r="B1167" s="10" t="s">
        <v>1483</v>
      </c>
      <c r="C1167" s="10">
        <v>4585</v>
      </c>
      <c r="D1167" s="10" t="s">
        <v>1520</v>
      </c>
      <c r="E1167" s="11">
        <v>4633</v>
      </c>
      <c r="F1167" s="11">
        <v>4787</v>
      </c>
      <c r="G1167" s="11">
        <v>9420</v>
      </c>
      <c r="H1167" s="11">
        <v>3049</v>
      </c>
    </row>
    <row r="1168" spans="1:8" x14ac:dyDescent="0.2">
      <c r="A1168" s="10">
        <v>45</v>
      </c>
      <c r="B1168" s="10" t="s">
        <v>1483</v>
      </c>
      <c r="C1168" s="10">
        <v>4586</v>
      </c>
      <c r="D1168" s="10" t="s">
        <v>1521</v>
      </c>
      <c r="E1168" s="11">
        <v>4091</v>
      </c>
      <c r="F1168" s="11">
        <v>4605</v>
      </c>
      <c r="G1168" s="11">
        <v>8696</v>
      </c>
      <c r="H1168" s="11">
        <v>4399</v>
      </c>
    </row>
    <row r="1169" spans="1:8" x14ac:dyDescent="0.2">
      <c r="A1169" s="10">
        <v>45</v>
      </c>
      <c r="B1169" s="10" t="s">
        <v>1483</v>
      </c>
      <c r="C1169" s="10">
        <v>4587</v>
      </c>
      <c r="D1169" s="10" t="s">
        <v>1522</v>
      </c>
      <c r="E1169" s="11">
        <v>6113</v>
      </c>
      <c r="F1169" s="11">
        <v>6569</v>
      </c>
      <c r="G1169" s="11">
        <v>12682</v>
      </c>
      <c r="H1169" s="11">
        <v>5289</v>
      </c>
    </row>
    <row r="1170" spans="1:8" x14ac:dyDescent="0.2">
      <c r="A1170" s="10">
        <v>45</v>
      </c>
      <c r="B1170" s="10" t="s">
        <v>1483</v>
      </c>
      <c r="C1170" s="10">
        <v>4588</v>
      </c>
      <c r="D1170" s="10" t="s">
        <v>1523</v>
      </c>
      <c r="E1170" s="11">
        <v>3064</v>
      </c>
      <c r="F1170" s="11">
        <v>3221</v>
      </c>
      <c r="G1170" s="11">
        <v>6285</v>
      </c>
      <c r="H1170" s="11">
        <v>2841</v>
      </c>
    </row>
    <row r="1171" spans="1:8" x14ac:dyDescent="0.2">
      <c r="A1171" s="10">
        <v>45</v>
      </c>
      <c r="B1171" s="10" t="s">
        <v>1483</v>
      </c>
      <c r="C1171" s="10">
        <v>4589</v>
      </c>
      <c r="D1171" s="10" t="s">
        <v>1524</v>
      </c>
      <c r="E1171" s="11">
        <v>3980</v>
      </c>
      <c r="F1171" s="11">
        <v>4141</v>
      </c>
      <c r="G1171" s="11">
        <v>8121</v>
      </c>
      <c r="H1171" s="11">
        <v>2587</v>
      </c>
    </row>
    <row r="1172" spans="1:8" x14ac:dyDescent="0.2">
      <c r="A1172" s="10">
        <v>45</v>
      </c>
      <c r="B1172" s="10" t="s">
        <v>1483</v>
      </c>
      <c r="C1172" s="10">
        <v>4590</v>
      </c>
      <c r="D1172" s="10" t="s">
        <v>1525</v>
      </c>
      <c r="E1172" s="11">
        <v>2541</v>
      </c>
      <c r="F1172" s="11">
        <v>2640</v>
      </c>
      <c r="G1172" s="11">
        <v>5181</v>
      </c>
      <c r="H1172" s="11">
        <v>1634</v>
      </c>
    </row>
    <row r="1173" spans="1:8" x14ac:dyDescent="0.2">
      <c r="A1173" s="10">
        <v>45</v>
      </c>
      <c r="B1173" s="10" t="s">
        <v>1483</v>
      </c>
      <c r="C1173" s="10">
        <v>4591</v>
      </c>
      <c r="D1173" s="10" t="s">
        <v>1526</v>
      </c>
      <c r="E1173" s="11">
        <v>5427</v>
      </c>
      <c r="F1173" s="11">
        <v>5688</v>
      </c>
      <c r="G1173" s="11">
        <v>11115</v>
      </c>
      <c r="H1173" s="11">
        <v>5430</v>
      </c>
    </row>
    <row r="1174" spans="1:8" x14ac:dyDescent="0.2">
      <c r="A1174" s="10">
        <v>45</v>
      </c>
      <c r="B1174" s="10" t="s">
        <v>1483</v>
      </c>
      <c r="C1174" s="10">
        <v>4592</v>
      </c>
      <c r="D1174" s="10" t="s">
        <v>1527</v>
      </c>
      <c r="E1174" s="11">
        <v>1905</v>
      </c>
      <c r="F1174" s="11">
        <v>2055</v>
      </c>
      <c r="G1174" s="11">
        <v>3960</v>
      </c>
      <c r="H1174" s="11">
        <v>1851</v>
      </c>
    </row>
    <row r="1175" spans="1:8" x14ac:dyDescent="0.2">
      <c r="A1175" s="10">
        <v>45</v>
      </c>
      <c r="B1175" s="10" t="s">
        <v>1483</v>
      </c>
      <c r="C1175" s="10">
        <v>4593</v>
      </c>
      <c r="D1175" s="10" t="s">
        <v>1528</v>
      </c>
      <c r="E1175" s="11">
        <v>1164</v>
      </c>
      <c r="F1175" s="11">
        <v>1310</v>
      </c>
      <c r="G1175" s="11">
        <v>2474</v>
      </c>
      <c r="H1175" s="11">
        <v>1215</v>
      </c>
    </row>
    <row r="1176" spans="1:8" x14ac:dyDescent="0.2">
      <c r="A1176" s="10">
        <v>45</v>
      </c>
      <c r="B1176" s="10" t="s">
        <v>1483</v>
      </c>
      <c r="C1176" s="10">
        <v>4594</v>
      </c>
      <c r="D1176" s="10" t="s">
        <v>1529</v>
      </c>
      <c r="E1176" s="11">
        <v>3652</v>
      </c>
      <c r="F1176" s="11">
        <v>3916</v>
      </c>
      <c r="G1176" s="11">
        <v>7568</v>
      </c>
      <c r="H1176" s="11">
        <v>2652</v>
      </c>
    </row>
    <row r="1177" spans="1:8" x14ac:dyDescent="0.2">
      <c r="A1177" s="10">
        <v>45</v>
      </c>
      <c r="B1177" s="10" t="s">
        <v>1483</v>
      </c>
      <c r="C1177" s="10">
        <v>4595</v>
      </c>
      <c r="D1177" s="10" t="s">
        <v>1530</v>
      </c>
      <c r="E1177" s="11">
        <v>1752</v>
      </c>
      <c r="F1177" s="11">
        <v>1973</v>
      </c>
      <c r="G1177" s="11">
        <v>3725</v>
      </c>
      <c r="H1177" s="11">
        <v>1654</v>
      </c>
    </row>
    <row r="1178" spans="1:8" x14ac:dyDescent="0.2">
      <c r="A1178" s="10">
        <v>45</v>
      </c>
      <c r="B1178" s="10" t="s">
        <v>1483</v>
      </c>
      <c r="C1178" s="10">
        <v>4596</v>
      </c>
      <c r="D1178" s="10" t="s">
        <v>1531</v>
      </c>
      <c r="E1178" s="11">
        <v>3040</v>
      </c>
      <c r="F1178" s="11">
        <v>3221</v>
      </c>
      <c r="G1178" s="11">
        <v>6261</v>
      </c>
      <c r="H1178" s="11">
        <v>2230</v>
      </c>
    </row>
    <row r="1179" spans="1:8" x14ac:dyDescent="0.2">
      <c r="A1179" s="10">
        <v>45</v>
      </c>
      <c r="B1179" s="10" t="s">
        <v>1483</v>
      </c>
      <c r="C1179" s="10">
        <v>4597</v>
      </c>
      <c r="D1179" s="10" t="s">
        <v>1532</v>
      </c>
      <c r="E1179" s="11">
        <v>5039</v>
      </c>
      <c r="F1179" s="11">
        <v>5481</v>
      </c>
      <c r="G1179" s="11">
        <v>10520</v>
      </c>
      <c r="H1179" s="11">
        <v>5011</v>
      </c>
    </row>
    <row r="1180" spans="1:8" x14ac:dyDescent="0.2">
      <c r="A1180" s="10">
        <v>45</v>
      </c>
      <c r="B1180" s="10" t="s">
        <v>1483</v>
      </c>
      <c r="C1180" s="10">
        <v>4598</v>
      </c>
      <c r="D1180" s="10" t="s">
        <v>1533</v>
      </c>
      <c r="E1180" s="11">
        <v>2174</v>
      </c>
      <c r="F1180" s="11">
        <v>2289</v>
      </c>
      <c r="G1180" s="11">
        <v>4463</v>
      </c>
      <c r="H1180" s="11">
        <v>1666</v>
      </c>
    </row>
    <row r="1181" spans="1:8" x14ac:dyDescent="0.2">
      <c r="A1181" s="10">
        <v>45</v>
      </c>
      <c r="B1181" s="10" t="s">
        <v>1483</v>
      </c>
      <c r="C1181" s="10">
        <v>4599</v>
      </c>
      <c r="D1181" s="10" t="s">
        <v>1534</v>
      </c>
      <c r="E1181" s="11">
        <v>15038</v>
      </c>
      <c r="F1181" s="11">
        <v>17216</v>
      </c>
      <c r="G1181" s="11">
        <v>32254</v>
      </c>
      <c r="H1181" s="11">
        <v>16977</v>
      </c>
    </row>
    <row r="1182" spans="1:8" x14ac:dyDescent="0.2">
      <c r="A1182" s="10">
        <v>46</v>
      </c>
      <c r="B1182" s="10" t="s">
        <v>1535</v>
      </c>
      <c r="C1182" s="10">
        <v>4601</v>
      </c>
      <c r="D1182" s="10" t="s">
        <v>1536</v>
      </c>
      <c r="E1182" s="11">
        <v>39537</v>
      </c>
      <c r="F1182" s="11">
        <v>41042</v>
      </c>
      <c r="G1182" s="11">
        <v>80579</v>
      </c>
      <c r="H1182" s="11">
        <v>27572</v>
      </c>
    </row>
    <row r="1183" spans="1:8" x14ac:dyDescent="0.2">
      <c r="A1183" s="10">
        <v>46</v>
      </c>
      <c r="B1183" s="10" t="s">
        <v>1535</v>
      </c>
      <c r="C1183" s="10">
        <v>4602</v>
      </c>
      <c r="D1183" s="10" t="s">
        <v>1537</v>
      </c>
      <c r="E1183" s="11">
        <v>14490</v>
      </c>
      <c r="F1183" s="11">
        <v>14768</v>
      </c>
      <c r="G1183" s="11">
        <v>29258</v>
      </c>
      <c r="H1183" s="11">
        <v>9963</v>
      </c>
    </row>
    <row r="1184" spans="1:8" x14ac:dyDescent="0.2">
      <c r="A1184" s="10">
        <v>46</v>
      </c>
      <c r="B1184" s="10" t="s">
        <v>1535</v>
      </c>
      <c r="C1184" s="10">
        <v>4603</v>
      </c>
      <c r="D1184" s="10" t="s">
        <v>1538</v>
      </c>
      <c r="E1184" s="11">
        <v>21825</v>
      </c>
      <c r="F1184" s="11">
        <v>22899</v>
      </c>
      <c r="G1184" s="11">
        <v>44724</v>
      </c>
      <c r="H1184" s="11">
        <v>12994</v>
      </c>
    </row>
    <row r="1185" spans="1:8" x14ac:dyDescent="0.2">
      <c r="A1185" s="10">
        <v>46</v>
      </c>
      <c r="B1185" s="10" t="s">
        <v>1535</v>
      </c>
      <c r="C1185" s="10">
        <v>4604</v>
      </c>
      <c r="D1185" s="10" t="s">
        <v>1539</v>
      </c>
      <c r="E1185" s="11">
        <v>5089</v>
      </c>
      <c r="F1185" s="11">
        <v>5258</v>
      </c>
      <c r="G1185" s="11">
        <v>10347</v>
      </c>
      <c r="H1185" s="11">
        <v>3432</v>
      </c>
    </row>
    <row r="1186" spans="1:8" x14ac:dyDescent="0.2">
      <c r="A1186" s="10">
        <v>46</v>
      </c>
      <c r="B1186" s="10" t="s">
        <v>1535</v>
      </c>
      <c r="C1186" s="10">
        <v>4605</v>
      </c>
      <c r="D1186" s="10" t="s">
        <v>1540</v>
      </c>
      <c r="E1186" s="11">
        <v>30590</v>
      </c>
      <c r="F1186" s="11">
        <v>30623</v>
      </c>
      <c r="G1186" s="11">
        <v>61213</v>
      </c>
      <c r="H1186" s="11">
        <v>22454</v>
      </c>
    </row>
    <row r="1187" spans="1:8" x14ac:dyDescent="0.2">
      <c r="A1187" s="10">
        <v>46</v>
      </c>
      <c r="B1187" s="10" t="s">
        <v>1535</v>
      </c>
      <c r="C1187" s="10">
        <v>4606</v>
      </c>
      <c r="D1187" s="10" t="s">
        <v>1541</v>
      </c>
      <c r="E1187" s="11">
        <v>10265</v>
      </c>
      <c r="F1187" s="11">
        <v>10490</v>
      </c>
      <c r="G1187" s="11">
        <v>20755</v>
      </c>
      <c r="H1187" s="11">
        <v>9138</v>
      </c>
    </row>
    <row r="1188" spans="1:8" x14ac:dyDescent="0.2">
      <c r="A1188" s="10">
        <v>46</v>
      </c>
      <c r="B1188" s="10" t="s">
        <v>1535</v>
      </c>
      <c r="C1188" s="10">
        <v>4607</v>
      </c>
      <c r="D1188" s="10" t="s">
        <v>1542</v>
      </c>
      <c r="E1188" s="11">
        <v>39400</v>
      </c>
      <c r="F1188" s="11">
        <v>41087</v>
      </c>
      <c r="G1188" s="11">
        <v>80487</v>
      </c>
      <c r="H1188" s="11">
        <v>25343</v>
      </c>
    </row>
    <row r="1189" spans="1:8" x14ac:dyDescent="0.2">
      <c r="A1189" s="10">
        <v>46</v>
      </c>
      <c r="B1189" s="10" t="s">
        <v>1535</v>
      </c>
      <c r="C1189" s="10">
        <v>4608</v>
      </c>
      <c r="D1189" s="10" t="s">
        <v>1543</v>
      </c>
      <c r="E1189" s="11">
        <v>19955</v>
      </c>
      <c r="F1189" s="11">
        <v>19845</v>
      </c>
      <c r="G1189" s="11">
        <v>39800</v>
      </c>
      <c r="H1189" s="11">
        <v>12831</v>
      </c>
    </row>
    <row r="1190" spans="1:8" x14ac:dyDescent="0.2">
      <c r="A1190" s="10">
        <v>46</v>
      </c>
      <c r="B1190" s="10" t="s">
        <v>1535</v>
      </c>
      <c r="C1190" s="10">
        <v>4609</v>
      </c>
      <c r="D1190" s="10" t="s">
        <v>1544</v>
      </c>
      <c r="E1190" s="11">
        <v>18506</v>
      </c>
      <c r="F1190" s="11">
        <v>18584</v>
      </c>
      <c r="G1190" s="11">
        <v>37090</v>
      </c>
      <c r="H1190" s="11">
        <v>11850</v>
      </c>
    </row>
    <row r="1191" spans="1:8" x14ac:dyDescent="0.2">
      <c r="A1191" s="10">
        <v>46</v>
      </c>
      <c r="B1191" s="10" t="s">
        <v>1535</v>
      </c>
      <c r="C1191" s="10">
        <v>4610</v>
      </c>
      <c r="D1191" s="10" t="s">
        <v>1545</v>
      </c>
      <c r="E1191" s="11">
        <v>13287</v>
      </c>
      <c r="F1191" s="11">
        <v>13314</v>
      </c>
      <c r="G1191" s="11">
        <v>26601</v>
      </c>
      <c r="H1191" s="11">
        <v>7737</v>
      </c>
    </row>
    <row r="1192" spans="1:8" x14ac:dyDescent="0.2">
      <c r="A1192" s="10">
        <v>46</v>
      </c>
      <c r="B1192" s="10" t="s">
        <v>1535</v>
      </c>
      <c r="C1192" s="10">
        <v>4611</v>
      </c>
      <c r="D1192" s="10" t="s">
        <v>1546</v>
      </c>
      <c r="E1192" s="11">
        <v>14181</v>
      </c>
      <c r="F1192" s="11">
        <v>14311</v>
      </c>
      <c r="G1192" s="11">
        <v>28492</v>
      </c>
      <c r="H1192" s="11">
        <v>8493</v>
      </c>
    </row>
    <row r="1193" spans="1:8" x14ac:dyDescent="0.2">
      <c r="A1193" s="10">
        <v>46</v>
      </c>
      <c r="B1193" s="10" t="s">
        <v>1535</v>
      </c>
      <c r="C1193" s="10">
        <v>4612</v>
      </c>
      <c r="D1193" s="10" t="s">
        <v>1547</v>
      </c>
      <c r="E1193" s="11">
        <v>25391</v>
      </c>
      <c r="F1193" s="11">
        <v>25520</v>
      </c>
      <c r="G1193" s="11">
        <v>50911</v>
      </c>
      <c r="H1193" s="11">
        <v>16104</v>
      </c>
    </row>
    <row r="1194" spans="1:8" x14ac:dyDescent="0.2">
      <c r="A1194" s="10">
        <v>46</v>
      </c>
      <c r="B1194" s="10" t="s">
        <v>1535</v>
      </c>
      <c r="C1194" s="10">
        <v>4613</v>
      </c>
      <c r="D1194" s="10" t="s">
        <v>1548</v>
      </c>
      <c r="E1194" s="11">
        <v>26992</v>
      </c>
      <c r="F1194" s="11">
        <v>27629</v>
      </c>
      <c r="G1194" s="11">
        <v>54621</v>
      </c>
      <c r="H1194" s="11">
        <v>19156</v>
      </c>
    </row>
    <row r="1195" spans="1:8" x14ac:dyDescent="0.2">
      <c r="A1195" s="10">
        <v>46</v>
      </c>
      <c r="B1195" s="10" t="s">
        <v>1535</v>
      </c>
      <c r="C1195" s="10">
        <v>4614</v>
      </c>
      <c r="D1195" s="10" t="s">
        <v>1549</v>
      </c>
      <c r="E1195" s="11">
        <v>6853</v>
      </c>
      <c r="F1195" s="11">
        <v>7048</v>
      </c>
      <c r="G1195" s="11">
        <v>13901</v>
      </c>
      <c r="H1195" s="11">
        <v>4189</v>
      </c>
    </row>
    <row r="1196" spans="1:8" x14ac:dyDescent="0.2">
      <c r="A1196" s="10">
        <v>46</v>
      </c>
      <c r="B1196" s="10" t="s">
        <v>1535</v>
      </c>
      <c r="C1196" s="10">
        <v>4615</v>
      </c>
      <c r="D1196" s="10" t="s">
        <v>1550</v>
      </c>
      <c r="E1196" s="11">
        <v>12711</v>
      </c>
      <c r="F1196" s="11">
        <v>12387</v>
      </c>
      <c r="G1196" s="11">
        <v>25098</v>
      </c>
      <c r="H1196" s="11">
        <v>8084</v>
      </c>
    </row>
    <row r="1197" spans="1:8" x14ac:dyDescent="0.2">
      <c r="A1197" s="10">
        <v>46</v>
      </c>
      <c r="B1197" s="10" t="s">
        <v>1535</v>
      </c>
      <c r="C1197" s="10">
        <v>4616</v>
      </c>
      <c r="D1197" s="10" t="s">
        <v>1551</v>
      </c>
      <c r="E1197" s="11">
        <v>12647</v>
      </c>
      <c r="F1197" s="11">
        <v>12621</v>
      </c>
      <c r="G1197" s="11">
        <v>25268</v>
      </c>
      <c r="H1197" s="11">
        <v>8694</v>
      </c>
    </row>
    <row r="1198" spans="1:8" x14ac:dyDescent="0.2">
      <c r="A1198" s="10">
        <v>46</v>
      </c>
      <c r="B1198" s="10" t="s">
        <v>1535</v>
      </c>
      <c r="C1198" s="10">
        <v>4617</v>
      </c>
      <c r="D1198" s="10" t="s">
        <v>1552</v>
      </c>
      <c r="E1198" s="11">
        <v>12832</v>
      </c>
      <c r="F1198" s="11">
        <v>13054</v>
      </c>
      <c r="G1198" s="11">
        <v>25886</v>
      </c>
      <c r="H1198" s="11">
        <v>8587</v>
      </c>
    </row>
    <row r="1199" spans="1:8" x14ac:dyDescent="0.2">
      <c r="A1199" s="10">
        <v>46</v>
      </c>
      <c r="B1199" s="10" t="s">
        <v>1535</v>
      </c>
      <c r="C1199" s="10">
        <v>4618</v>
      </c>
      <c r="D1199" s="10" t="s">
        <v>1553</v>
      </c>
      <c r="E1199" s="11">
        <v>12962</v>
      </c>
      <c r="F1199" s="11">
        <v>13270</v>
      </c>
      <c r="G1199" s="11">
        <v>26232</v>
      </c>
      <c r="H1199" s="11">
        <v>7936</v>
      </c>
    </row>
    <row r="1200" spans="1:8" x14ac:dyDescent="0.2">
      <c r="A1200" s="10">
        <v>46</v>
      </c>
      <c r="B1200" s="10" t="s">
        <v>1535</v>
      </c>
      <c r="C1200" s="10">
        <v>4665</v>
      </c>
      <c r="D1200" s="10" t="s">
        <v>1554</v>
      </c>
      <c r="E1200" s="11">
        <v>4715</v>
      </c>
      <c r="F1200" s="11">
        <v>4747</v>
      </c>
      <c r="G1200" s="11">
        <v>9462</v>
      </c>
      <c r="H1200" s="11">
        <v>2628</v>
      </c>
    </row>
    <row r="1201" spans="1:8" x14ac:dyDescent="0.2">
      <c r="A1201" s="10">
        <v>46</v>
      </c>
      <c r="B1201" s="10" t="s">
        <v>1535</v>
      </c>
      <c r="C1201" s="10">
        <v>4666</v>
      </c>
      <c r="D1201" s="10" t="s">
        <v>1555</v>
      </c>
      <c r="E1201" s="11">
        <v>7138</v>
      </c>
      <c r="F1201" s="11">
        <v>6992</v>
      </c>
      <c r="G1201" s="11">
        <v>14130</v>
      </c>
      <c r="H1201" s="11">
        <v>3851</v>
      </c>
    </row>
    <row r="1202" spans="1:8" x14ac:dyDescent="0.2">
      <c r="A1202" s="10">
        <v>46</v>
      </c>
      <c r="B1202" s="10" t="s">
        <v>1535</v>
      </c>
      <c r="C1202" s="10">
        <v>4667</v>
      </c>
      <c r="D1202" s="10" t="s">
        <v>1556</v>
      </c>
      <c r="E1202" s="11">
        <v>4162</v>
      </c>
      <c r="F1202" s="11">
        <v>4374</v>
      </c>
      <c r="G1202" s="11">
        <v>8536</v>
      </c>
      <c r="H1202" s="11">
        <v>2606</v>
      </c>
    </row>
    <row r="1203" spans="1:8" x14ac:dyDescent="0.2">
      <c r="A1203" s="10">
        <v>46</v>
      </c>
      <c r="B1203" s="10" t="s">
        <v>1535</v>
      </c>
      <c r="C1203" s="10">
        <v>4669</v>
      </c>
      <c r="D1203" s="10" t="s">
        <v>1361</v>
      </c>
      <c r="E1203" s="11">
        <v>5966</v>
      </c>
      <c r="F1203" s="11">
        <v>6272</v>
      </c>
      <c r="G1203" s="11">
        <v>12238</v>
      </c>
      <c r="H1203" s="11">
        <v>3899</v>
      </c>
    </row>
    <row r="1204" spans="1:8" x14ac:dyDescent="0.2">
      <c r="A1204" s="10">
        <v>46</v>
      </c>
      <c r="B1204" s="10" t="s">
        <v>1535</v>
      </c>
      <c r="C1204" s="10">
        <v>4670</v>
      </c>
      <c r="D1204" s="10" t="s">
        <v>1557</v>
      </c>
      <c r="E1204" s="11">
        <v>6182</v>
      </c>
      <c r="F1204" s="11">
        <v>6546</v>
      </c>
      <c r="G1204" s="11">
        <v>12728</v>
      </c>
      <c r="H1204" s="11">
        <v>4621</v>
      </c>
    </row>
    <row r="1205" spans="1:8" x14ac:dyDescent="0.2">
      <c r="A1205" s="10">
        <v>46</v>
      </c>
      <c r="B1205" s="10" t="s">
        <v>1535</v>
      </c>
      <c r="C1205" s="10">
        <v>4671</v>
      </c>
      <c r="D1205" s="10" t="s">
        <v>1558</v>
      </c>
      <c r="E1205" s="11">
        <v>6413</v>
      </c>
      <c r="F1205" s="11">
        <v>6523</v>
      </c>
      <c r="G1205" s="11">
        <v>12936</v>
      </c>
      <c r="H1205" s="11">
        <v>3554</v>
      </c>
    </row>
    <row r="1206" spans="1:8" x14ac:dyDescent="0.2">
      <c r="A1206" s="10">
        <v>46</v>
      </c>
      <c r="B1206" s="10" t="s">
        <v>1535</v>
      </c>
      <c r="C1206" s="10">
        <v>4672</v>
      </c>
      <c r="D1206" s="10" t="s">
        <v>1559</v>
      </c>
      <c r="E1206" s="11">
        <v>2040</v>
      </c>
      <c r="F1206" s="11">
        <v>2190</v>
      </c>
      <c r="G1206" s="11">
        <v>4230</v>
      </c>
      <c r="H1206" s="11">
        <v>1388</v>
      </c>
    </row>
    <row r="1207" spans="1:8" x14ac:dyDescent="0.2">
      <c r="A1207" s="10">
        <v>46</v>
      </c>
      <c r="B1207" s="10" t="s">
        <v>1535</v>
      </c>
      <c r="C1207" s="10">
        <v>4673</v>
      </c>
      <c r="D1207" s="10" t="s">
        <v>1560</v>
      </c>
      <c r="E1207" s="11">
        <v>5151</v>
      </c>
      <c r="F1207" s="11">
        <v>5132</v>
      </c>
      <c r="G1207" s="11">
        <v>10283</v>
      </c>
      <c r="H1207" s="11">
        <v>3131</v>
      </c>
    </row>
    <row r="1208" spans="1:8" x14ac:dyDescent="0.2">
      <c r="A1208" s="10">
        <v>46</v>
      </c>
      <c r="B1208" s="10" t="s">
        <v>1535</v>
      </c>
      <c r="C1208" s="10">
        <v>4674</v>
      </c>
      <c r="D1208" s="10" t="s">
        <v>1561</v>
      </c>
      <c r="E1208" s="11">
        <v>1350</v>
      </c>
      <c r="F1208" s="11">
        <v>1359</v>
      </c>
      <c r="G1208" s="11">
        <v>2709</v>
      </c>
      <c r="H1208" s="11">
        <v>1043</v>
      </c>
    </row>
    <row r="1209" spans="1:8" x14ac:dyDescent="0.2">
      <c r="A1209" s="10">
        <v>46</v>
      </c>
      <c r="B1209" s="10" t="s">
        <v>1535</v>
      </c>
      <c r="C1209" s="10">
        <v>4675</v>
      </c>
      <c r="D1209" s="10" t="s">
        <v>1562</v>
      </c>
      <c r="E1209" s="11">
        <v>5730</v>
      </c>
      <c r="F1209" s="11">
        <v>5895</v>
      </c>
      <c r="G1209" s="11">
        <v>11625</v>
      </c>
      <c r="H1209" s="11">
        <v>3554</v>
      </c>
    </row>
    <row r="1210" spans="1:8" x14ac:dyDescent="0.2">
      <c r="A1210" s="10">
        <v>46</v>
      </c>
      <c r="B1210" s="10" t="s">
        <v>1535</v>
      </c>
      <c r="C1210" s="10">
        <v>4676</v>
      </c>
      <c r="D1210" s="10" t="s">
        <v>1563</v>
      </c>
      <c r="E1210" s="11">
        <v>2430</v>
      </c>
      <c r="F1210" s="11">
        <v>2675</v>
      </c>
      <c r="G1210" s="11">
        <v>5105</v>
      </c>
      <c r="H1210" s="11">
        <v>1995</v>
      </c>
    </row>
    <row r="1211" spans="1:8" x14ac:dyDescent="0.2">
      <c r="A1211" s="10">
        <v>46</v>
      </c>
      <c r="B1211" s="10" t="s">
        <v>1535</v>
      </c>
      <c r="C1211" s="10">
        <v>4677</v>
      </c>
      <c r="D1211" s="10" t="s">
        <v>1564</v>
      </c>
      <c r="E1211" s="11">
        <v>2716</v>
      </c>
      <c r="F1211" s="11">
        <v>2862</v>
      </c>
      <c r="G1211" s="11">
        <v>5578</v>
      </c>
      <c r="H1211" s="11">
        <v>2352</v>
      </c>
    </row>
    <row r="1212" spans="1:8" x14ac:dyDescent="0.2">
      <c r="A1212" s="10">
        <v>46</v>
      </c>
      <c r="B1212" s="10" t="s">
        <v>1535</v>
      </c>
      <c r="C1212" s="10">
        <v>4678</v>
      </c>
      <c r="D1212" s="10" t="s">
        <v>1565</v>
      </c>
      <c r="E1212" s="11">
        <v>3138</v>
      </c>
      <c r="F1212" s="11">
        <v>3393</v>
      </c>
      <c r="G1212" s="11">
        <v>6531</v>
      </c>
      <c r="H1212" s="11">
        <v>3490</v>
      </c>
    </row>
    <row r="1213" spans="1:8" x14ac:dyDescent="0.2">
      <c r="A1213" s="10">
        <v>46</v>
      </c>
      <c r="B1213" s="10" t="s">
        <v>1535</v>
      </c>
      <c r="C1213" s="10">
        <v>4679</v>
      </c>
      <c r="D1213" s="10" t="s">
        <v>1422</v>
      </c>
      <c r="E1213" s="11">
        <v>2607</v>
      </c>
      <c r="F1213" s="11">
        <v>2666</v>
      </c>
      <c r="G1213" s="11">
        <v>5273</v>
      </c>
      <c r="H1213" s="11">
        <v>1697</v>
      </c>
    </row>
    <row r="1214" spans="1:8" x14ac:dyDescent="0.2">
      <c r="A1214" s="10">
        <v>46</v>
      </c>
      <c r="B1214" s="10" t="s">
        <v>1535</v>
      </c>
      <c r="C1214" s="10">
        <v>4680</v>
      </c>
      <c r="D1214" s="10" t="s">
        <v>1566</v>
      </c>
      <c r="E1214" s="11">
        <v>4288</v>
      </c>
      <c r="F1214" s="11">
        <v>4449</v>
      </c>
      <c r="G1214" s="11">
        <v>8737</v>
      </c>
      <c r="H1214" s="11">
        <v>3586</v>
      </c>
    </row>
    <row r="1215" spans="1:8" x14ac:dyDescent="0.2">
      <c r="A1215" s="10">
        <v>46</v>
      </c>
      <c r="B1215" s="10" t="s">
        <v>1535</v>
      </c>
      <c r="C1215" s="10">
        <v>4681</v>
      </c>
      <c r="D1215" s="10" t="s">
        <v>1567</v>
      </c>
      <c r="E1215" s="11">
        <v>4414</v>
      </c>
      <c r="F1215" s="11">
        <v>4586</v>
      </c>
      <c r="G1215" s="11">
        <v>9000</v>
      </c>
      <c r="H1215" s="11">
        <v>3096</v>
      </c>
    </row>
    <row r="1216" spans="1:8" x14ac:dyDescent="0.2">
      <c r="A1216" s="10">
        <v>46</v>
      </c>
      <c r="B1216" s="10" t="s">
        <v>1535</v>
      </c>
      <c r="C1216" s="10">
        <v>4682</v>
      </c>
      <c r="D1216" s="10" t="s">
        <v>1568</v>
      </c>
      <c r="E1216" s="11">
        <v>1847</v>
      </c>
      <c r="F1216" s="11">
        <v>1875</v>
      </c>
      <c r="G1216" s="11">
        <v>3722</v>
      </c>
      <c r="H1216" s="11">
        <v>1145</v>
      </c>
    </row>
    <row r="1217" spans="1:8" x14ac:dyDescent="0.2">
      <c r="A1217" s="10">
        <v>46</v>
      </c>
      <c r="B1217" s="10" t="s">
        <v>1535</v>
      </c>
      <c r="C1217" s="10">
        <v>4683</v>
      </c>
      <c r="D1217" s="10" t="s">
        <v>1569</v>
      </c>
      <c r="E1217" s="11">
        <v>1915</v>
      </c>
      <c r="F1217" s="11">
        <v>1962</v>
      </c>
      <c r="G1217" s="11">
        <v>3877</v>
      </c>
      <c r="H1217" s="11">
        <v>1798</v>
      </c>
    </row>
    <row r="1218" spans="1:8" x14ac:dyDescent="0.2">
      <c r="A1218" s="10">
        <v>46</v>
      </c>
      <c r="B1218" s="10" t="s">
        <v>1535</v>
      </c>
      <c r="C1218" s="10">
        <v>4684</v>
      </c>
      <c r="D1218" s="10" t="s">
        <v>1570</v>
      </c>
      <c r="E1218" s="11">
        <v>2401</v>
      </c>
      <c r="F1218" s="11">
        <v>2652</v>
      </c>
      <c r="G1218" s="11">
        <v>5053</v>
      </c>
      <c r="H1218" s="11">
        <v>2130</v>
      </c>
    </row>
    <row r="1219" spans="1:8" x14ac:dyDescent="0.2">
      <c r="A1219" s="10">
        <v>46</v>
      </c>
      <c r="B1219" s="10" t="s">
        <v>1535</v>
      </c>
      <c r="C1219" s="10">
        <v>4685</v>
      </c>
      <c r="D1219" s="10" t="s">
        <v>1571</v>
      </c>
      <c r="E1219" s="11">
        <v>2711</v>
      </c>
      <c r="F1219" s="11">
        <v>2852</v>
      </c>
      <c r="G1219" s="11">
        <v>5563</v>
      </c>
      <c r="H1219" s="11">
        <v>2352</v>
      </c>
    </row>
    <row r="1220" spans="1:8" x14ac:dyDescent="0.2">
      <c r="A1220" s="10">
        <v>46</v>
      </c>
      <c r="B1220" s="10" t="s">
        <v>1535</v>
      </c>
      <c r="C1220" s="10">
        <v>4686</v>
      </c>
      <c r="D1220" s="10" t="s">
        <v>1572</v>
      </c>
      <c r="E1220" s="11">
        <v>2426</v>
      </c>
      <c r="F1220" s="11">
        <v>2491</v>
      </c>
      <c r="G1220" s="11">
        <v>4917</v>
      </c>
      <c r="H1220" s="11">
        <v>1695</v>
      </c>
    </row>
    <row r="1221" spans="1:8" x14ac:dyDescent="0.2">
      <c r="A1221" s="10">
        <v>46</v>
      </c>
      <c r="B1221" s="10" t="s">
        <v>1535</v>
      </c>
      <c r="C1221" s="10">
        <v>4687</v>
      </c>
      <c r="D1221" s="10" t="s">
        <v>1573</v>
      </c>
      <c r="E1221" s="11">
        <v>3800</v>
      </c>
      <c r="F1221" s="11">
        <v>4311</v>
      </c>
      <c r="G1221" s="11">
        <v>8111</v>
      </c>
      <c r="H1221" s="11">
        <v>3962</v>
      </c>
    </row>
    <row r="1222" spans="1:8" x14ac:dyDescent="0.2">
      <c r="A1222" s="10">
        <v>46</v>
      </c>
      <c r="B1222" s="10" t="s">
        <v>1535</v>
      </c>
      <c r="C1222" s="10">
        <v>4688</v>
      </c>
      <c r="D1222" s="10" t="s">
        <v>1574</v>
      </c>
      <c r="E1222" s="11">
        <v>1509</v>
      </c>
      <c r="F1222" s="11">
        <v>1624</v>
      </c>
      <c r="G1222" s="11">
        <v>3133</v>
      </c>
      <c r="H1222" s="11">
        <v>1341</v>
      </c>
    </row>
    <row r="1223" spans="1:8" x14ac:dyDescent="0.2">
      <c r="A1223" s="10">
        <v>46</v>
      </c>
      <c r="B1223" s="10" t="s">
        <v>1535</v>
      </c>
      <c r="C1223" s="10">
        <v>4689</v>
      </c>
      <c r="D1223" s="10" t="s">
        <v>1575</v>
      </c>
      <c r="E1223" s="11">
        <v>4768</v>
      </c>
      <c r="F1223" s="11">
        <v>4998</v>
      </c>
      <c r="G1223" s="11">
        <v>9766</v>
      </c>
      <c r="H1223" s="11">
        <v>4661</v>
      </c>
    </row>
    <row r="1224" spans="1:8" x14ac:dyDescent="0.2">
      <c r="A1224" s="10">
        <v>46</v>
      </c>
      <c r="B1224" s="10" t="s">
        <v>1535</v>
      </c>
      <c r="C1224" s="10">
        <v>4690</v>
      </c>
      <c r="D1224" s="10" t="s">
        <v>1576</v>
      </c>
      <c r="E1224" s="11">
        <v>5407</v>
      </c>
      <c r="F1224" s="11">
        <v>5662</v>
      </c>
      <c r="G1224" s="11">
        <v>11069</v>
      </c>
      <c r="H1224" s="11">
        <v>5147</v>
      </c>
    </row>
    <row r="1225" spans="1:8" x14ac:dyDescent="0.2">
      <c r="A1225" s="10">
        <v>46</v>
      </c>
      <c r="B1225" s="10" t="s">
        <v>1535</v>
      </c>
      <c r="C1225" s="10">
        <v>4691</v>
      </c>
      <c r="D1225" s="10" t="s">
        <v>1577</v>
      </c>
      <c r="E1225" s="11">
        <v>2457</v>
      </c>
      <c r="F1225" s="11">
        <v>2686</v>
      </c>
      <c r="G1225" s="11">
        <v>5143</v>
      </c>
      <c r="H1225" s="11">
        <v>2132</v>
      </c>
    </row>
    <row r="1226" spans="1:8" x14ac:dyDescent="0.2">
      <c r="A1226" s="10">
        <v>46</v>
      </c>
      <c r="B1226" s="10" t="s">
        <v>1535</v>
      </c>
      <c r="C1226" s="10">
        <v>4692</v>
      </c>
      <c r="D1226" s="10" t="s">
        <v>1578</v>
      </c>
      <c r="E1226" s="11">
        <v>2893</v>
      </c>
      <c r="F1226" s="11">
        <v>3059</v>
      </c>
      <c r="G1226" s="11">
        <v>5952</v>
      </c>
      <c r="H1226" s="11">
        <v>2340</v>
      </c>
    </row>
    <row r="1227" spans="1:8" x14ac:dyDescent="0.2">
      <c r="A1227" s="10">
        <v>46</v>
      </c>
      <c r="B1227" s="10" t="s">
        <v>1535</v>
      </c>
      <c r="C1227" s="10">
        <v>4693</v>
      </c>
      <c r="D1227" s="10" t="s">
        <v>1579</v>
      </c>
      <c r="E1227" s="11">
        <v>3212</v>
      </c>
      <c r="F1227" s="11">
        <v>3518</v>
      </c>
      <c r="G1227" s="11">
        <v>6730</v>
      </c>
      <c r="H1227" s="11">
        <v>2294</v>
      </c>
    </row>
    <row r="1228" spans="1:8" x14ac:dyDescent="0.2">
      <c r="A1228" s="10">
        <v>46</v>
      </c>
      <c r="B1228" s="10" t="s">
        <v>1535</v>
      </c>
      <c r="C1228" s="10">
        <v>4694</v>
      </c>
      <c r="D1228" s="10" t="s">
        <v>1580</v>
      </c>
      <c r="E1228" s="11">
        <v>3059</v>
      </c>
      <c r="F1228" s="11">
        <v>3155</v>
      </c>
      <c r="G1228" s="11">
        <v>6214</v>
      </c>
      <c r="H1228" s="11">
        <v>1767</v>
      </c>
    </row>
    <row r="1229" spans="1:8" x14ac:dyDescent="0.2">
      <c r="A1229" s="10">
        <v>46</v>
      </c>
      <c r="B1229" s="10" t="s">
        <v>1535</v>
      </c>
      <c r="C1229" s="10">
        <v>4695</v>
      </c>
      <c r="D1229" s="10" t="s">
        <v>1581</v>
      </c>
      <c r="E1229" s="11">
        <v>4496</v>
      </c>
      <c r="F1229" s="11">
        <v>5049</v>
      </c>
      <c r="G1229" s="11">
        <v>9545</v>
      </c>
      <c r="H1229" s="11">
        <v>3826</v>
      </c>
    </row>
    <row r="1230" spans="1:8" x14ac:dyDescent="0.2">
      <c r="A1230" s="10">
        <v>46</v>
      </c>
      <c r="B1230" s="10" t="s">
        <v>1535</v>
      </c>
      <c r="C1230" s="10">
        <v>4696</v>
      </c>
      <c r="D1230" s="10" t="s">
        <v>1582</v>
      </c>
      <c r="E1230" s="11">
        <v>3366</v>
      </c>
      <c r="F1230" s="11">
        <v>3414</v>
      </c>
      <c r="G1230" s="11">
        <v>6780</v>
      </c>
      <c r="H1230" s="11">
        <v>2473</v>
      </c>
    </row>
    <row r="1231" spans="1:8" x14ac:dyDescent="0.2">
      <c r="A1231" s="10">
        <v>46</v>
      </c>
      <c r="B1231" s="10" t="s">
        <v>1535</v>
      </c>
      <c r="C1231" s="10">
        <v>4697</v>
      </c>
      <c r="D1231" s="10" t="s">
        <v>1583</v>
      </c>
      <c r="E1231" s="11">
        <v>3459</v>
      </c>
      <c r="F1231" s="11">
        <v>3756</v>
      </c>
      <c r="G1231" s="11">
        <v>7215</v>
      </c>
      <c r="H1231" s="11">
        <v>2412</v>
      </c>
    </row>
    <row r="1232" spans="1:8" x14ac:dyDescent="0.2">
      <c r="A1232" s="10">
        <v>46</v>
      </c>
      <c r="B1232" s="10" t="s">
        <v>1535</v>
      </c>
      <c r="C1232" s="10">
        <v>4698</v>
      </c>
      <c r="D1232" s="10" t="s">
        <v>1584</v>
      </c>
      <c r="E1232" s="11">
        <v>4160</v>
      </c>
      <c r="F1232" s="11">
        <v>4170</v>
      </c>
      <c r="G1232" s="11">
        <v>8330</v>
      </c>
      <c r="H1232" s="11">
        <v>2626</v>
      </c>
    </row>
    <row r="1233" spans="1:8" x14ac:dyDescent="0.2">
      <c r="A1233" s="10">
        <v>46</v>
      </c>
      <c r="B1233" s="10" t="s">
        <v>1535</v>
      </c>
      <c r="C1233" s="10">
        <v>4699</v>
      </c>
      <c r="D1233" s="10" t="s">
        <v>1585</v>
      </c>
      <c r="E1233" s="11">
        <v>14694</v>
      </c>
      <c r="F1233" s="11">
        <v>16266</v>
      </c>
      <c r="G1233" s="11">
        <v>30960</v>
      </c>
      <c r="H1233" s="11">
        <v>16742</v>
      </c>
    </row>
    <row r="1234" spans="1:8" x14ac:dyDescent="0.2">
      <c r="A1234" s="10">
        <v>47</v>
      </c>
      <c r="B1234" s="10" t="s">
        <v>1586</v>
      </c>
      <c r="C1234" s="10">
        <v>4701</v>
      </c>
      <c r="D1234" s="10" t="s">
        <v>1587</v>
      </c>
      <c r="E1234" s="11">
        <v>56605</v>
      </c>
      <c r="F1234" s="11">
        <v>58341</v>
      </c>
      <c r="G1234" s="11">
        <v>114946</v>
      </c>
      <c r="H1234" s="11">
        <v>45179</v>
      </c>
    </row>
    <row r="1235" spans="1:8" x14ac:dyDescent="0.2">
      <c r="A1235" s="10">
        <v>47</v>
      </c>
      <c r="B1235" s="10" t="s">
        <v>1586</v>
      </c>
      <c r="C1235" s="10">
        <v>4702</v>
      </c>
      <c r="D1235" s="10" t="s">
        <v>1588</v>
      </c>
      <c r="E1235" s="11">
        <v>21714</v>
      </c>
      <c r="F1235" s="11">
        <v>21904</v>
      </c>
      <c r="G1235" s="11">
        <v>43618</v>
      </c>
      <c r="H1235" s="11">
        <v>14689</v>
      </c>
    </row>
    <row r="1236" spans="1:8" x14ac:dyDescent="0.2">
      <c r="A1236" s="10">
        <v>47</v>
      </c>
      <c r="B1236" s="10" t="s">
        <v>1586</v>
      </c>
      <c r="C1236" s="10">
        <v>4703</v>
      </c>
      <c r="D1236" s="10" t="s">
        <v>1589</v>
      </c>
      <c r="E1236" s="11">
        <v>13816</v>
      </c>
      <c r="F1236" s="11">
        <v>13576</v>
      </c>
      <c r="G1236" s="11">
        <v>27392</v>
      </c>
      <c r="H1236" s="11">
        <v>9629</v>
      </c>
    </row>
    <row r="1237" spans="1:8" x14ac:dyDescent="0.2">
      <c r="A1237" s="10">
        <v>47</v>
      </c>
      <c r="B1237" s="10" t="s">
        <v>1586</v>
      </c>
      <c r="C1237" s="10">
        <v>4704</v>
      </c>
      <c r="D1237" s="10" t="s">
        <v>1590</v>
      </c>
      <c r="E1237" s="11">
        <v>38210</v>
      </c>
      <c r="F1237" s="11">
        <v>38876</v>
      </c>
      <c r="G1237" s="11">
        <v>77086</v>
      </c>
      <c r="H1237" s="11">
        <v>28270</v>
      </c>
    </row>
    <row r="1238" spans="1:8" x14ac:dyDescent="0.2">
      <c r="A1238" s="10">
        <v>47</v>
      </c>
      <c r="B1238" s="10" t="s">
        <v>1586</v>
      </c>
      <c r="C1238" s="10">
        <v>4705</v>
      </c>
      <c r="D1238" s="10" t="s">
        <v>1591</v>
      </c>
      <c r="E1238" s="11">
        <v>22483</v>
      </c>
      <c r="F1238" s="11">
        <v>23170</v>
      </c>
      <c r="G1238" s="11">
        <v>45653</v>
      </c>
      <c r="H1238" s="11">
        <v>18386</v>
      </c>
    </row>
    <row r="1239" spans="1:8" x14ac:dyDescent="0.2">
      <c r="A1239" s="10">
        <v>47</v>
      </c>
      <c r="B1239" s="10" t="s">
        <v>1586</v>
      </c>
      <c r="C1239" s="10">
        <v>4706</v>
      </c>
      <c r="D1239" s="10" t="s">
        <v>1592</v>
      </c>
      <c r="E1239" s="11">
        <v>17538</v>
      </c>
      <c r="F1239" s="11">
        <v>18103</v>
      </c>
      <c r="G1239" s="11">
        <v>35641</v>
      </c>
      <c r="H1239" s="11">
        <v>12935</v>
      </c>
    </row>
    <row r="1240" spans="1:8" x14ac:dyDescent="0.2">
      <c r="A1240" s="10">
        <v>47</v>
      </c>
      <c r="B1240" s="10" t="s">
        <v>1586</v>
      </c>
      <c r="C1240" s="10">
        <v>4707</v>
      </c>
      <c r="D1240" s="10" t="s">
        <v>1593</v>
      </c>
      <c r="E1240" s="11">
        <v>7361</v>
      </c>
      <c r="F1240" s="11">
        <v>7365</v>
      </c>
      <c r="G1240" s="11">
        <v>14726</v>
      </c>
      <c r="H1240" s="11">
        <v>4786</v>
      </c>
    </row>
    <row r="1241" spans="1:8" x14ac:dyDescent="0.2">
      <c r="A1241" s="10">
        <v>47</v>
      </c>
      <c r="B1241" s="10" t="s">
        <v>1586</v>
      </c>
      <c r="C1241" s="10">
        <v>4708</v>
      </c>
      <c r="D1241" s="10" t="s">
        <v>1594</v>
      </c>
      <c r="E1241" s="11">
        <v>59827</v>
      </c>
      <c r="F1241" s="11">
        <v>60504</v>
      </c>
      <c r="G1241" s="11">
        <v>120331</v>
      </c>
      <c r="H1241" s="11">
        <v>36508</v>
      </c>
    </row>
    <row r="1242" spans="1:8" x14ac:dyDescent="0.2">
      <c r="A1242" s="10">
        <v>47</v>
      </c>
      <c r="B1242" s="10" t="s">
        <v>1586</v>
      </c>
      <c r="C1242" s="10">
        <v>4709</v>
      </c>
      <c r="D1242" s="10" t="s">
        <v>1595</v>
      </c>
      <c r="E1242" s="11">
        <v>16255</v>
      </c>
      <c r="F1242" s="11">
        <v>16485</v>
      </c>
      <c r="G1242" s="11">
        <v>32740</v>
      </c>
      <c r="H1242" s="11">
        <v>12145</v>
      </c>
    </row>
    <row r="1243" spans="1:8" x14ac:dyDescent="0.2">
      <c r="A1243" s="10">
        <v>47</v>
      </c>
      <c r="B1243" s="10" t="s">
        <v>1586</v>
      </c>
      <c r="C1243" s="10">
        <v>4710</v>
      </c>
      <c r="D1243" s="10" t="s">
        <v>1596</v>
      </c>
      <c r="E1243" s="11">
        <v>33664</v>
      </c>
      <c r="F1243" s="11">
        <v>33223</v>
      </c>
      <c r="G1243" s="11">
        <v>66887</v>
      </c>
      <c r="H1243" s="11">
        <v>21145</v>
      </c>
    </row>
    <row r="1244" spans="1:8" x14ac:dyDescent="0.2">
      <c r="A1244" s="10">
        <v>47</v>
      </c>
      <c r="B1244" s="10" t="s">
        <v>1586</v>
      </c>
      <c r="C1244" s="10">
        <v>4711</v>
      </c>
      <c r="D1244" s="10" t="s">
        <v>1597</v>
      </c>
      <c r="E1244" s="11">
        <v>27010</v>
      </c>
      <c r="F1244" s="11">
        <v>26846</v>
      </c>
      <c r="G1244" s="11">
        <v>53856</v>
      </c>
      <c r="H1244" s="11">
        <v>20277</v>
      </c>
    </row>
    <row r="1245" spans="1:8" x14ac:dyDescent="0.2">
      <c r="A1245" s="10">
        <v>47</v>
      </c>
      <c r="B1245" s="10" t="s">
        <v>1586</v>
      </c>
      <c r="C1245" s="10">
        <v>4712</v>
      </c>
      <c r="D1245" s="10" t="s">
        <v>1598</v>
      </c>
      <c r="E1245" s="11">
        <v>62920</v>
      </c>
      <c r="F1245" s="11">
        <v>63953</v>
      </c>
      <c r="G1245" s="11">
        <v>126873</v>
      </c>
      <c r="H1245" s="11">
        <v>39010</v>
      </c>
    </row>
    <row r="1246" spans="1:8" x14ac:dyDescent="0.2">
      <c r="A1246" s="10">
        <v>47</v>
      </c>
      <c r="B1246" s="10" t="s">
        <v>1586</v>
      </c>
      <c r="C1246" s="10">
        <v>4713</v>
      </c>
      <c r="D1246" s="10" t="s">
        <v>1599</v>
      </c>
      <c r="E1246" s="11">
        <v>14980</v>
      </c>
      <c r="F1246" s="11">
        <v>14580</v>
      </c>
      <c r="G1246" s="11">
        <v>29560</v>
      </c>
      <c r="H1246" s="11">
        <v>7993</v>
      </c>
    </row>
    <row r="1247" spans="1:8" x14ac:dyDescent="0.2">
      <c r="A1247" s="10">
        <v>47</v>
      </c>
      <c r="B1247" s="10" t="s">
        <v>1586</v>
      </c>
      <c r="C1247" s="10">
        <v>4714</v>
      </c>
      <c r="D1247" s="10" t="s">
        <v>1600</v>
      </c>
      <c r="E1247" s="11">
        <v>12045</v>
      </c>
      <c r="F1247" s="11">
        <v>11997</v>
      </c>
      <c r="G1247" s="11">
        <v>24042</v>
      </c>
      <c r="H1247" s="11">
        <v>9216</v>
      </c>
    </row>
    <row r="1248" spans="1:8" x14ac:dyDescent="0.2">
      <c r="A1248" s="10">
        <v>47</v>
      </c>
      <c r="B1248" s="10" t="s">
        <v>1586</v>
      </c>
      <c r="C1248" s="10">
        <v>4715</v>
      </c>
      <c r="D1248" s="10" t="s">
        <v>1601</v>
      </c>
      <c r="E1248" s="11">
        <v>10730</v>
      </c>
      <c r="F1248" s="11">
        <v>10882</v>
      </c>
      <c r="G1248" s="11">
        <v>21612</v>
      </c>
      <c r="H1248" s="11">
        <v>7997</v>
      </c>
    </row>
    <row r="1249" spans="1:8" x14ac:dyDescent="0.2">
      <c r="A1249" s="10">
        <v>47</v>
      </c>
      <c r="B1249" s="10" t="s">
        <v>1586</v>
      </c>
      <c r="C1249" s="10">
        <v>4716</v>
      </c>
      <c r="D1249" s="10" t="s">
        <v>1602</v>
      </c>
      <c r="E1249" s="11">
        <v>19173</v>
      </c>
      <c r="F1249" s="11">
        <v>19036</v>
      </c>
      <c r="G1249" s="11">
        <v>38209</v>
      </c>
      <c r="H1249" s="11">
        <v>11178</v>
      </c>
    </row>
    <row r="1250" spans="1:8" x14ac:dyDescent="0.2">
      <c r="A1250" s="10">
        <v>47</v>
      </c>
      <c r="B1250" s="10" t="s">
        <v>1586</v>
      </c>
      <c r="C1250" s="10">
        <v>4717</v>
      </c>
      <c r="D1250" s="10" t="s">
        <v>1603</v>
      </c>
      <c r="E1250" s="11">
        <v>18407</v>
      </c>
      <c r="F1250" s="11">
        <v>18398</v>
      </c>
      <c r="G1250" s="11">
        <v>36805</v>
      </c>
      <c r="H1250" s="11">
        <v>12397</v>
      </c>
    </row>
    <row r="1251" spans="1:8" x14ac:dyDescent="0.2">
      <c r="A1251" s="10">
        <v>47</v>
      </c>
      <c r="B1251" s="10" t="s">
        <v>1586</v>
      </c>
      <c r="C1251" s="10">
        <v>4718</v>
      </c>
      <c r="D1251" s="10" t="s">
        <v>1604</v>
      </c>
      <c r="E1251" s="11">
        <v>18012</v>
      </c>
      <c r="F1251" s="11">
        <v>17707</v>
      </c>
      <c r="G1251" s="11">
        <v>35719</v>
      </c>
      <c r="H1251" s="11">
        <v>11003</v>
      </c>
    </row>
    <row r="1252" spans="1:8" x14ac:dyDescent="0.2">
      <c r="A1252" s="10">
        <v>47</v>
      </c>
      <c r="B1252" s="10" t="s">
        <v>1586</v>
      </c>
      <c r="C1252" s="10">
        <v>4779</v>
      </c>
      <c r="D1252" s="10" t="s">
        <v>1605</v>
      </c>
      <c r="E1252" s="11">
        <v>6720</v>
      </c>
      <c r="F1252" s="11">
        <v>6914</v>
      </c>
      <c r="G1252" s="11">
        <v>13634</v>
      </c>
      <c r="H1252" s="11">
        <v>4320</v>
      </c>
    </row>
    <row r="1253" spans="1:8" x14ac:dyDescent="0.2">
      <c r="A1253" s="10">
        <v>47</v>
      </c>
      <c r="B1253" s="10" t="s">
        <v>1586</v>
      </c>
      <c r="C1253" s="10">
        <v>4780</v>
      </c>
      <c r="D1253" s="10" t="s">
        <v>1606</v>
      </c>
      <c r="E1253" s="11">
        <v>6224</v>
      </c>
      <c r="F1253" s="11">
        <v>6419</v>
      </c>
      <c r="G1253" s="11">
        <v>12643</v>
      </c>
      <c r="H1253" s="11">
        <v>6006</v>
      </c>
    </row>
    <row r="1254" spans="1:8" x14ac:dyDescent="0.2">
      <c r="A1254" s="10">
        <v>47</v>
      </c>
      <c r="B1254" s="10" t="s">
        <v>1586</v>
      </c>
      <c r="C1254" s="10">
        <v>4781</v>
      </c>
      <c r="D1254" s="10" t="s">
        <v>1607</v>
      </c>
      <c r="E1254" s="11">
        <v>5090</v>
      </c>
      <c r="F1254" s="11">
        <v>5031</v>
      </c>
      <c r="G1254" s="11">
        <v>10121</v>
      </c>
      <c r="H1254" s="11">
        <v>3151</v>
      </c>
    </row>
    <row r="1255" spans="1:8" x14ac:dyDescent="0.2">
      <c r="A1255" s="10">
        <v>47</v>
      </c>
      <c r="B1255" s="10" t="s">
        <v>1586</v>
      </c>
      <c r="C1255" s="10">
        <v>4782</v>
      </c>
      <c r="D1255" s="10" t="s">
        <v>1608</v>
      </c>
      <c r="E1255" s="11">
        <v>4457</v>
      </c>
      <c r="F1255" s="11">
        <v>4512</v>
      </c>
      <c r="G1255" s="11">
        <v>8969</v>
      </c>
      <c r="H1255" s="11">
        <v>2531</v>
      </c>
    </row>
    <row r="1256" spans="1:8" x14ac:dyDescent="0.2">
      <c r="A1256" s="10">
        <v>47</v>
      </c>
      <c r="B1256" s="10" t="s">
        <v>1586</v>
      </c>
      <c r="C1256" s="10">
        <v>4783</v>
      </c>
      <c r="D1256" s="10" t="s">
        <v>1609</v>
      </c>
      <c r="E1256" s="11">
        <v>7893</v>
      </c>
      <c r="F1256" s="11">
        <v>8157</v>
      </c>
      <c r="G1256" s="11">
        <v>16050</v>
      </c>
      <c r="H1256" s="11">
        <v>6418</v>
      </c>
    </row>
    <row r="1257" spans="1:8" x14ac:dyDescent="0.2">
      <c r="A1257" s="10">
        <v>47</v>
      </c>
      <c r="B1257" s="10" t="s">
        <v>1586</v>
      </c>
      <c r="C1257" s="10">
        <v>4784</v>
      </c>
      <c r="D1257" s="10" t="s">
        <v>1610</v>
      </c>
      <c r="E1257" s="11">
        <v>3275</v>
      </c>
      <c r="F1257" s="11">
        <v>3433</v>
      </c>
      <c r="G1257" s="11">
        <v>6708</v>
      </c>
      <c r="H1257" s="11">
        <v>2427</v>
      </c>
    </row>
    <row r="1258" spans="1:8" x14ac:dyDescent="0.2">
      <c r="A1258" s="10">
        <v>47</v>
      </c>
      <c r="B1258" s="10" t="s">
        <v>1586</v>
      </c>
      <c r="C1258" s="10">
        <v>4785</v>
      </c>
      <c r="D1258" s="10" t="s">
        <v>1611</v>
      </c>
      <c r="E1258" s="11">
        <v>2431</v>
      </c>
      <c r="F1258" s="11">
        <v>2443</v>
      </c>
      <c r="G1258" s="11">
        <v>4874</v>
      </c>
      <c r="H1258" s="11">
        <v>1702</v>
      </c>
    </row>
    <row r="1259" spans="1:8" x14ac:dyDescent="0.2">
      <c r="A1259" s="10">
        <v>47</v>
      </c>
      <c r="B1259" s="10" t="s">
        <v>1586</v>
      </c>
      <c r="C1259" s="10">
        <v>4786</v>
      </c>
      <c r="D1259" s="10" t="s">
        <v>1612</v>
      </c>
      <c r="E1259" s="11">
        <v>3819</v>
      </c>
      <c r="F1259" s="11">
        <v>4177</v>
      </c>
      <c r="G1259" s="11">
        <v>7996</v>
      </c>
      <c r="H1259" s="11">
        <v>5077</v>
      </c>
    </row>
    <row r="1260" spans="1:8" x14ac:dyDescent="0.2">
      <c r="A1260" s="10">
        <v>47</v>
      </c>
      <c r="B1260" s="10" t="s">
        <v>1586</v>
      </c>
      <c r="C1260" s="10">
        <v>4787</v>
      </c>
      <c r="D1260" s="10" t="s">
        <v>1613</v>
      </c>
      <c r="E1260" s="11">
        <v>2006</v>
      </c>
      <c r="F1260" s="11">
        <v>2074</v>
      </c>
      <c r="G1260" s="11">
        <v>4080</v>
      </c>
      <c r="H1260" s="11">
        <v>1339</v>
      </c>
    </row>
    <row r="1261" spans="1:8" x14ac:dyDescent="0.2">
      <c r="A1261" s="10">
        <v>47</v>
      </c>
      <c r="B1261" s="10" t="s">
        <v>1586</v>
      </c>
      <c r="C1261" s="10">
        <v>4788</v>
      </c>
      <c r="D1261" s="10" t="s">
        <v>1614</v>
      </c>
      <c r="E1261" s="11">
        <v>4260</v>
      </c>
      <c r="F1261" s="11">
        <v>4488</v>
      </c>
      <c r="G1261" s="11">
        <v>8748</v>
      </c>
      <c r="H1261" s="11">
        <v>3147</v>
      </c>
    </row>
    <row r="1262" spans="1:8" x14ac:dyDescent="0.2">
      <c r="A1262" s="10">
        <v>47</v>
      </c>
      <c r="B1262" s="10" t="s">
        <v>1586</v>
      </c>
      <c r="C1262" s="10">
        <v>4789</v>
      </c>
      <c r="D1262" s="10" t="s">
        <v>1615</v>
      </c>
      <c r="E1262" s="11">
        <v>1671</v>
      </c>
      <c r="F1262" s="11">
        <v>1815</v>
      </c>
      <c r="G1262" s="11">
        <v>3486</v>
      </c>
      <c r="H1262" s="11">
        <v>1573</v>
      </c>
    </row>
    <row r="1263" spans="1:8" x14ac:dyDescent="0.2">
      <c r="A1263" s="10">
        <v>47</v>
      </c>
      <c r="B1263" s="10" t="s">
        <v>1586</v>
      </c>
      <c r="C1263" s="10">
        <v>4790</v>
      </c>
      <c r="D1263" s="10" t="s">
        <v>1616</v>
      </c>
      <c r="E1263" s="11">
        <v>3459</v>
      </c>
      <c r="F1263" s="11">
        <v>3572</v>
      </c>
      <c r="G1263" s="11">
        <v>7031</v>
      </c>
      <c r="H1263" s="11">
        <v>2406</v>
      </c>
    </row>
    <row r="1264" spans="1:8" x14ac:dyDescent="0.2">
      <c r="A1264" s="10">
        <v>47</v>
      </c>
      <c r="B1264" s="10" t="s">
        <v>1586</v>
      </c>
      <c r="C1264" s="10">
        <v>4791</v>
      </c>
      <c r="D1264" s="10" t="s">
        <v>1617</v>
      </c>
      <c r="E1264" s="11">
        <v>2611</v>
      </c>
      <c r="F1264" s="11">
        <v>2887</v>
      </c>
      <c r="G1264" s="11">
        <v>5498</v>
      </c>
      <c r="H1264" s="11">
        <v>2421</v>
      </c>
    </row>
    <row r="1265" spans="1:8" x14ac:dyDescent="0.2">
      <c r="A1265" s="10">
        <v>47</v>
      </c>
      <c r="B1265" s="10" t="s">
        <v>1586</v>
      </c>
      <c r="C1265" s="10">
        <v>4792</v>
      </c>
      <c r="D1265" s="10" t="s">
        <v>1618</v>
      </c>
      <c r="E1265" s="11">
        <v>1286</v>
      </c>
      <c r="F1265" s="11">
        <v>1339</v>
      </c>
      <c r="G1265" s="11">
        <v>2625</v>
      </c>
      <c r="H1265" s="11">
        <v>1416</v>
      </c>
    </row>
    <row r="1266" spans="1:8" x14ac:dyDescent="0.2">
      <c r="A1266" s="10">
        <v>47</v>
      </c>
      <c r="B1266" s="10" t="s">
        <v>1586</v>
      </c>
      <c r="C1266" s="10">
        <v>4793</v>
      </c>
      <c r="D1266" s="10" t="s">
        <v>1619</v>
      </c>
      <c r="E1266" s="11">
        <v>3087</v>
      </c>
      <c r="F1266" s="11">
        <v>3240</v>
      </c>
      <c r="G1266" s="11">
        <v>6327</v>
      </c>
      <c r="H1266" s="11">
        <v>4187</v>
      </c>
    </row>
    <row r="1267" spans="1:8" x14ac:dyDescent="0.2">
      <c r="A1267" s="10">
        <v>47</v>
      </c>
      <c r="B1267" s="10" t="s">
        <v>1586</v>
      </c>
      <c r="C1267" s="10">
        <v>4794</v>
      </c>
      <c r="D1267" s="10" t="s">
        <v>1620</v>
      </c>
      <c r="E1267" s="11">
        <v>1117</v>
      </c>
      <c r="F1267" s="11">
        <v>1256</v>
      </c>
      <c r="G1267" s="11">
        <v>2373</v>
      </c>
      <c r="H1267" s="11">
        <v>1499</v>
      </c>
    </row>
    <row r="1268" spans="1:8" x14ac:dyDescent="0.2">
      <c r="A1268" s="10">
        <v>47</v>
      </c>
      <c r="B1268" s="10" t="s">
        <v>1586</v>
      </c>
      <c r="C1268" s="10">
        <v>4795</v>
      </c>
      <c r="D1268" s="10" t="s">
        <v>1621</v>
      </c>
      <c r="E1268" s="11">
        <v>2465</v>
      </c>
      <c r="F1268" s="11">
        <v>2589</v>
      </c>
      <c r="G1268" s="11">
        <v>5054</v>
      </c>
      <c r="H1268" s="11">
        <v>1995</v>
      </c>
    </row>
    <row r="1269" spans="1:8" x14ac:dyDescent="0.2">
      <c r="A1269" s="10">
        <v>47</v>
      </c>
      <c r="B1269" s="10" t="s">
        <v>1586</v>
      </c>
      <c r="C1269" s="10">
        <v>4796</v>
      </c>
      <c r="D1269" s="10" t="s">
        <v>1622</v>
      </c>
      <c r="E1269" s="11">
        <v>1921</v>
      </c>
      <c r="F1269" s="11">
        <v>2062</v>
      </c>
      <c r="G1269" s="11">
        <v>3983</v>
      </c>
      <c r="H1269" s="11">
        <v>1791</v>
      </c>
    </row>
    <row r="1270" spans="1:8" x14ac:dyDescent="0.2">
      <c r="A1270" s="10">
        <v>47</v>
      </c>
      <c r="B1270" s="10" t="s">
        <v>1586</v>
      </c>
      <c r="C1270" s="10">
        <v>4797</v>
      </c>
      <c r="D1270" s="10" t="s">
        <v>1623</v>
      </c>
      <c r="E1270" s="11">
        <v>3039</v>
      </c>
      <c r="F1270" s="11">
        <v>3321</v>
      </c>
      <c r="G1270" s="11">
        <v>6360</v>
      </c>
      <c r="H1270" s="11">
        <v>2368</v>
      </c>
    </row>
    <row r="1271" spans="1:8" x14ac:dyDescent="0.2">
      <c r="A1271" s="10">
        <v>47</v>
      </c>
      <c r="B1271" s="10" t="s">
        <v>1586</v>
      </c>
      <c r="C1271" s="10">
        <v>4798</v>
      </c>
      <c r="D1271" s="10" t="s">
        <v>1624</v>
      </c>
      <c r="E1271" s="11">
        <v>2714</v>
      </c>
      <c r="F1271" s="11">
        <v>3050</v>
      </c>
      <c r="G1271" s="11">
        <v>5764</v>
      </c>
      <c r="H1271" s="11">
        <v>2344</v>
      </c>
    </row>
    <row r="1272" spans="1:8" x14ac:dyDescent="0.2">
      <c r="A1272" s="10">
        <v>47</v>
      </c>
      <c r="B1272" s="10" t="s">
        <v>1586</v>
      </c>
      <c r="C1272" s="10">
        <v>4799</v>
      </c>
      <c r="D1272" s="10" t="s">
        <v>1625</v>
      </c>
      <c r="E1272" s="11">
        <v>23910</v>
      </c>
      <c r="F1272" s="11">
        <v>25842</v>
      </c>
      <c r="G1272" s="11">
        <v>49752</v>
      </c>
      <c r="H1272" s="11">
        <v>30255</v>
      </c>
    </row>
    <row r="1273" spans="1:8" x14ac:dyDescent="0.2">
      <c r="A1273" s="10">
        <v>48</v>
      </c>
      <c r="B1273" s="10" t="s">
        <v>1626</v>
      </c>
      <c r="C1273" s="10">
        <v>4801</v>
      </c>
      <c r="D1273" s="10" t="s">
        <v>1627</v>
      </c>
      <c r="E1273" s="11">
        <v>58238</v>
      </c>
      <c r="F1273" s="11">
        <v>58085</v>
      </c>
      <c r="G1273" s="11">
        <v>116323</v>
      </c>
      <c r="H1273" s="11">
        <v>38292</v>
      </c>
    </row>
    <row r="1274" spans="1:8" x14ac:dyDescent="0.2">
      <c r="A1274" s="10">
        <v>48</v>
      </c>
      <c r="B1274" s="10" t="s">
        <v>1626</v>
      </c>
      <c r="C1274" s="10">
        <v>4802</v>
      </c>
      <c r="D1274" s="10" t="s">
        <v>1628</v>
      </c>
      <c r="E1274" s="11">
        <v>25314</v>
      </c>
      <c r="F1274" s="11">
        <v>24974</v>
      </c>
      <c r="G1274" s="11">
        <v>50288</v>
      </c>
      <c r="H1274" s="11">
        <v>16998</v>
      </c>
    </row>
    <row r="1275" spans="1:8" x14ac:dyDescent="0.2">
      <c r="A1275" s="10">
        <v>48</v>
      </c>
      <c r="B1275" s="10" t="s">
        <v>1626</v>
      </c>
      <c r="C1275" s="10">
        <v>4803</v>
      </c>
      <c r="D1275" s="10" t="s">
        <v>1629</v>
      </c>
      <c r="E1275" s="11">
        <v>27372</v>
      </c>
      <c r="F1275" s="11">
        <v>27076</v>
      </c>
      <c r="G1275" s="11">
        <v>54448</v>
      </c>
      <c r="H1275" s="11">
        <v>16593</v>
      </c>
    </row>
    <row r="1276" spans="1:8" x14ac:dyDescent="0.2">
      <c r="A1276" s="10">
        <v>48</v>
      </c>
      <c r="B1276" s="10" t="s">
        <v>1626</v>
      </c>
      <c r="C1276" s="10">
        <v>4804</v>
      </c>
      <c r="D1276" s="10" t="s">
        <v>1630</v>
      </c>
      <c r="E1276" s="11">
        <v>13259</v>
      </c>
      <c r="F1276" s="11">
        <v>13154</v>
      </c>
      <c r="G1276" s="11">
        <v>26413</v>
      </c>
      <c r="H1276" s="11">
        <v>8719</v>
      </c>
    </row>
    <row r="1277" spans="1:8" x14ac:dyDescent="0.2">
      <c r="A1277" s="10">
        <v>48</v>
      </c>
      <c r="B1277" s="10" t="s">
        <v>1626</v>
      </c>
      <c r="C1277" s="10">
        <v>4805</v>
      </c>
      <c r="D1277" s="10" t="s">
        <v>1631</v>
      </c>
      <c r="E1277" s="11">
        <v>35289</v>
      </c>
      <c r="F1277" s="11">
        <v>35882</v>
      </c>
      <c r="G1277" s="11">
        <v>71171</v>
      </c>
      <c r="H1277" s="11">
        <v>23042</v>
      </c>
    </row>
    <row r="1278" spans="1:8" x14ac:dyDescent="0.2">
      <c r="A1278" s="10">
        <v>48</v>
      </c>
      <c r="B1278" s="10" t="s">
        <v>1626</v>
      </c>
      <c r="C1278" s="10">
        <v>4806</v>
      </c>
      <c r="D1278" s="10" t="s">
        <v>1632</v>
      </c>
      <c r="E1278" s="11">
        <v>20526</v>
      </c>
      <c r="F1278" s="11">
        <v>20541</v>
      </c>
      <c r="G1278" s="11">
        <v>41067</v>
      </c>
      <c r="H1278" s="11">
        <v>13624</v>
      </c>
    </row>
    <row r="1279" spans="1:8" x14ac:dyDescent="0.2">
      <c r="A1279" s="10">
        <v>48</v>
      </c>
      <c r="B1279" s="10" t="s">
        <v>1626</v>
      </c>
      <c r="C1279" s="10">
        <v>4807</v>
      </c>
      <c r="D1279" s="10" t="s">
        <v>1633</v>
      </c>
      <c r="E1279" s="11">
        <v>35610</v>
      </c>
      <c r="F1279" s="11">
        <v>36127</v>
      </c>
      <c r="G1279" s="11">
        <v>71737</v>
      </c>
      <c r="H1279" s="11">
        <v>22679</v>
      </c>
    </row>
    <row r="1280" spans="1:8" x14ac:dyDescent="0.2">
      <c r="A1280" s="10">
        <v>48</v>
      </c>
      <c r="B1280" s="10" t="s">
        <v>1626</v>
      </c>
      <c r="C1280" s="10">
        <v>4808</v>
      </c>
      <c r="D1280" s="10" t="s">
        <v>1634</v>
      </c>
      <c r="E1280" s="11">
        <v>31907</v>
      </c>
      <c r="F1280" s="11">
        <v>32302</v>
      </c>
      <c r="G1280" s="11">
        <v>64209</v>
      </c>
      <c r="H1280" s="11">
        <v>20234</v>
      </c>
    </row>
    <row r="1281" spans="1:8" x14ac:dyDescent="0.2">
      <c r="A1281" s="10">
        <v>48</v>
      </c>
      <c r="B1281" s="10" t="s">
        <v>1626</v>
      </c>
      <c r="C1281" s="10">
        <v>4809</v>
      </c>
      <c r="D1281" s="10" t="s">
        <v>1635</v>
      </c>
      <c r="E1281" s="11">
        <v>19847</v>
      </c>
      <c r="F1281" s="11">
        <v>19810</v>
      </c>
      <c r="G1281" s="11">
        <v>39657</v>
      </c>
      <c r="H1281" s="11">
        <v>14034</v>
      </c>
    </row>
    <row r="1282" spans="1:8" x14ac:dyDescent="0.2">
      <c r="A1282" s="10">
        <v>48</v>
      </c>
      <c r="B1282" s="10" t="s">
        <v>1626</v>
      </c>
      <c r="C1282" s="10">
        <v>4810</v>
      </c>
      <c r="D1282" s="10" t="s">
        <v>1636</v>
      </c>
      <c r="E1282" s="11">
        <v>26255</v>
      </c>
      <c r="F1282" s="11">
        <v>26346</v>
      </c>
      <c r="G1282" s="11">
        <v>52601</v>
      </c>
      <c r="H1282" s="11">
        <v>17720</v>
      </c>
    </row>
    <row r="1283" spans="1:8" x14ac:dyDescent="0.2">
      <c r="A1283" s="10">
        <v>48</v>
      </c>
      <c r="B1283" s="10" t="s">
        <v>1626</v>
      </c>
      <c r="C1283" s="10">
        <v>4811</v>
      </c>
      <c r="D1283" s="10" t="s">
        <v>1637</v>
      </c>
      <c r="E1283" s="11">
        <v>11815</v>
      </c>
      <c r="F1283" s="11">
        <v>11793</v>
      </c>
      <c r="G1283" s="11">
        <v>23608</v>
      </c>
      <c r="H1283" s="11">
        <v>7983</v>
      </c>
    </row>
    <row r="1284" spans="1:8" x14ac:dyDescent="0.2">
      <c r="A1284" s="10">
        <v>48</v>
      </c>
      <c r="B1284" s="10" t="s">
        <v>1626</v>
      </c>
      <c r="C1284" s="10">
        <v>4812</v>
      </c>
      <c r="D1284" s="10" t="s">
        <v>1638</v>
      </c>
      <c r="E1284" s="11">
        <v>7932</v>
      </c>
      <c r="F1284" s="11">
        <v>7732</v>
      </c>
      <c r="G1284" s="11">
        <v>15664</v>
      </c>
      <c r="H1284" s="11">
        <v>5021</v>
      </c>
    </row>
    <row r="1285" spans="1:8" x14ac:dyDescent="0.2">
      <c r="A1285" s="10">
        <v>48</v>
      </c>
      <c r="B1285" s="10" t="s">
        <v>1626</v>
      </c>
      <c r="C1285" s="10">
        <v>4890</v>
      </c>
      <c r="D1285" s="10" t="s">
        <v>1639</v>
      </c>
      <c r="E1285" s="11">
        <v>1871</v>
      </c>
      <c r="F1285" s="11">
        <v>2000</v>
      </c>
      <c r="G1285" s="11">
        <v>3871</v>
      </c>
      <c r="H1285" s="11">
        <v>1674</v>
      </c>
    </row>
    <row r="1286" spans="1:8" x14ac:dyDescent="0.2">
      <c r="A1286" s="10">
        <v>48</v>
      </c>
      <c r="B1286" s="10" t="s">
        <v>1626</v>
      </c>
      <c r="C1286" s="10">
        <v>4891</v>
      </c>
      <c r="D1286" s="10" t="s">
        <v>1640</v>
      </c>
      <c r="E1286" s="11">
        <v>2631</v>
      </c>
      <c r="F1286" s="11">
        <v>2674</v>
      </c>
      <c r="G1286" s="11">
        <v>5305</v>
      </c>
      <c r="H1286" s="11">
        <v>1945</v>
      </c>
    </row>
    <row r="1287" spans="1:8" x14ac:dyDescent="0.2">
      <c r="A1287" s="10">
        <v>48</v>
      </c>
      <c r="B1287" s="10" t="s">
        <v>1626</v>
      </c>
      <c r="C1287" s="10">
        <v>4892</v>
      </c>
      <c r="D1287" s="10" t="s">
        <v>1641</v>
      </c>
      <c r="E1287" s="11">
        <v>5915</v>
      </c>
      <c r="F1287" s="11">
        <v>6101</v>
      </c>
      <c r="G1287" s="11">
        <v>12016</v>
      </c>
      <c r="H1287" s="11">
        <v>4452</v>
      </c>
    </row>
    <row r="1288" spans="1:8" x14ac:dyDescent="0.2">
      <c r="A1288" s="10">
        <v>48</v>
      </c>
      <c r="B1288" s="10" t="s">
        <v>1626</v>
      </c>
      <c r="C1288" s="10">
        <v>4893</v>
      </c>
      <c r="D1288" s="10" t="s">
        <v>1642</v>
      </c>
      <c r="E1288" s="11">
        <v>2403</v>
      </c>
      <c r="F1288" s="11">
        <v>2513</v>
      </c>
      <c r="G1288" s="11">
        <v>4916</v>
      </c>
      <c r="H1288" s="11">
        <v>2713</v>
      </c>
    </row>
    <row r="1289" spans="1:8" x14ac:dyDescent="0.2">
      <c r="A1289" s="10">
        <v>48</v>
      </c>
      <c r="B1289" s="10" t="s">
        <v>1626</v>
      </c>
      <c r="C1289" s="10">
        <v>4894</v>
      </c>
      <c r="D1289" s="10" t="s">
        <v>1643</v>
      </c>
      <c r="E1289" s="11">
        <v>1959</v>
      </c>
      <c r="F1289" s="11">
        <v>2195</v>
      </c>
      <c r="G1289" s="11">
        <v>4154</v>
      </c>
      <c r="H1289" s="11">
        <v>2396</v>
      </c>
    </row>
    <row r="1290" spans="1:8" x14ac:dyDescent="0.2">
      <c r="A1290" s="10">
        <v>48</v>
      </c>
      <c r="B1290" s="10" t="s">
        <v>1626</v>
      </c>
      <c r="C1290" s="10">
        <v>4895</v>
      </c>
      <c r="D1290" s="10" t="s">
        <v>1644</v>
      </c>
      <c r="E1290" s="11">
        <v>2031</v>
      </c>
      <c r="F1290" s="11">
        <v>2280</v>
      </c>
      <c r="G1290" s="11">
        <v>4311</v>
      </c>
      <c r="H1290" s="11">
        <v>1753</v>
      </c>
    </row>
    <row r="1291" spans="1:8" x14ac:dyDescent="0.2">
      <c r="A1291" s="10">
        <v>48</v>
      </c>
      <c r="B1291" s="10" t="s">
        <v>1626</v>
      </c>
      <c r="C1291" s="10">
        <v>4896</v>
      </c>
      <c r="D1291" s="10" t="s">
        <v>1645</v>
      </c>
      <c r="E1291" s="11">
        <v>4675</v>
      </c>
      <c r="F1291" s="11">
        <v>4961</v>
      </c>
      <c r="G1291" s="11">
        <v>9636</v>
      </c>
      <c r="H1291" s="11">
        <v>4236</v>
      </c>
    </row>
    <row r="1292" spans="1:8" x14ac:dyDescent="0.2">
      <c r="A1292" s="10">
        <v>48</v>
      </c>
      <c r="B1292" s="10" t="s">
        <v>1626</v>
      </c>
      <c r="C1292" s="10">
        <v>4897</v>
      </c>
      <c r="D1292" s="10" t="s">
        <v>1646</v>
      </c>
      <c r="E1292" s="11">
        <v>4232</v>
      </c>
      <c r="F1292" s="11">
        <v>4379</v>
      </c>
      <c r="G1292" s="11">
        <v>8611</v>
      </c>
      <c r="H1292" s="11">
        <v>3866</v>
      </c>
    </row>
    <row r="1293" spans="1:8" x14ac:dyDescent="0.2">
      <c r="A1293" s="10">
        <v>48</v>
      </c>
      <c r="B1293" s="10" t="s">
        <v>1626</v>
      </c>
      <c r="C1293" s="10">
        <v>4898</v>
      </c>
      <c r="D1293" s="10" t="s">
        <v>1647</v>
      </c>
      <c r="E1293" s="11">
        <v>2278</v>
      </c>
      <c r="F1293" s="11">
        <v>2409</v>
      </c>
      <c r="G1293" s="11">
        <v>4687</v>
      </c>
      <c r="H1293" s="11">
        <v>2057</v>
      </c>
    </row>
    <row r="1294" spans="1:8" x14ac:dyDescent="0.2">
      <c r="A1294" s="10">
        <v>48</v>
      </c>
      <c r="B1294" s="10" t="s">
        <v>1626</v>
      </c>
      <c r="C1294" s="10">
        <v>4899</v>
      </c>
      <c r="D1294" s="10" t="s">
        <v>1648</v>
      </c>
      <c r="E1294" s="11">
        <v>12172</v>
      </c>
      <c r="F1294" s="11">
        <v>13875</v>
      </c>
      <c r="G1294" s="11">
        <v>26047</v>
      </c>
      <c r="H1294" s="11">
        <v>16152</v>
      </c>
    </row>
    <row r="1295" spans="1:8" x14ac:dyDescent="0.2">
      <c r="A1295" s="10">
        <v>49</v>
      </c>
      <c r="B1295" s="10" t="s">
        <v>1649</v>
      </c>
      <c r="C1295" s="10">
        <v>4901</v>
      </c>
      <c r="D1295" s="10" t="s">
        <v>1650</v>
      </c>
      <c r="E1295" s="11">
        <v>40311</v>
      </c>
      <c r="F1295" s="11">
        <v>39830</v>
      </c>
      <c r="G1295" s="11">
        <v>80141</v>
      </c>
      <c r="H1295" s="11">
        <v>28489</v>
      </c>
    </row>
    <row r="1296" spans="1:8" x14ac:dyDescent="0.2">
      <c r="A1296" s="10">
        <v>49</v>
      </c>
      <c r="B1296" s="10" t="s">
        <v>1649</v>
      </c>
      <c r="C1296" s="10">
        <v>4902</v>
      </c>
      <c r="D1296" s="10" t="s">
        <v>1651</v>
      </c>
      <c r="E1296" s="11">
        <v>16930</v>
      </c>
      <c r="F1296" s="11">
        <v>17041</v>
      </c>
      <c r="G1296" s="11">
        <v>33971</v>
      </c>
      <c r="H1296" s="11">
        <v>10666</v>
      </c>
    </row>
    <row r="1297" spans="1:8" x14ac:dyDescent="0.2">
      <c r="A1297" s="10">
        <v>49</v>
      </c>
      <c r="B1297" s="10" t="s">
        <v>1649</v>
      </c>
      <c r="C1297" s="10">
        <v>4903</v>
      </c>
      <c r="D1297" s="10" t="s">
        <v>1652</v>
      </c>
      <c r="E1297" s="11">
        <v>19484</v>
      </c>
      <c r="F1297" s="11">
        <v>19276</v>
      </c>
      <c r="G1297" s="11">
        <v>38760</v>
      </c>
      <c r="H1297" s="11">
        <v>12387</v>
      </c>
    </row>
    <row r="1298" spans="1:8" x14ac:dyDescent="0.2">
      <c r="A1298" s="10">
        <v>49</v>
      </c>
      <c r="B1298" s="10" t="s">
        <v>1649</v>
      </c>
      <c r="C1298" s="10">
        <v>4904</v>
      </c>
      <c r="D1298" s="10" t="s">
        <v>1653</v>
      </c>
      <c r="E1298" s="11">
        <v>19725</v>
      </c>
      <c r="F1298" s="11">
        <v>19361</v>
      </c>
      <c r="G1298" s="11">
        <v>39086</v>
      </c>
      <c r="H1298" s="11">
        <v>12797</v>
      </c>
    </row>
    <row r="1299" spans="1:8" x14ac:dyDescent="0.2">
      <c r="A1299" s="10">
        <v>49</v>
      </c>
      <c r="B1299" s="10" t="s">
        <v>1649</v>
      </c>
      <c r="C1299" s="10">
        <v>4905</v>
      </c>
      <c r="D1299" s="10" t="s">
        <v>1654</v>
      </c>
      <c r="E1299" s="11">
        <v>21920</v>
      </c>
      <c r="F1299" s="11">
        <v>21985</v>
      </c>
      <c r="G1299" s="11">
        <v>43905</v>
      </c>
      <c r="H1299" s="11">
        <v>15234</v>
      </c>
    </row>
    <row r="1300" spans="1:8" x14ac:dyDescent="0.2">
      <c r="A1300" s="10">
        <v>49</v>
      </c>
      <c r="B1300" s="10" t="s">
        <v>1649</v>
      </c>
      <c r="C1300" s="10">
        <v>4906</v>
      </c>
      <c r="D1300" s="10" t="s">
        <v>1655</v>
      </c>
      <c r="E1300" s="11">
        <v>10068</v>
      </c>
      <c r="F1300" s="11">
        <v>10146</v>
      </c>
      <c r="G1300" s="11">
        <v>20214</v>
      </c>
      <c r="H1300" s="11">
        <v>6806</v>
      </c>
    </row>
    <row r="1301" spans="1:8" x14ac:dyDescent="0.2">
      <c r="A1301" s="10">
        <v>49</v>
      </c>
      <c r="B1301" s="10" t="s">
        <v>1649</v>
      </c>
      <c r="C1301" s="10">
        <v>4907</v>
      </c>
      <c r="D1301" s="10" t="s">
        <v>1656</v>
      </c>
      <c r="E1301" s="11">
        <v>10214</v>
      </c>
      <c r="F1301" s="11">
        <v>10290</v>
      </c>
      <c r="G1301" s="11">
        <v>20504</v>
      </c>
      <c r="H1301" s="11">
        <v>7795</v>
      </c>
    </row>
    <row r="1302" spans="1:8" x14ac:dyDescent="0.2">
      <c r="A1302" s="10">
        <v>49</v>
      </c>
      <c r="B1302" s="10" t="s">
        <v>1649</v>
      </c>
      <c r="C1302" s="10">
        <v>4989</v>
      </c>
      <c r="D1302" s="10" t="s">
        <v>1657</v>
      </c>
      <c r="E1302" s="11">
        <v>1699</v>
      </c>
      <c r="F1302" s="11">
        <v>1622</v>
      </c>
      <c r="G1302" s="11">
        <v>3321</v>
      </c>
      <c r="H1302" s="11">
        <v>1114</v>
      </c>
    </row>
    <row r="1303" spans="1:8" x14ac:dyDescent="0.2">
      <c r="A1303" s="10">
        <v>49</v>
      </c>
      <c r="B1303" s="10" t="s">
        <v>1649</v>
      </c>
      <c r="C1303" s="10">
        <v>4993</v>
      </c>
      <c r="D1303" s="10" t="s">
        <v>1658</v>
      </c>
      <c r="E1303" s="11">
        <v>1530</v>
      </c>
      <c r="F1303" s="11">
        <v>1553</v>
      </c>
      <c r="G1303" s="11">
        <v>3083</v>
      </c>
      <c r="H1303" s="11">
        <v>1041</v>
      </c>
    </row>
    <row r="1304" spans="1:8" x14ac:dyDescent="0.2">
      <c r="A1304" s="10">
        <v>49</v>
      </c>
      <c r="B1304" s="10" t="s">
        <v>1649</v>
      </c>
      <c r="C1304" s="10">
        <v>4994</v>
      </c>
      <c r="D1304" s="10" t="s">
        <v>1659</v>
      </c>
      <c r="E1304" s="11">
        <v>6547</v>
      </c>
      <c r="F1304" s="11">
        <v>6449</v>
      </c>
      <c r="G1304" s="11">
        <v>12996</v>
      </c>
      <c r="H1304" s="11">
        <v>5108</v>
      </c>
    </row>
    <row r="1305" spans="1:8" x14ac:dyDescent="0.2">
      <c r="A1305" s="10">
        <v>49</v>
      </c>
      <c r="B1305" s="10" t="s">
        <v>1649</v>
      </c>
      <c r="C1305" s="10">
        <v>4995</v>
      </c>
      <c r="D1305" s="10" t="s">
        <v>1660</v>
      </c>
      <c r="E1305" s="11">
        <v>5488</v>
      </c>
      <c r="F1305" s="11">
        <v>5273</v>
      </c>
      <c r="G1305" s="11">
        <v>10761</v>
      </c>
      <c r="H1305" s="11">
        <v>3202</v>
      </c>
    </row>
    <row r="1306" spans="1:8" x14ac:dyDescent="0.2">
      <c r="A1306" s="10">
        <v>49</v>
      </c>
      <c r="B1306" s="10" t="s">
        <v>1649</v>
      </c>
      <c r="C1306" s="10">
        <v>4996</v>
      </c>
      <c r="D1306" s="10" t="s">
        <v>1661</v>
      </c>
      <c r="E1306" s="11">
        <v>1131</v>
      </c>
      <c r="F1306" s="11">
        <v>1146</v>
      </c>
      <c r="G1306" s="11">
        <v>2277</v>
      </c>
      <c r="H1306" s="11">
        <v>1156</v>
      </c>
    </row>
    <row r="1307" spans="1:8" x14ac:dyDescent="0.2">
      <c r="A1307" s="10">
        <v>49</v>
      </c>
      <c r="B1307" s="10" t="s">
        <v>1649</v>
      </c>
      <c r="C1307" s="10">
        <v>4997</v>
      </c>
      <c r="D1307" s="10" t="s">
        <v>1662</v>
      </c>
      <c r="E1307" s="11">
        <v>1128</v>
      </c>
      <c r="F1307" s="11">
        <v>1295</v>
      </c>
      <c r="G1307" s="11">
        <v>2423</v>
      </c>
      <c r="H1307" s="11">
        <v>1003</v>
      </c>
    </row>
    <row r="1308" spans="1:8" x14ac:dyDescent="0.2">
      <c r="A1308" s="10">
        <v>49</v>
      </c>
      <c r="B1308" s="10" t="s">
        <v>1649</v>
      </c>
      <c r="C1308" s="10">
        <v>4998</v>
      </c>
      <c r="D1308" s="10" t="s">
        <v>1663</v>
      </c>
      <c r="E1308" s="11">
        <v>2948</v>
      </c>
      <c r="F1308" s="11">
        <v>3125</v>
      </c>
      <c r="G1308" s="11">
        <v>6073</v>
      </c>
      <c r="H1308" s="11">
        <v>2465</v>
      </c>
    </row>
    <row r="1309" spans="1:8" x14ac:dyDescent="0.2">
      <c r="A1309" s="10">
        <v>49</v>
      </c>
      <c r="B1309" s="10" t="s">
        <v>1649</v>
      </c>
      <c r="C1309" s="10">
        <v>4999</v>
      </c>
      <c r="D1309" s="10" t="s">
        <v>1664</v>
      </c>
      <c r="E1309" s="11">
        <v>15854</v>
      </c>
      <c r="F1309" s="11">
        <v>17141</v>
      </c>
      <c r="G1309" s="11">
        <v>32995</v>
      </c>
      <c r="H1309" s="11">
        <v>17063</v>
      </c>
    </row>
    <row r="1310" spans="1:8" x14ac:dyDescent="0.2">
      <c r="A1310" s="10">
        <v>50</v>
      </c>
      <c r="B1310" s="10" t="s">
        <v>1665</v>
      </c>
      <c r="C1310" s="10">
        <v>5001</v>
      </c>
      <c r="D1310" s="10" t="s">
        <v>1666</v>
      </c>
      <c r="E1310" s="11">
        <v>7069</v>
      </c>
      <c r="F1310" s="11">
        <v>8007</v>
      </c>
      <c r="G1310" s="11">
        <v>15076</v>
      </c>
      <c r="H1310" s="11">
        <v>12110</v>
      </c>
    </row>
    <row r="1311" spans="1:8" x14ac:dyDescent="0.2">
      <c r="A1311" s="10">
        <v>50</v>
      </c>
      <c r="B1311" s="10" t="s">
        <v>1665</v>
      </c>
      <c r="C1311" s="10">
        <v>5002</v>
      </c>
      <c r="D1311" s="10" t="s">
        <v>1667</v>
      </c>
      <c r="E1311" s="11">
        <v>27631</v>
      </c>
      <c r="F1311" s="11">
        <v>28893</v>
      </c>
      <c r="G1311" s="11">
        <v>56524</v>
      </c>
      <c r="H1311" s="11">
        <v>21254</v>
      </c>
    </row>
    <row r="1312" spans="1:8" x14ac:dyDescent="0.2">
      <c r="A1312" s="10">
        <v>50</v>
      </c>
      <c r="B1312" s="10" t="s">
        <v>1665</v>
      </c>
      <c r="C1312" s="10">
        <v>5003</v>
      </c>
      <c r="D1312" s="10" t="s">
        <v>1668</v>
      </c>
      <c r="E1312" s="11">
        <v>29447</v>
      </c>
      <c r="F1312" s="11">
        <v>28544</v>
      </c>
      <c r="G1312" s="11">
        <v>57991</v>
      </c>
      <c r="H1312" s="11">
        <v>19448</v>
      </c>
    </row>
    <row r="1313" spans="1:8" x14ac:dyDescent="0.2">
      <c r="A1313" s="10">
        <v>50</v>
      </c>
      <c r="B1313" s="10" t="s">
        <v>1665</v>
      </c>
      <c r="C1313" s="10">
        <v>5004</v>
      </c>
      <c r="D1313" s="10" t="s">
        <v>1669</v>
      </c>
      <c r="E1313" s="11">
        <v>13835</v>
      </c>
      <c r="F1313" s="11">
        <v>14392</v>
      </c>
      <c r="G1313" s="11">
        <v>28227</v>
      </c>
      <c r="H1313" s="11">
        <v>12238</v>
      </c>
    </row>
    <row r="1314" spans="1:8" x14ac:dyDescent="0.2">
      <c r="A1314" s="10">
        <v>50</v>
      </c>
      <c r="B1314" s="10" t="s">
        <v>1665</v>
      </c>
      <c r="C1314" s="10">
        <v>5005</v>
      </c>
      <c r="D1314" s="10" t="s">
        <v>1670</v>
      </c>
      <c r="E1314" s="11">
        <v>22787</v>
      </c>
      <c r="F1314" s="11">
        <v>25424</v>
      </c>
      <c r="G1314" s="11">
        <v>48211</v>
      </c>
      <c r="H1314" s="11">
        <v>25360</v>
      </c>
    </row>
    <row r="1315" spans="1:8" x14ac:dyDescent="0.2">
      <c r="A1315" s="10">
        <v>50</v>
      </c>
      <c r="B1315" s="10" t="s">
        <v>1665</v>
      </c>
      <c r="C1315" s="10">
        <v>5006</v>
      </c>
      <c r="D1315" s="10" t="s">
        <v>1671</v>
      </c>
      <c r="E1315" s="11">
        <v>29530</v>
      </c>
      <c r="F1315" s="11">
        <v>30077</v>
      </c>
      <c r="G1315" s="11">
        <v>59607</v>
      </c>
      <c r="H1315" s="11">
        <v>25979</v>
      </c>
    </row>
    <row r="1316" spans="1:8" x14ac:dyDescent="0.2">
      <c r="A1316" s="10">
        <v>50</v>
      </c>
      <c r="B1316" s="10" t="s">
        <v>1665</v>
      </c>
      <c r="C1316" s="10">
        <v>5007</v>
      </c>
      <c r="D1316" s="10" t="s">
        <v>1672</v>
      </c>
      <c r="E1316" s="11">
        <v>41106</v>
      </c>
      <c r="F1316" s="11">
        <v>43422</v>
      </c>
      <c r="G1316" s="11">
        <v>84528</v>
      </c>
      <c r="H1316" s="11">
        <v>40928</v>
      </c>
    </row>
    <row r="1317" spans="1:8" x14ac:dyDescent="0.2">
      <c r="A1317" s="10">
        <v>50</v>
      </c>
      <c r="B1317" s="10" t="s">
        <v>1665</v>
      </c>
      <c r="C1317" s="10">
        <v>5008</v>
      </c>
      <c r="D1317" s="10" t="s">
        <v>1673</v>
      </c>
      <c r="E1317" s="11">
        <v>9263</v>
      </c>
      <c r="F1317" s="11">
        <v>8966</v>
      </c>
      <c r="G1317" s="11">
        <v>18229</v>
      </c>
      <c r="H1317" s="11">
        <v>6406</v>
      </c>
    </row>
    <row r="1318" spans="1:8" x14ac:dyDescent="0.2">
      <c r="A1318" s="10">
        <v>50</v>
      </c>
      <c r="B1318" s="10" t="s">
        <v>1665</v>
      </c>
      <c r="C1318" s="10">
        <v>5009</v>
      </c>
      <c r="D1318" s="10" t="s">
        <v>1674</v>
      </c>
      <c r="E1318" s="11">
        <v>55758</v>
      </c>
      <c r="F1318" s="11">
        <v>56854</v>
      </c>
      <c r="G1318" s="11">
        <v>112612</v>
      </c>
      <c r="H1318" s="11">
        <v>43035</v>
      </c>
    </row>
    <row r="1319" spans="1:8" x14ac:dyDescent="0.2">
      <c r="A1319" s="10">
        <v>50</v>
      </c>
      <c r="B1319" s="10" t="s">
        <v>1665</v>
      </c>
      <c r="C1319" s="10">
        <v>5010</v>
      </c>
      <c r="D1319" s="10" t="s">
        <v>1675</v>
      </c>
      <c r="E1319" s="11">
        <v>34192</v>
      </c>
      <c r="F1319" s="11">
        <v>34339</v>
      </c>
      <c r="G1319" s="11">
        <v>68531</v>
      </c>
      <c r="H1319" s="11">
        <v>27309</v>
      </c>
    </row>
    <row r="1320" spans="1:8" x14ac:dyDescent="0.2">
      <c r="A1320" s="10">
        <v>50</v>
      </c>
      <c r="B1320" s="10" t="s">
        <v>1665</v>
      </c>
      <c r="C1320" s="10">
        <v>5011</v>
      </c>
      <c r="D1320" s="10" t="s">
        <v>1676</v>
      </c>
      <c r="E1320" s="11">
        <v>17755</v>
      </c>
      <c r="F1320" s="11">
        <v>18316</v>
      </c>
      <c r="G1320" s="11">
        <v>36071</v>
      </c>
      <c r="H1320" s="11">
        <v>16185</v>
      </c>
    </row>
    <row r="1321" spans="1:8" x14ac:dyDescent="0.2">
      <c r="A1321" s="10">
        <v>50</v>
      </c>
      <c r="B1321" s="10" t="s">
        <v>1665</v>
      </c>
      <c r="C1321" s="10">
        <v>5012</v>
      </c>
      <c r="D1321" s="10" t="s">
        <v>1677</v>
      </c>
      <c r="E1321" s="11">
        <v>27246</v>
      </c>
      <c r="F1321" s="11">
        <v>31155</v>
      </c>
      <c r="G1321" s="11">
        <v>58401</v>
      </c>
      <c r="H1321" s="11">
        <v>26903</v>
      </c>
    </row>
    <row r="1322" spans="1:8" x14ac:dyDescent="0.2">
      <c r="A1322" s="10">
        <v>50</v>
      </c>
      <c r="B1322" s="10" t="s">
        <v>1665</v>
      </c>
      <c r="C1322" s="10">
        <v>5013</v>
      </c>
      <c r="D1322" s="10" t="s">
        <v>1678</v>
      </c>
      <c r="E1322" s="11">
        <v>20708</v>
      </c>
      <c r="F1322" s="11">
        <v>23586</v>
      </c>
      <c r="G1322" s="11">
        <v>44294</v>
      </c>
      <c r="H1322" s="11">
        <v>24814</v>
      </c>
    </row>
    <row r="1323" spans="1:8" x14ac:dyDescent="0.2">
      <c r="A1323" s="10">
        <v>50</v>
      </c>
      <c r="B1323" s="10" t="s">
        <v>1665</v>
      </c>
      <c r="C1323" s="10">
        <v>5014</v>
      </c>
      <c r="D1323" s="10" t="s">
        <v>1679</v>
      </c>
      <c r="E1323" s="11">
        <v>10571</v>
      </c>
      <c r="F1323" s="11">
        <v>11916</v>
      </c>
      <c r="G1323" s="11">
        <v>22487</v>
      </c>
      <c r="H1323" s="11">
        <v>11713</v>
      </c>
    </row>
    <row r="1324" spans="1:8" x14ac:dyDescent="0.2">
      <c r="A1324" s="10">
        <v>50</v>
      </c>
      <c r="B1324" s="10" t="s">
        <v>1665</v>
      </c>
      <c r="C1324" s="10">
        <v>5015</v>
      </c>
      <c r="D1324" s="10" t="s">
        <v>1680</v>
      </c>
      <c r="E1324" s="11">
        <v>37284</v>
      </c>
      <c r="F1324" s="11">
        <v>42668</v>
      </c>
      <c r="G1324" s="11">
        <v>79952</v>
      </c>
      <c r="H1324" s="11">
        <v>48482</v>
      </c>
    </row>
    <row r="1325" spans="1:8" x14ac:dyDescent="0.2">
      <c r="A1325" s="10">
        <v>50</v>
      </c>
      <c r="B1325" s="10" t="s">
        <v>1665</v>
      </c>
      <c r="C1325" s="10">
        <v>5016</v>
      </c>
      <c r="D1325" s="10" t="s">
        <v>1681</v>
      </c>
      <c r="E1325" s="11">
        <v>12330</v>
      </c>
      <c r="F1325" s="11">
        <v>12633</v>
      </c>
      <c r="G1325" s="11">
        <v>24963</v>
      </c>
      <c r="H1325" s="11">
        <v>9985</v>
      </c>
    </row>
    <row r="1326" spans="1:8" x14ac:dyDescent="0.2">
      <c r="A1326" s="10">
        <v>50</v>
      </c>
      <c r="B1326" s="10" t="s">
        <v>1665</v>
      </c>
      <c r="C1326" s="10">
        <v>5017</v>
      </c>
      <c r="D1326" s="10" t="s">
        <v>1682</v>
      </c>
      <c r="E1326" s="11">
        <v>11095</v>
      </c>
      <c r="F1326" s="11">
        <v>11293</v>
      </c>
      <c r="G1326" s="11">
        <v>22388</v>
      </c>
      <c r="H1326" s="11">
        <v>8998</v>
      </c>
    </row>
    <row r="1327" spans="1:8" x14ac:dyDescent="0.2">
      <c r="A1327" s="10">
        <v>50</v>
      </c>
      <c r="B1327" s="10" t="s">
        <v>1665</v>
      </c>
      <c r="C1327" s="10">
        <v>5018</v>
      </c>
      <c r="D1327" s="10" t="s">
        <v>1683</v>
      </c>
      <c r="E1327" s="11">
        <v>31381</v>
      </c>
      <c r="F1327" s="11">
        <v>30976</v>
      </c>
      <c r="G1327" s="11">
        <v>62357</v>
      </c>
      <c r="H1327" s="11">
        <v>24185</v>
      </c>
    </row>
    <row r="1328" spans="1:8" x14ac:dyDescent="0.2">
      <c r="A1328" s="10">
        <v>50</v>
      </c>
      <c r="B1328" s="10" t="s">
        <v>1665</v>
      </c>
      <c r="C1328" s="10">
        <v>5019</v>
      </c>
      <c r="D1328" s="10" t="s">
        <v>1684</v>
      </c>
      <c r="E1328" s="11">
        <v>23372</v>
      </c>
      <c r="F1328" s="11">
        <v>27021</v>
      </c>
      <c r="G1328" s="11">
        <v>50393</v>
      </c>
      <c r="H1328" s="11">
        <v>26501</v>
      </c>
    </row>
    <row r="1329" spans="1:8" x14ac:dyDescent="0.2">
      <c r="A1329" s="10">
        <v>50</v>
      </c>
      <c r="B1329" s="10" t="s">
        <v>1665</v>
      </c>
      <c r="C1329" s="10">
        <v>5020</v>
      </c>
      <c r="D1329" s="10" t="s">
        <v>1685</v>
      </c>
      <c r="E1329" s="11">
        <v>27433</v>
      </c>
      <c r="F1329" s="11">
        <v>26776</v>
      </c>
      <c r="G1329" s="11">
        <v>54209</v>
      </c>
      <c r="H1329" s="11">
        <v>10301</v>
      </c>
    </row>
    <row r="1330" spans="1:8" x14ac:dyDescent="0.2">
      <c r="A1330" s="10">
        <v>50</v>
      </c>
      <c r="B1330" s="10" t="s">
        <v>1665</v>
      </c>
      <c r="C1330" s="10">
        <v>5021</v>
      </c>
      <c r="D1330" s="10" t="s">
        <v>1686</v>
      </c>
      <c r="E1330" s="11">
        <v>17706</v>
      </c>
      <c r="F1330" s="11">
        <v>17770</v>
      </c>
      <c r="G1330" s="11">
        <v>35476</v>
      </c>
      <c r="H1330" s="11">
        <v>12323</v>
      </c>
    </row>
    <row r="1331" spans="1:8" x14ac:dyDescent="0.2">
      <c r="A1331" s="10">
        <v>50</v>
      </c>
      <c r="B1331" s="10" t="s">
        <v>1665</v>
      </c>
      <c r="C1331" s="10">
        <v>5022</v>
      </c>
      <c r="D1331" s="10" t="s">
        <v>1687</v>
      </c>
      <c r="E1331" s="11">
        <v>13613</v>
      </c>
      <c r="F1331" s="11">
        <v>13833</v>
      </c>
      <c r="G1331" s="11">
        <v>27446</v>
      </c>
      <c r="H1331" s="11">
        <v>10423</v>
      </c>
    </row>
    <row r="1332" spans="1:8" x14ac:dyDescent="0.2">
      <c r="A1332" s="10">
        <v>50</v>
      </c>
      <c r="B1332" s="10" t="s">
        <v>1665</v>
      </c>
      <c r="C1332" s="10">
        <v>5023</v>
      </c>
      <c r="D1332" s="10" t="s">
        <v>1688</v>
      </c>
      <c r="E1332" s="11">
        <v>10211</v>
      </c>
      <c r="F1332" s="11">
        <v>10519</v>
      </c>
      <c r="G1332" s="11">
        <v>20730</v>
      </c>
      <c r="H1332" s="11">
        <v>10094</v>
      </c>
    </row>
    <row r="1333" spans="1:8" x14ac:dyDescent="0.2">
      <c r="A1333" s="10">
        <v>50</v>
      </c>
      <c r="B1333" s="10" t="s">
        <v>1665</v>
      </c>
      <c r="C1333" s="10">
        <v>5024</v>
      </c>
      <c r="D1333" s="10" t="s">
        <v>1689</v>
      </c>
      <c r="E1333" s="11">
        <v>11752</v>
      </c>
      <c r="F1333" s="11">
        <v>12633</v>
      </c>
      <c r="G1333" s="11">
        <v>24385</v>
      </c>
      <c r="H1333" s="11">
        <v>12068</v>
      </c>
    </row>
    <row r="1334" spans="1:8" x14ac:dyDescent="0.2">
      <c r="A1334" s="10">
        <v>50</v>
      </c>
      <c r="B1334" s="10" t="s">
        <v>1665</v>
      </c>
      <c r="C1334" s="10">
        <v>5025</v>
      </c>
      <c r="D1334" s="10" t="s">
        <v>1690</v>
      </c>
      <c r="E1334" s="11">
        <v>6709</v>
      </c>
      <c r="F1334" s="11">
        <v>6384</v>
      </c>
      <c r="G1334" s="11">
        <v>13093</v>
      </c>
      <c r="H1334" s="11">
        <v>4736</v>
      </c>
    </row>
    <row r="1335" spans="1:8" x14ac:dyDescent="0.2">
      <c r="A1335" s="10">
        <v>50</v>
      </c>
      <c r="B1335" s="10" t="s">
        <v>1665</v>
      </c>
      <c r="C1335" s="10">
        <v>5040</v>
      </c>
      <c r="D1335" s="10" t="s">
        <v>1691</v>
      </c>
      <c r="E1335" s="11">
        <v>4144</v>
      </c>
      <c r="F1335" s="11">
        <v>4631</v>
      </c>
      <c r="G1335" s="11">
        <v>8775</v>
      </c>
      <c r="H1335" s="11">
        <v>4322</v>
      </c>
    </row>
    <row r="1336" spans="1:8" x14ac:dyDescent="0.2">
      <c r="A1336" s="10">
        <v>50</v>
      </c>
      <c r="B1336" s="10" t="s">
        <v>1665</v>
      </c>
      <c r="C1336" s="10">
        <v>5041</v>
      </c>
      <c r="D1336" s="10" t="s">
        <v>1692</v>
      </c>
      <c r="E1336" s="11">
        <v>5939</v>
      </c>
      <c r="F1336" s="11">
        <v>5977</v>
      </c>
      <c r="G1336" s="11">
        <v>11916</v>
      </c>
      <c r="H1336" s="11">
        <v>3997</v>
      </c>
    </row>
    <row r="1337" spans="1:8" x14ac:dyDescent="0.2">
      <c r="A1337" s="10">
        <v>50</v>
      </c>
      <c r="B1337" s="10" t="s">
        <v>1665</v>
      </c>
      <c r="C1337" s="10">
        <v>5042</v>
      </c>
      <c r="D1337" s="10" t="s">
        <v>1693</v>
      </c>
      <c r="E1337" s="11">
        <v>7491</v>
      </c>
      <c r="F1337" s="11">
        <v>8447</v>
      </c>
      <c r="G1337" s="11">
        <v>15938</v>
      </c>
      <c r="H1337" s="11">
        <v>7348</v>
      </c>
    </row>
    <row r="1338" spans="1:8" x14ac:dyDescent="0.2">
      <c r="A1338" s="10">
        <v>50</v>
      </c>
      <c r="B1338" s="10" t="s">
        <v>1665</v>
      </c>
      <c r="C1338" s="10">
        <v>5043</v>
      </c>
      <c r="D1338" s="10" t="s">
        <v>1694</v>
      </c>
      <c r="E1338" s="11">
        <v>6367</v>
      </c>
      <c r="F1338" s="11">
        <v>7601</v>
      </c>
      <c r="G1338" s="11">
        <v>13968</v>
      </c>
      <c r="H1338" s="11">
        <v>8993</v>
      </c>
    </row>
    <row r="1339" spans="1:8" x14ac:dyDescent="0.2">
      <c r="A1339" s="10">
        <v>50</v>
      </c>
      <c r="B1339" s="10" t="s">
        <v>1665</v>
      </c>
      <c r="C1339" s="10">
        <v>5044</v>
      </c>
      <c r="D1339" s="10" t="s">
        <v>1695</v>
      </c>
      <c r="E1339" s="11">
        <v>2895</v>
      </c>
      <c r="F1339" s="11">
        <v>3462</v>
      </c>
      <c r="G1339" s="11">
        <v>6357</v>
      </c>
      <c r="H1339" s="11">
        <v>3683</v>
      </c>
    </row>
    <row r="1340" spans="1:8" x14ac:dyDescent="0.2">
      <c r="A1340" s="10">
        <v>50</v>
      </c>
      <c r="B1340" s="10" t="s">
        <v>1665</v>
      </c>
      <c r="C1340" s="10">
        <v>5046</v>
      </c>
      <c r="D1340" s="10" t="s">
        <v>1696</v>
      </c>
      <c r="E1340" s="11">
        <v>8623</v>
      </c>
      <c r="F1340" s="11">
        <v>10088</v>
      </c>
      <c r="G1340" s="11">
        <v>18711</v>
      </c>
      <c r="H1340" s="11">
        <v>10814</v>
      </c>
    </row>
    <row r="1341" spans="1:8" x14ac:dyDescent="0.2">
      <c r="A1341" s="10">
        <v>50</v>
      </c>
      <c r="B1341" s="10" t="s">
        <v>1665</v>
      </c>
      <c r="C1341" s="10">
        <v>5049</v>
      </c>
      <c r="D1341" s="10" t="s">
        <v>1697</v>
      </c>
      <c r="E1341" s="11">
        <v>3856</v>
      </c>
      <c r="F1341" s="11">
        <v>4201</v>
      </c>
      <c r="G1341" s="11">
        <v>8057</v>
      </c>
      <c r="H1341" s="11">
        <v>4053</v>
      </c>
    </row>
    <row r="1342" spans="1:8" x14ac:dyDescent="0.2">
      <c r="A1342" s="10">
        <v>50</v>
      </c>
      <c r="B1342" s="10" t="s">
        <v>1665</v>
      </c>
      <c r="C1342" s="10">
        <v>5050</v>
      </c>
      <c r="D1342" s="10" t="s">
        <v>1698</v>
      </c>
      <c r="E1342" s="11">
        <v>18888</v>
      </c>
      <c r="F1342" s="11">
        <v>19505</v>
      </c>
      <c r="G1342" s="11">
        <v>38393</v>
      </c>
      <c r="H1342" s="11">
        <v>10171</v>
      </c>
    </row>
    <row r="1343" spans="1:8" x14ac:dyDescent="0.2">
      <c r="A1343" s="10">
        <v>50</v>
      </c>
      <c r="B1343" s="10" t="s">
        <v>1665</v>
      </c>
      <c r="C1343" s="10">
        <v>5054</v>
      </c>
      <c r="D1343" s="10" t="s">
        <v>1699</v>
      </c>
      <c r="E1343" s="11">
        <v>5607</v>
      </c>
      <c r="F1343" s="11">
        <v>5498</v>
      </c>
      <c r="G1343" s="11">
        <v>11105</v>
      </c>
      <c r="H1343" s="11">
        <v>3195</v>
      </c>
    </row>
    <row r="1344" spans="1:8" x14ac:dyDescent="0.2">
      <c r="A1344" s="10">
        <v>50</v>
      </c>
      <c r="B1344" s="10" t="s">
        <v>1665</v>
      </c>
      <c r="C1344" s="10">
        <v>5055</v>
      </c>
      <c r="D1344" s="10" t="s">
        <v>1700</v>
      </c>
      <c r="E1344" s="11">
        <v>7631</v>
      </c>
      <c r="F1344" s="11">
        <v>6708</v>
      </c>
      <c r="G1344" s="11">
        <v>14339</v>
      </c>
      <c r="H1344" s="11">
        <v>4775</v>
      </c>
    </row>
    <row r="1345" spans="1:8" x14ac:dyDescent="0.2">
      <c r="A1345" s="10">
        <v>50</v>
      </c>
      <c r="B1345" s="10" t="s">
        <v>1665</v>
      </c>
      <c r="C1345" s="10">
        <v>5056</v>
      </c>
      <c r="D1345" s="10" t="s">
        <v>1701</v>
      </c>
      <c r="E1345" s="11">
        <v>1148</v>
      </c>
      <c r="F1345" s="11">
        <v>1213</v>
      </c>
      <c r="G1345" s="11">
        <v>2361</v>
      </c>
      <c r="H1345" s="11">
        <v>1213</v>
      </c>
    </row>
    <row r="1346" spans="1:8" x14ac:dyDescent="0.2">
      <c r="A1346" s="10">
        <v>50</v>
      </c>
      <c r="B1346" s="10" t="s">
        <v>1665</v>
      </c>
      <c r="C1346" s="10">
        <v>5057</v>
      </c>
      <c r="D1346" s="10" t="s">
        <v>1702</v>
      </c>
      <c r="E1346" s="11">
        <v>8924</v>
      </c>
      <c r="F1346" s="11">
        <v>11043</v>
      </c>
      <c r="G1346" s="11">
        <v>19967</v>
      </c>
      <c r="H1346" s="11">
        <v>14290</v>
      </c>
    </row>
    <row r="1347" spans="1:8" x14ac:dyDescent="0.2">
      <c r="A1347" s="10">
        <v>50</v>
      </c>
      <c r="B1347" s="10" t="s">
        <v>1665</v>
      </c>
      <c r="C1347" s="10">
        <v>5058</v>
      </c>
      <c r="D1347" s="10" t="s">
        <v>1703</v>
      </c>
      <c r="E1347" s="11">
        <v>3036</v>
      </c>
      <c r="F1347" s="11">
        <v>3518</v>
      </c>
      <c r="G1347" s="11">
        <v>6554</v>
      </c>
      <c r="H1347" s="11">
        <v>2911</v>
      </c>
    </row>
    <row r="1348" spans="1:8" x14ac:dyDescent="0.2">
      <c r="A1348" s="10">
        <v>50</v>
      </c>
      <c r="B1348" s="10" t="s">
        <v>1665</v>
      </c>
      <c r="C1348" s="10">
        <v>5059</v>
      </c>
      <c r="D1348" s="10" t="s">
        <v>1704</v>
      </c>
      <c r="E1348" s="11">
        <v>3269</v>
      </c>
      <c r="F1348" s="11">
        <v>3909</v>
      </c>
      <c r="G1348" s="11">
        <v>7178</v>
      </c>
      <c r="H1348" s="11">
        <v>9881</v>
      </c>
    </row>
    <row r="1349" spans="1:8" x14ac:dyDescent="0.2">
      <c r="A1349" s="10">
        <v>50</v>
      </c>
      <c r="B1349" s="10" t="s">
        <v>1665</v>
      </c>
      <c r="C1349" s="10">
        <v>5060</v>
      </c>
      <c r="D1349" s="10" t="s">
        <v>1705</v>
      </c>
      <c r="E1349" s="11">
        <v>7980</v>
      </c>
      <c r="F1349" s="11">
        <v>9626</v>
      </c>
      <c r="G1349" s="11">
        <v>17606</v>
      </c>
      <c r="H1349" s="11">
        <v>9887</v>
      </c>
    </row>
    <row r="1350" spans="1:8" x14ac:dyDescent="0.2">
      <c r="A1350" s="10">
        <v>50</v>
      </c>
      <c r="B1350" s="10" t="s">
        <v>1665</v>
      </c>
      <c r="C1350" s="10">
        <v>5061</v>
      </c>
      <c r="D1350" s="10" t="s">
        <v>1706</v>
      </c>
      <c r="E1350" s="11">
        <v>3578</v>
      </c>
      <c r="F1350" s="11">
        <v>4385</v>
      </c>
      <c r="G1350" s="11">
        <v>7963</v>
      </c>
      <c r="H1350" s="11">
        <v>5764</v>
      </c>
    </row>
    <row r="1351" spans="1:8" x14ac:dyDescent="0.2">
      <c r="A1351" s="10">
        <v>50</v>
      </c>
      <c r="B1351" s="10" t="s">
        <v>1665</v>
      </c>
      <c r="C1351" s="10">
        <v>5062</v>
      </c>
      <c r="D1351" s="10" t="s">
        <v>1707</v>
      </c>
      <c r="E1351" s="11">
        <v>4164</v>
      </c>
      <c r="F1351" s="11">
        <v>4819</v>
      </c>
      <c r="G1351" s="11">
        <v>8983</v>
      </c>
      <c r="H1351" s="11">
        <v>4104</v>
      </c>
    </row>
    <row r="1352" spans="1:8" x14ac:dyDescent="0.2">
      <c r="A1352" s="10">
        <v>50</v>
      </c>
      <c r="B1352" s="10" t="s">
        <v>1665</v>
      </c>
      <c r="C1352" s="10">
        <v>5063</v>
      </c>
      <c r="D1352" s="10" t="s">
        <v>547</v>
      </c>
      <c r="E1352" s="11">
        <v>3361</v>
      </c>
      <c r="F1352" s="11">
        <v>3936</v>
      </c>
      <c r="G1352" s="11">
        <v>7297</v>
      </c>
      <c r="H1352" s="11">
        <v>5723</v>
      </c>
    </row>
    <row r="1353" spans="1:8" x14ac:dyDescent="0.2">
      <c r="A1353" s="10">
        <v>50</v>
      </c>
      <c r="B1353" s="10" t="s">
        <v>1665</v>
      </c>
      <c r="C1353" s="10">
        <v>5064</v>
      </c>
      <c r="D1353" s="10" t="s">
        <v>1708</v>
      </c>
      <c r="E1353" s="11">
        <v>7576</v>
      </c>
      <c r="F1353" s="11">
        <v>8926</v>
      </c>
      <c r="G1353" s="11">
        <v>16502</v>
      </c>
      <c r="H1353" s="11">
        <v>9418</v>
      </c>
    </row>
    <row r="1354" spans="1:8" x14ac:dyDescent="0.2">
      <c r="A1354" s="10">
        <v>50</v>
      </c>
      <c r="B1354" s="10" t="s">
        <v>1665</v>
      </c>
      <c r="C1354" s="10">
        <v>5065</v>
      </c>
      <c r="D1354" s="10" t="s">
        <v>1709</v>
      </c>
      <c r="E1354" s="11">
        <v>4059</v>
      </c>
      <c r="F1354" s="11">
        <v>4506</v>
      </c>
      <c r="G1354" s="11">
        <v>8565</v>
      </c>
      <c r="H1354" s="11">
        <v>4390</v>
      </c>
    </row>
    <row r="1355" spans="1:8" x14ac:dyDescent="0.2">
      <c r="A1355" s="10">
        <v>50</v>
      </c>
      <c r="B1355" s="10" t="s">
        <v>1665</v>
      </c>
      <c r="C1355" s="10">
        <v>5066</v>
      </c>
      <c r="D1355" s="10" t="s">
        <v>1710</v>
      </c>
      <c r="E1355" s="11">
        <v>2907</v>
      </c>
      <c r="F1355" s="11">
        <v>3032</v>
      </c>
      <c r="G1355" s="11">
        <v>5939</v>
      </c>
      <c r="H1355" s="11">
        <v>2749</v>
      </c>
    </row>
    <row r="1356" spans="1:8" x14ac:dyDescent="0.2">
      <c r="A1356" s="10">
        <v>50</v>
      </c>
      <c r="B1356" s="10" t="s">
        <v>1665</v>
      </c>
      <c r="C1356" s="10">
        <v>5067</v>
      </c>
      <c r="D1356" s="10" t="s">
        <v>1711</v>
      </c>
      <c r="E1356" s="11">
        <v>3791</v>
      </c>
      <c r="F1356" s="11">
        <v>4173</v>
      </c>
      <c r="G1356" s="11">
        <v>7964</v>
      </c>
      <c r="H1356" s="11">
        <v>3517</v>
      </c>
    </row>
    <row r="1357" spans="1:8" x14ac:dyDescent="0.2">
      <c r="A1357" s="10">
        <v>50</v>
      </c>
      <c r="B1357" s="10" t="s">
        <v>1665</v>
      </c>
      <c r="C1357" s="10">
        <v>5068</v>
      </c>
      <c r="D1357" s="10" t="s">
        <v>1712</v>
      </c>
      <c r="E1357" s="11">
        <v>8260</v>
      </c>
      <c r="F1357" s="11">
        <v>9858</v>
      </c>
      <c r="G1357" s="11">
        <v>18118</v>
      </c>
      <c r="H1357" s="11">
        <v>11719</v>
      </c>
    </row>
    <row r="1358" spans="1:8" x14ac:dyDescent="0.2">
      <c r="A1358" s="10">
        <v>50</v>
      </c>
      <c r="B1358" s="10" t="s">
        <v>1665</v>
      </c>
      <c r="C1358" s="10">
        <v>5069</v>
      </c>
      <c r="D1358" s="10" t="s">
        <v>1713</v>
      </c>
      <c r="E1358" s="11">
        <v>8281</v>
      </c>
      <c r="F1358" s="11">
        <v>8592</v>
      </c>
      <c r="G1358" s="11">
        <v>16873</v>
      </c>
      <c r="H1358" s="11">
        <v>11842</v>
      </c>
    </row>
    <row r="1359" spans="1:8" x14ac:dyDescent="0.2">
      <c r="A1359" s="10">
        <v>50</v>
      </c>
      <c r="B1359" s="10" t="s">
        <v>1665</v>
      </c>
      <c r="C1359" s="10">
        <v>5070</v>
      </c>
      <c r="D1359" s="10" t="s">
        <v>1714</v>
      </c>
      <c r="E1359" s="11">
        <v>3459</v>
      </c>
      <c r="F1359" s="11">
        <v>3911</v>
      </c>
      <c r="G1359" s="11">
        <v>7370</v>
      </c>
      <c r="H1359" s="11">
        <v>6486</v>
      </c>
    </row>
    <row r="1360" spans="1:8" x14ac:dyDescent="0.2">
      <c r="A1360" s="10">
        <v>50</v>
      </c>
      <c r="B1360" s="10" t="s">
        <v>1665</v>
      </c>
      <c r="C1360" s="10">
        <v>5071</v>
      </c>
      <c r="D1360" s="10" t="s">
        <v>1715</v>
      </c>
      <c r="E1360" s="11">
        <v>2125</v>
      </c>
      <c r="F1360" s="11">
        <v>2374</v>
      </c>
      <c r="G1360" s="11">
        <v>4499</v>
      </c>
      <c r="H1360" s="11">
        <v>2331</v>
      </c>
    </row>
    <row r="1361" spans="1:8" x14ac:dyDescent="0.2">
      <c r="A1361" s="10">
        <v>50</v>
      </c>
      <c r="B1361" s="10" t="s">
        <v>1665</v>
      </c>
      <c r="C1361" s="10">
        <v>5072</v>
      </c>
      <c r="D1361" s="10" t="s">
        <v>1716</v>
      </c>
      <c r="E1361" s="11">
        <v>7257</v>
      </c>
      <c r="F1361" s="11">
        <v>8055</v>
      </c>
      <c r="G1361" s="11">
        <v>15312</v>
      </c>
      <c r="H1361" s="11">
        <v>6763</v>
      </c>
    </row>
    <row r="1362" spans="1:8" x14ac:dyDescent="0.2">
      <c r="A1362" s="10">
        <v>50</v>
      </c>
      <c r="B1362" s="10" t="s">
        <v>1665</v>
      </c>
      <c r="C1362" s="10">
        <v>5073</v>
      </c>
      <c r="D1362" s="10" t="s">
        <v>1717</v>
      </c>
      <c r="E1362" s="11">
        <v>5079</v>
      </c>
      <c r="F1362" s="11">
        <v>6100</v>
      </c>
      <c r="G1362" s="11">
        <v>11179</v>
      </c>
      <c r="H1362" s="11">
        <v>6319</v>
      </c>
    </row>
    <row r="1363" spans="1:8" x14ac:dyDescent="0.2">
      <c r="A1363" s="10">
        <v>50</v>
      </c>
      <c r="B1363" s="10" t="s">
        <v>1665</v>
      </c>
      <c r="C1363" s="10">
        <v>5074</v>
      </c>
      <c r="D1363" s="10" t="s">
        <v>1718</v>
      </c>
      <c r="E1363" s="10">
        <v>546</v>
      </c>
      <c r="F1363" s="10">
        <v>507</v>
      </c>
      <c r="G1363" s="11">
        <v>1053</v>
      </c>
      <c r="H1363" s="10">
        <v>858</v>
      </c>
    </row>
    <row r="1364" spans="1:8" x14ac:dyDescent="0.2">
      <c r="A1364" s="10">
        <v>50</v>
      </c>
      <c r="B1364" s="10" t="s">
        <v>1665</v>
      </c>
      <c r="C1364" s="10">
        <v>5075</v>
      </c>
      <c r="D1364" s="10" t="s">
        <v>1719</v>
      </c>
      <c r="E1364" s="11">
        <v>2003</v>
      </c>
      <c r="F1364" s="11">
        <v>2139</v>
      </c>
      <c r="G1364" s="11">
        <v>4142</v>
      </c>
      <c r="H1364" s="11">
        <v>1916</v>
      </c>
    </row>
    <row r="1365" spans="1:8" x14ac:dyDescent="0.2">
      <c r="A1365" s="10">
        <v>50</v>
      </c>
      <c r="B1365" s="10" t="s">
        <v>1665</v>
      </c>
      <c r="C1365" s="10">
        <v>5076</v>
      </c>
      <c r="D1365" s="10" t="s">
        <v>809</v>
      </c>
      <c r="E1365" s="11">
        <v>2665</v>
      </c>
      <c r="F1365" s="11">
        <v>2894</v>
      </c>
      <c r="G1365" s="11">
        <v>5559</v>
      </c>
      <c r="H1365" s="11">
        <v>3679</v>
      </c>
    </row>
    <row r="1366" spans="1:8" x14ac:dyDescent="0.2">
      <c r="A1366" s="10">
        <v>50</v>
      </c>
      <c r="B1366" s="10" t="s">
        <v>1665</v>
      </c>
      <c r="C1366" s="10">
        <v>5077</v>
      </c>
      <c r="D1366" s="10" t="s">
        <v>1720</v>
      </c>
      <c r="E1366" s="11">
        <v>2902</v>
      </c>
      <c r="F1366" s="11">
        <v>3539</v>
      </c>
      <c r="G1366" s="11">
        <v>6441</v>
      </c>
      <c r="H1366" s="11">
        <v>4099</v>
      </c>
    </row>
    <row r="1367" spans="1:8" x14ac:dyDescent="0.2">
      <c r="A1367" s="10">
        <v>50</v>
      </c>
      <c r="B1367" s="10" t="s">
        <v>1665</v>
      </c>
      <c r="C1367" s="10">
        <v>5078</v>
      </c>
      <c r="D1367" s="10" t="s">
        <v>1721</v>
      </c>
      <c r="E1367" s="11">
        <v>3746</v>
      </c>
      <c r="F1367" s="11">
        <v>4396</v>
      </c>
      <c r="G1367" s="11">
        <v>8142</v>
      </c>
      <c r="H1367" s="11">
        <v>3698</v>
      </c>
    </row>
    <row r="1368" spans="1:8" x14ac:dyDescent="0.2">
      <c r="A1368" s="10">
        <v>50</v>
      </c>
      <c r="B1368" s="10" t="s">
        <v>1665</v>
      </c>
      <c r="C1368" s="10">
        <v>5079</v>
      </c>
      <c r="D1368" s="10" t="s">
        <v>1722</v>
      </c>
      <c r="E1368" s="11">
        <v>13385</v>
      </c>
      <c r="F1368" s="11">
        <v>16149</v>
      </c>
      <c r="G1368" s="11">
        <v>29534</v>
      </c>
      <c r="H1368" s="11">
        <v>17318</v>
      </c>
    </row>
    <row r="1369" spans="1:8" x14ac:dyDescent="0.2">
      <c r="A1369" s="10">
        <v>50</v>
      </c>
      <c r="B1369" s="10" t="s">
        <v>1665</v>
      </c>
      <c r="C1369" s="10">
        <v>5080</v>
      </c>
      <c r="D1369" s="10" t="s">
        <v>1723</v>
      </c>
      <c r="E1369" s="11">
        <v>10540</v>
      </c>
      <c r="F1369" s="11">
        <v>12648</v>
      </c>
      <c r="G1369" s="11">
        <v>23188</v>
      </c>
      <c r="H1369" s="11">
        <v>15532</v>
      </c>
    </row>
    <row r="1370" spans="1:8" x14ac:dyDescent="0.2">
      <c r="A1370" s="10">
        <v>50</v>
      </c>
      <c r="B1370" s="10" t="s">
        <v>1665</v>
      </c>
      <c r="C1370" s="10">
        <v>5081</v>
      </c>
      <c r="D1370" s="10" t="s">
        <v>1724</v>
      </c>
      <c r="E1370" s="11">
        <v>8044</v>
      </c>
      <c r="F1370" s="11">
        <v>9406</v>
      </c>
      <c r="G1370" s="11">
        <v>17450</v>
      </c>
      <c r="H1370" s="11">
        <v>9638</v>
      </c>
    </row>
    <row r="1371" spans="1:8" x14ac:dyDescent="0.2">
      <c r="A1371" s="10">
        <v>50</v>
      </c>
      <c r="B1371" s="10" t="s">
        <v>1665</v>
      </c>
      <c r="C1371" s="10">
        <v>5082</v>
      </c>
      <c r="D1371" s="10" t="s">
        <v>1725</v>
      </c>
      <c r="E1371" s="11">
        <v>9345</v>
      </c>
      <c r="F1371" s="11">
        <v>11337</v>
      </c>
      <c r="G1371" s="11">
        <v>20682</v>
      </c>
      <c r="H1371" s="11">
        <v>14372</v>
      </c>
    </row>
    <row r="1372" spans="1:8" x14ac:dyDescent="0.2">
      <c r="A1372" s="10">
        <v>50</v>
      </c>
      <c r="B1372" s="10" t="s">
        <v>1665</v>
      </c>
      <c r="C1372" s="10">
        <v>5083</v>
      </c>
      <c r="D1372" s="10" t="s">
        <v>1726</v>
      </c>
      <c r="E1372" s="11">
        <v>1926</v>
      </c>
      <c r="F1372" s="11">
        <v>2305</v>
      </c>
      <c r="G1372" s="11">
        <v>4231</v>
      </c>
      <c r="H1372" s="11">
        <v>2849</v>
      </c>
    </row>
    <row r="1373" spans="1:8" x14ac:dyDescent="0.2">
      <c r="A1373" s="10">
        <v>50</v>
      </c>
      <c r="B1373" s="10" t="s">
        <v>1665</v>
      </c>
      <c r="C1373" s="10">
        <v>5084</v>
      </c>
      <c r="D1373" s="10" t="s">
        <v>444</v>
      </c>
      <c r="E1373" s="11">
        <v>4788</v>
      </c>
      <c r="F1373" s="11">
        <v>5461</v>
      </c>
      <c r="G1373" s="11">
        <v>10249</v>
      </c>
      <c r="H1373" s="11">
        <v>5652</v>
      </c>
    </row>
    <row r="1374" spans="1:8" x14ac:dyDescent="0.2">
      <c r="A1374" s="10">
        <v>50</v>
      </c>
      <c r="B1374" s="10" t="s">
        <v>1665</v>
      </c>
      <c r="C1374" s="10">
        <v>5085</v>
      </c>
      <c r="D1374" s="10" t="s">
        <v>1727</v>
      </c>
      <c r="E1374" s="11">
        <v>2035</v>
      </c>
      <c r="F1374" s="11">
        <v>2415</v>
      </c>
      <c r="G1374" s="11">
        <v>4450</v>
      </c>
      <c r="H1374" s="11">
        <v>2908</v>
      </c>
    </row>
    <row r="1375" spans="1:8" x14ac:dyDescent="0.2">
      <c r="A1375" s="10">
        <v>50</v>
      </c>
      <c r="B1375" s="10" t="s">
        <v>1665</v>
      </c>
      <c r="C1375" s="10">
        <v>5086</v>
      </c>
      <c r="D1375" s="10" t="s">
        <v>1728</v>
      </c>
      <c r="E1375" s="11">
        <v>4953</v>
      </c>
      <c r="F1375" s="11">
        <v>5420</v>
      </c>
      <c r="G1375" s="11">
        <v>10373</v>
      </c>
      <c r="H1375" s="11">
        <v>4579</v>
      </c>
    </row>
    <row r="1376" spans="1:8" x14ac:dyDescent="0.2">
      <c r="A1376" s="10">
        <v>50</v>
      </c>
      <c r="B1376" s="10" t="s">
        <v>1665</v>
      </c>
      <c r="C1376" s="10">
        <v>5087</v>
      </c>
      <c r="D1376" s="10" t="s">
        <v>1729</v>
      </c>
      <c r="E1376" s="11">
        <v>3945</v>
      </c>
      <c r="F1376" s="11">
        <v>4271</v>
      </c>
      <c r="G1376" s="11">
        <v>8216</v>
      </c>
      <c r="H1376" s="11">
        <v>4065</v>
      </c>
    </row>
    <row r="1377" spans="1:8" x14ac:dyDescent="0.2">
      <c r="A1377" s="10">
        <v>50</v>
      </c>
      <c r="B1377" s="10" t="s">
        <v>1665</v>
      </c>
      <c r="C1377" s="10">
        <v>5088</v>
      </c>
      <c r="D1377" s="10" t="s">
        <v>1730</v>
      </c>
      <c r="E1377" s="10">
        <v>891</v>
      </c>
      <c r="F1377" s="10">
        <v>938</v>
      </c>
      <c r="G1377" s="11">
        <v>1829</v>
      </c>
      <c r="H1377" s="10">
        <v>874</v>
      </c>
    </row>
    <row r="1378" spans="1:8" x14ac:dyDescent="0.2">
      <c r="A1378" s="10">
        <v>50</v>
      </c>
      <c r="B1378" s="10" t="s">
        <v>1665</v>
      </c>
      <c r="C1378" s="10">
        <v>5089</v>
      </c>
      <c r="D1378" s="10" t="s">
        <v>1731</v>
      </c>
      <c r="E1378" s="11">
        <v>2612</v>
      </c>
      <c r="F1378" s="11">
        <v>2654</v>
      </c>
      <c r="G1378" s="11">
        <v>5266</v>
      </c>
      <c r="H1378" s="11">
        <v>2807</v>
      </c>
    </row>
    <row r="1379" spans="1:8" x14ac:dyDescent="0.2">
      <c r="A1379" s="10">
        <v>50</v>
      </c>
      <c r="B1379" s="10" t="s">
        <v>1665</v>
      </c>
      <c r="C1379" s="10">
        <v>5090</v>
      </c>
      <c r="D1379" s="10" t="s">
        <v>1732</v>
      </c>
      <c r="E1379" s="11">
        <v>4238</v>
      </c>
      <c r="F1379" s="11">
        <v>4887</v>
      </c>
      <c r="G1379" s="11">
        <v>9125</v>
      </c>
      <c r="H1379" s="11">
        <v>6000</v>
      </c>
    </row>
    <row r="1380" spans="1:8" x14ac:dyDescent="0.2">
      <c r="A1380" s="10">
        <v>50</v>
      </c>
      <c r="B1380" s="10" t="s">
        <v>1665</v>
      </c>
      <c r="C1380" s="10">
        <v>5091</v>
      </c>
      <c r="D1380" s="10" t="s">
        <v>1733</v>
      </c>
      <c r="E1380" s="11">
        <v>3814</v>
      </c>
      <c r="F1380" s="11">
        <v>4348</v>
      </c>
      <c r="G1380" s="11">
        <v>8162</v>
      </c>
      <c r="H1380" s="11">
        <v>5282</v>
      </c>
    </row>
    <row r="1381" spans="1:8" x14ac:dyDescent="0.2">
      <c r="A1381" s="10">
        <v>50</v>
      </c>
      <c r="B1381" s="10" t="s">
        <v>1665</v>
      </c>
      <c r="C1381" s="10">
        <v>5092</v>
      </c>
      <c r="D1381" s="10" t="s">
        <v>1734</v>
      </c>
      <c r="E1381" s="11">
        <v>5648</v>
      </c>
      <c r="F1381" s="11">
        <v>6256</v>
      </c>
      <c r="G1381" s="11">
        <v>11904</v>
      </c>
      <c r="H1381" s="11">
        <v>5904</v>
      </c>
    </row>
    <row r="1382" spans="1:8" x14ac:dyDescent="0.2">
      <c r="A1382" s="10">
        <v>50</v>
      </c>
      <c r="B1382" s="10" t="s">
        <v>1665</v>
      </c>
      <c r="C1382" s="10">
        <v>5093</v>
      </c>
      <c r="D1382" s="10" t="s">
        <v>1735</v>
      </c>
      <c r="E1382" s="11">
        <v>1836</v>
      </c>
      <c r="F1382" s="11">
        <v>2131</v>
      </c>
      <c r="G1382" s="11">
        <v>3967</v>
      </c>
      <c r="H1382" s="11">
        <v>2212</v>
      </c>
    </row>
    <row r="1383" spans="1:8" x14ac:dyDescent="0.2">
      <c r="A1383" s="10">
        <v>50</v>
      </c>
      <c r="B1383" s="10" t="s">
        <v>1665</v>
      </c>
      <c r="C1383" s="10">
        <v>5094</v>
      </c>
      <c r="D1383" s="10" t="s">
        <v>1736</v>
      </c>
      <c r="E1383" s="11">
        <v>1725</v>
      </c>
      <c r="F1383" s="11">
        <v>1983</v>
      </c>
      <c r="G1383" s="11">
        <v>3708</v>
      </c>
      <c r="H1383" s="11">
        <v>2068</v>
      </c>
    </row>
    <row r="1384" spans="1:8" x14ac:dyDescent="0.2">
      <c r="A1384" s="10">
        <v>50</v>
      </c>
      <c r="B1384" s="10" t="s">
        <v>1665</v>
      </c>
      <c r="C1384" s="10">
        <v>5095</v>
      </c>
      <c r="D1384" s="10" t="s">
        <v>1737</v>
      </c>
      <c r="E1384" s="11">
        <v>1717</v>
      </c>
      <c r="F1384" s="11">
        <v>1970</v>
      </c>
      <c r="G1384" s="11">
        <v>3687</v>
      </c>
      <c r="H1384" s="11">
        <v>2421</v>
      </c>
    </row>
    <row r="1385" spans="1:8" x14ac:dyDescent="0.2">
      <c r="A1385" s="10">
        <v>50</v>
      </c>
      <c r="B1385" s="10" t="s">
        <v>1665</v>
      </c>
      <c r="C1385" s="10">
        <v>5096</v>
      </c>
      <c r="D1385" s="10" t="s">
        <v>1738</v>
      </c>
      <c r="E1385" s="11">
        <v>1233</v>
      </c>
      <c r="F1385" s="11">
        <v>1293</v>
      </c>
      <c r="G1385" s="11">
        <v>2526</v>
      </c>
      <c r="H1385" s="11">
        <v>1697</v>
      </c>
    </row>
    <row r="1386" spans="1:8" x14ac:dyDescent="0.2">
      <c r="A1386" s="10">
        <v>50</v>
      </c>
      <c r="B1386" s="10" t="s">
        <v>1665</v>
      </c>
      <c r="C1386" s="10">
        <v>5097</v>
      </c>
      <c r="D1386" s="10" t="s">
        <v>1263</v>
      </c>
      <c r="E1386" s="11">
        <v>4083</v>
      </c>
      <c r="F1386" s="11">
        <v>4818</v>
      </c>
      <c r="G1386" s="11">
        <v>8901</v>
      </c>
      <c r="H1386" s="11">
        <v>4662</v>
      </c>
    </row>
    <row r="1387" spans="1:8" x14ac:dyDescent="0.2">
      <c r="A1387" s="10">
        <v>50</v>
      </c>
      <c r="B1387" s="10" t="s">
        <v>1665</v>
      </c>
      <c r="C1387" s="10">
        <v>5098</v>
      </c>
      <c r="D1387" s="10" t="s">
        <v>1739</v>
      </c>
      <c r="E1387" s="11">
        <v>4097</v>
      </c>
      <c r="F1387" s="11">
        <v>4638</v>
      </c>
      <c r="G1387" s="11">
        <v>8735</v>
      </c>
      <c r="H1387" s="11">
        <v>9515</v>
      </c>
    </row>
    <row r="1388" spans="1:8" x14ac:dyDescent="0.2">
      <c r="A1388" s="10">
        <v>50</v>
      </c>
      <c r="B1388" s="10" t="s">
        <v>1665</v>
      </c>
      <c r="C1388" s="10">
        <v>5099</v>
      </c>
      <c r="D1388" s="10" t="s">
        <v>1740</v>
      </c>
      <c r="E1388" s="11">
        <v>53290</v>
      </c>
      <c r="F1388" s="11">
        <v>60239</v>
      </c>
      <c r="G1388" s="11">
        <v>113529</v>
      </c>
      <c r="H1388" s="11">
        <v>93443</v>
      </c>
    </row>
    <row r="1389" spans="1:8" x14ac:dyDescent="0.2">
      <c r="A1389" s="10">
        <v>51</v>
      </c>
      <c r="B1389" s="10" t="s">
        <v>1741</v>
      </c>
      <c r="C1389" s="10">
        <v>5101</v>
      </c>
      <c r="D1389" s="10" t="s">
        <v>1742</v>
      </c>
      <c r="E1389" s="11">
        <v>28343</v>
      </c>
      <c r="F1389" s="11">
        <v>31894</v>
      </c>
      <c r="G1389" s="11">
        <v>60237</v>
      </c>
      <c r="H1389" s="11">
        <v>30277</v>
      </c>
    </row>
    <row r="1390" spans="1:8" x14ac:dyDescent="0.2">
      <c r="A1390" s="10">
        <v>51</v>
      </c>
      <c r="B1390" s="10" t="s">
        <v>1741</v>
      </c>
      <c r="C1390" s="10">
        <v>5102</v>
      </c>
      <c r="D1390" s="10" t="s">
        <v>1743</v>
      </c>
      <c r="E1390" s="11">
        <v>11892</v>
      </c>
      <c r="F1390" s="11">
        <v>12374</v>
      </c>
      <c r="G1390" s="11">
        <v>24266</v>
      </c>
      <c r="H1390" s="11">
        <v>11016</v>
      </c>
    </row>
    <row r="1391" spans="1:8" x14ac:dyDescent="0.2">
      <c r="A1391" s="10">
        <v>51</v>
      </c>
      <c r="B1391" s="10" t="s">
        <v>1741</v>
      </c>
      <c r="C1391" s="10">
        <v>5103</v>
      </c>
      <c r="D1391" s="10" t="s">
        <v>1744</v>
      </c>
      <c r="E1391" s="11">
        <v>12199</v>
      </c>
      <c r="F1391" s="11">
        <v>12882</v>
      </c>
      <c r="G1391" s="11">
        <v>25081</v>
      </c>
      <c r="H1391" s="11">
        <v>10660</v>
      </c>
    </row>
    <row r="1392" spans="1:8" x14ac:dyDescent="0.2">
      <c r="A1392" s="10">
        <v>51</v>
      </c>
      <c r="B1392" s="10" t="s">
        <v>1741</v>
      </c>
      <c r="C1392" s="10">
        <v>5104</v>
      </c>
      <c r="D1392" s="10" t="s">
        <v>1745</v>
      </c>
      <c r="E1392" s="11">
        <v>30251</v>
      </c>
      <c r="F1392" s="11">
        <v>30099</v>
      </c>
      <c r="G1392" s="11">
        <v>60350</v>
      </c>
      <c r="H1392" s="11">
        <v>22195</v>
      </c>
    </row>
    <row r="1393" spans="1:8" x14ac:dyDescent="0.2">
      <c r="A1393" s="10">
        <v>51</v>
      </c>
      <c r="B1393" s="10" t="s">
        <v>1741</v>
      </c>
      <c r="C1393" s="10">
        <v>5105</v>
      </c>
      <c r="D1393" s="10" t="s">
        <v>1746</v>
      </c>
      <c r="E1393" s="11">
        <v>8706</v>
      </c>
      <c r="F1393" s="11">
        <v>8728</v>
      </c>
      <c r="G1393" s="11">
        <v>17434</v>
      </c>
      <c r="H1393" s="11">
        <v>6684</v>
      </c>
    </row>
    <row r="1394" spans="1:8" x14ac:dyDescent="0.2">
      <c r="A1394" s="10">
        <v>51</v>
      </c>
      <c r="B1394" s="10" t="s">
        <v>1741</v>
      </c>
      <c r="C1394" s="10">
        <v>5106</v>
      </c>
      <c r="D1394" s="10" t="s">
        <v>1747</v>
      </c>
      <c r="E1394" s="11">
        <v>13391</v>
      </c>
      <c r="F1394" s="11">
        <v>14354</v>
      </c>
      <c r="G1394" s="11">
        <v>27745</v>
      </c>
      <c r="H1394" s="11">
        <v>13244</v>
      </c>
    </row>
    <row r="1395" spans="1:8" x14ac:dyDescent="0.2">
      <c r="A1395" s="10">
        <v>51</v>
      </c>
      <c r="B1395" s="10" t="s">
        <v>1741</v>
      </c>
      <c r="C1395" s="10">
        <v>5107</v>
      </c>
      <c r="D1395" s="10" t="s">
        <v>1748</v>
      </c>
      <c r="E1395" s="11">
        <v>3768</v>
      </c>
      <c r="F1395" s="11">
        <v>4173</v>
      </c>
      <c r="G1395" s="11">
        <v>7941</v>
      </c>
      <c r="H1395" s="11">
        <v>3525</v>
      </c>
    </row>
    <row r="1396" spans="1:8" x14ac:dyDescent="0.2">
      <c r="A1396" s="10">
        <v>51</v>
      </c>
      <c r="B1396" s="10" t="s">
        <v>1741</v>
      </c>
      <c r="C1396" s="10">
        <v>5176</v>
      </c>
      <c r="D1396" s="10" t="s">
        <v>1749</v>
      </c>
      <c r="E1396" s="11">
        <v>2512</v>
      </c>
      <c r="F1396" s="11">
        <v>2741</v>
      </c>
      <c r="G1396" s="11">
        <v>5253</v>
      </c>
      <c r="H1396" s="11">
        <v>2311</v>
      </c>
    </row>
    <row r="1397" spans="1:8" x14ac:dyDescent="0.2">
      <c r="A1397" s="10">
        <v>51</v>
      </c>
      <c r="B1397" s="10" t="s">
        <v>1741</v>
      </c>
      <c r="C1397" s="10">
        <v>5177</v>
      </c>
      <c r="D1397" s="10" t="s">
        <v>1750</v>
      </c>
      <c r="E1397" s="11">
        <v>2380</v>
      </c>
      <c r="F1397" s="11">
        <v>2502</v>
      </c>
      <c r="G1397" s="11">
        <v>4882</v>
      </c>
      <c r="H1397" s="11">
        <v>2374</v>
      </c>
    </row>
    <row r="1398" spans="1:8" x14ac:dyDescent="0.2">
      <c r="A1398" s="10">
        <v>51</v>
      </c>
      <c r="B1398" s="10" t="s">
        <v>1741</v>
      </c>
      <c r="C1398" s="10">
        <v>5178</v>
      </c>
      <c r="D1398" s="10" t="s">
        <v>1751</v>
      </c>
      <c r="E1398" s="11">
        <v>2576</v>
      </c>
      <c r="F1398" s="11">
        <v>2792</v>
      </c>
      <c r="G1398" s="11">
        <v>5368</v>
      </c>
      <c r="H1398" s="11">
        <v>2622</v>
      </c>
    </row>
    <row r="1399" spans="1:8" x14ac:dyDescent="0.2">
      <c r="A1399" s="10">
        <v>51</v>
      </c>
      <c r="B1399" s="10" t="s">
        <v>1741</v>
      </c>
      <c r="C1399" s="10">
        <v>5179</v>
      </c>
      <c r="D1399" s="10" t="s">
        <v>1752</v>
      </c>
      <c r="E1399" s="11">
        <v>1671</v>
      </c>
      <c r="F1399" s="11">
        <v>1831</v>
      </c>
      <c r="G1399" s="11">
        <v>3502</v>
      </c>
      <c r="H1399" s="11">
        <v>1832</v>
      </c>
    </row>
    <row r="1400" spans="1:8" x14ac:dyDescent="0.2">
      <c r="A1400" s="10">
        <v>51</v>
      </c>
      <c r="B1400" s="10" t="s">
        <v>1741</v>
      </c>
      <c r="C1400" s="10">
        <v>5180</v>
      </c>
      <c r="D1400" s="10" t="s">
        <v>1753</v>
      </c>
      <c r="E1400" s="11">
        <v>2348</v>
      </c>
      <c r="F1400" s="11">
        <v>2682</v>
      </c>
      <c r="G1400" s="11">
        <v>5030</v>
      </c>
      <c r="H1400" s="11">
        <v>2449</v>
      </c>
    </row>
    <row r="1401" spans="1:8" x14ac:dyDescent="0.2">
      <c r="A1401" s="10">
        <v>51</v>
      </c>
      <c r="B1401" s="10" t="s">
        <v>1741</v>
      </c>
      <c r="C1401" s="10">
        <v>5181</v>
      </c>
      <c r="D1401" s="10" t="s">
        <v>1754</v>
      </c>
      <c r="E1401" s="11">
        <v>7849</v>
      </c>
      <c r="F1401" s="11">
        <v>8654</v>
      </c>
      <c r="G1401" s="11">
        <v>16503</v>
      </c>
      <c r="H1401" s="11">
        <v>9548</v>
      </c>
    </row>
    <row r="1402" spans="1:8" x14ac:dyDescent="0.2">
      <c r="A1402" s="10">
        <v>51</v>
      </c>
      <c r="B1402" s="10" t="s">
        <v>1741</v>
      </c>
      <c r="C1402" s="10">
        <v>5182</v>
      </c>
      <c r="D1402" s="10" t="s">
        <v>1755</v>
      </c>
      <c r="E1402" s="11">
        <v>3413</v>
      </c>
      <c r="F1402" s="11">
        <v>4008</v>
      </c>
      <c r="G1402" s="11">
        <v>7421</v>
      </c>
      <c r="H1402" s="11">
        <v>4146</v>
      </c>
    </row>
    <row r="1403" spans="1:8" x14ac:dyDescent="0.2">
      <c r="A1403" s="10">
        <v>51</v>
      </c>
      <c r="B1403" s="10" t="s">
        <v>1741</v>
      </c>
      <c r="C1403" s="10">
        <v>5183</v>
      </c>
      <c r="D1403" s="10" t="s">
        <v>444</v>
      </c>
      <c r="E1403" s="11">
        <v>5506</v>
      </c>
      <c r="F1403" s="11">
        <v>6478</v>
      </c>
      <c r="G1403" s="11">
        <v>11984</v>
      </c>
      <c r="H1403" s="11">
        <v>11743</v>
      </c>
    </row>
    <row r="1404" spans="1:8" x14ac:dyDescent="0.2">
      <c r="A1404" s="10">
        <v>51</v>
      </c>
      <c r="B1404" s="10" t="s">
        <v>1741</v>
      </c>
      <c r="C1404" s="10">
        <v>5184</v>
      </c>
      <c r="D1404" s="10" t="s">
        <v>1756</v>
      </c>
      <c r="E1404" s="11">
        <v>7364</v>
      </c>
      <c r="F1404" s="11">
        <v>8932</v>
      </c>
      <c r="G1404" s="11">
        <v>16296</v>
      </c>
      <c r="H1404" s="11">
        <v>8903</v>
      </c>
    </row>
    <row r="1405" spans="1:8" x14ac:dyDescent="0.2">
      <c r="A1405" s="10">
        <v>51</v>
      </c>
      <c r="B1405" s="10" t="s">
        <v>1741</v>
      </c>
      <c r="C1405" s="10">
        <v>5185</v>
      </c>
      <c r="D1405" s="10" t="s">
        <v>1757</v>
      </c>
      <c r="E1405" s="11">
        <v>3242</v>
      </c>
      <c r="F1405" s="11">
        <v>3583</v>
      </c>
      <c r="G1405" s="11">
        <v>6825</v>
      </c>
      <c r="H1405" s="11">
        <v>2794</v>
      </c>
    </row>
    <row r="1406" spans="1:8" x14ac:dyDescent="0.2">
      <c r="A1406" s="10">
        <v>51</v>
      </c>
      <c r="B1406" s="10" t="s">
        <v>1741</v>
      </c>
      <c r="C1406" s="10">
        <v>5186</v>
      </c>
      <c r="D1406" s="10" t="s">
        <v>1758</v>
      </c>
      <c r="E1406" s="11">
        <v>4438</v>
      </c>
      <c r="F1406" s="11">
        <v>4908</v>
      </c>
      <c r="G1406" s="11">
        <v>9346</v>
      </c>
      <c r="H1406" s="11">
        <v>4615</v>
      </c>
    </row>
    <row r="1407" spans="1:8" x14ac:dyDescent="0.2">
      <c r="A1407" s="10">
        <v>51</v>
      </c>
      <c r="B1407" s="10" t="s">
        <v>1741</v>
      </c>
      <c r="C1407" s="10">
        <v>5187</v>
      </c>
      <c r="D1407" s="10" t="s">
        <v>1759</v>
      </c>
      <c r="E1407" s="11">
        <v>3470</v>
      </c>
      <c r="F1407" s="11">
        <v>3877</v>
      </c>
      <c r="G1407" s="11">
        <v>7347</v>
      </c>
      <c r="H1407" s="11">
        <v>3334</v>
      </c>
    </row>
    <row r="1408" spans="1:8" x14ac:dyDescent="0.2">
      <c r="A1408" s="10">
        <v>51</v>
      </c>
      <c r="B1408" s="10" t="s">
        <v>1741</v>
      </c>
      <c r="C1408" s="10">
        <v>5188</v>
      </c>
      <c r="D1408" s="10" t="s">
        <v>1760</v>
      </c>
      <c r="E1408" s="11">
        <v>1868</v>
      </c>
      <c r="F1408" s="11">
        <v>2192</v>
      </c>
      <c r="G1408" s="11">
        <v>4060</v>
      </c>
      <c r="H1408" s="11">
        <v>2029</v>
      </c>
    </row>
    <row r="1409" spans="1:8" x14ac:dyDescent="0.2">
      <c r="A1409" s="10">
        <v>51</v>
      </c>
      <c r="B1409" s="10" t="s">
        <v>1741</v>
      </c>
      <c r="C1409" s="10">
        <v>5189</v>
      </c>
      <c r="D1409" s="10" t="s">
        <v>1761</v>
      </c>
      <c r="E1409" s="11">
        <v>3674</v>
      </c>
      <c r="F1409" s="11">
        <v>4398</v>
      </c>
      <c r="G1409" s="11">
        <v>8072</v>
      </c>
      <c r="H1409" s="11">
        <v>4306</v>
      </c>
    </row>
    <row r="1410" spans="1:8" x14ac:dyDescent="0.2">
      <c r="A1410" s="10">
        <v>51</v>
      </c>
      <c r="B1410" s="10" t="s">
        <v>1741</v>
      </c>
      <c r="C1410" s="10">
        <v>5190</v>
      </c>
      <c r="D1410" s="10" t="s">
        <v>1762</v>
      </c>
      <c r="E1410" s="11">
        <v>1262</v>
      </c>
      <c r="F1410" s="11">
        <v>1271</v>
      </c>
      <c r="G1410" s="11">
        <v>2533</v>
      </c>
      <c r="H1410" s="11">
        <v>1315</v>
      </c>
    </row>
    <row r="1411" spans="1:8" x14ac:dyDescent="0.2">
      <c r="A1411" s="10">
        <v>51</v>
      </c>
      <c r="B1411" s="10" t="s">
        <v>1741</v>
      </c>
      <c r="C1411" s="10">
        <v>5191</v>
      </c>
      <c r="D1411" s="10" t="s">
        <v>1763</v>
      </c>
      <c r="E1411" s="11">
        <v>2015</v>
      </c>
      <c r="F1411" s="11">
        <v>2168</v>
      </c>
      <c r="G1411" s="11">
        <v>4183</v>
      </c>
      <c r="H1411" s="11">
        <v>2843</v>
      </c>
    </row>
    <row r="1412" spans="1:8" x14ac:dyDescent="0.2">
      <c r="A1412" s="10">
        <v>51</v>
      </c>
      <c r="B1412" s="10" t="s">
        <v>1741</v>
      </c>
      <c r="C1412" s="10">
        <v>5192</v>
      </c>
      <c r="D1412" s="10" t="s">
        <v>1764</v>
      </c>
      <c r="E1412" s="11">
        <v>1575</v>
      </c>
      <c r="F1412" s="11">
        <v>1751</v>
      </c>
      <c r="G1412" s="11">
        <v>3326</v>
      </c>
      <c r="H1412" s="11">
        <v>1378</v>
      </c>
    </row>
    <row r="1413" spans="1:8" x14ac:dyDescent="0.2">
      <c r="A1413" s="10">
        <v>51</v>
      </c>
      <c r="B1413" s="10" t="s">
        <v>1741</v>
      </c>
      <c r="C1413" s="10">
        <v>5193</v>
      </c>
      <c r="D1413" s="10" t="s">
        <v>1765</v>
      </c>
      <c r="E1413" s="11">
        <v>3301</v>
      </c>
      <c r="F1413" s="11">
        <v>3971</v>
      </c>
      <c r="G1413" s="11">
        <v>7272</v>
      </c>
      <c r="H1413" s="11">
        <v>3728</v>
      </c>
    </row>
    <row r="1414" spans="1:8" x14ac:dyDescent="0.2">
      <c r="A1414" s="10">
        <v>51</v>
      </c>
      <c r="B1414" s="10" t="s">
        <v>1741</v>
      </c>
      <c r="C1414" s="10">
        <v>5194</v>
      </c>
      <c r="D1414" s="10" t="s">
        <v>1766</v>
      </c>
      <c r="E1414" s="11">
        <v>2505</v>
      </c>
      <c r="F1414" s="11">
        <v>2659</v>
      </c>
      <c r="G1414" s="11">
        <v>5164</v>
      </c>
      <c r="H1414" s="11">
        <v>2607</v>
      </c>
    </row>
    <row r="1415" spans="1:8" x14ac:dyDescent="0.2">
      <c r="A1415" s="10">
        <v>51</v>
      </c>
      <c r="B1415" s="10" t="s">
        <v>1741</v>
      </c>
      <c r="C1415" s="10">
        <v>5195</v>
      </c>
      <c r="D1415" s="10" t="s">
        <v>1767</v>
      </c>
      <c r="E1415" s="11">
        <v>1353</v>
      </c>
      <c r="F1415" s="11">
        <v>1508</v>
      </c>
      <c r="G1415" s="11">
        <v>2861</v>
      </c>
      <c r="H1415" s="11">
        <v>1424</v>
      </c>
    </row>
    <row r="1416" spans="1:8" x14ac:dyDescent="0.2">
      <c r="A1416" s="10">
        <v>51</v>
      </c>
      <c r="B1416" s="10" t="s">
        <v>1741</v>
      </c>
      <c r="C1416" s="10">
        <v>5196</v>
      </c>
      <c r="D1416" s="10" t="s">
        <v>1768</v>
      </c>
      <c r="E1416" s="11">
        <v>5875</v>
      </c>
      <c r="F1416" s="11">
        <v>6767</v>
      </c>
      <c r="G1416" s="11">
        <v>12642</v>
      </c>
      <c r="H1416" s="11">
        <v>6261</v>
      </c>
    </row>
    <row r="1417" spans="1:8" x14ac:dyDescent="0.2">
      <c r="A1417" s="10">
        <v>51</v>
      </c>
      <c r="B1417" s="10" t="s">
        <v>1741</v>
      </c>
      <c r="C1417" s="10">
        <v>5197</v>
      </c>
      <c r="D1417" s="10" t="s">
        <v>1769</v>
      </c>
      <c r="E1417" s="11">
        <v>3075</v>
      </c>
      <c r="F1417" s="11">
        <v>3573</v>
      </c>
      <c r="G1417" s="11">
        <v>6648</v>
      </c>
      <c r="H1417" s="11">
        <v>3029</v>
      </c>
    </row>
    <row r="1418" spans="1:8" x14ac:dyDescent="0.2">
      <c r="A1418" s="10">
        <v>51</v>
      </c>
      <c r="B1418" s="10" t="s">
        <v>1741</v>
      </c>
      <c r="C1418" s="10">
        <v>5198</v>
      </c>
      <c r="D1418" s="10" t="s">
        <v>1770</v>
      </c>
      <c r="E1418" s="11">
        <v>2881</v>
      </c>
      <c r="F1418" s="11">
        <v>3340</v>
      </c>
      <c r="G1418" s="11">
        <v>6221</v>
      </c>
      <c r="H1418" s="11">
        <v>3018</v>
      </c>
    </row>
    <row r="1419" spans="1:8" x14ac:dyDescent="0.2">
      <c r="A1419" s="10">
        <v>51</v>
      </c>
      <c r="B1419" s="10" t="s">
        <v>1741</v>
      </c>
      <c r="C1419" s="10">
        <v>5199</v>
      </c>
      <c r="D1419" s="10" t="s">
        <v>1771</v>
      </c>
      <c r="E1419" s="11">
        <v>4944</v>
      </c>
      <c r="F1419" s="11">
        <v>6016</v>
      </c>
      <c r="G1419" s="11">
        <v>10960</v>
      </c>
      <c r="H1419" s="11">
        <v>7282</v>
      </c>
    </row>
    <row r="1420" spans="1:8" x14ac:dyDescent="0.2">
      <c r="A1420" s="10">
        <v>52</v>
      </c>
      <c r="B1420" s="10" t="s">
        <v>1772</v>
      </c>
      <c r="C1420" s="10">
        <v>5201</v>
      </c>
      <c r="D1420" s="10" t="s">
        <v>1773</v>
      </c>
      <c r="E1420" s="11">
        <v>43427</v>
      </c>
      <c r="F1420" s="11">
        <v>45584</v>
      </c>
      <c r="G1420" s="11">
        <v>89011</v>
      </c>
      <c r="H1420" s="11">
        <v>40170</v>
      </c>
    </row>
    <row r="1421" spans="1:8" x14ac:dyDescent="0.2">
      <c r="A1421" s="10">
        <v>52</v>
      </c>
      <c r="B1421" s="10" t="s">
        <v>1772</v>
      </c>
      <c r="C1421" s="10">
        <v>5202</v>
      </c>
      <c r="D1421" s="10" t="s">
        <v>1774</v>
      </c>
      <c r="E1421" s="11">
        <v>11858</v>
      </c>
      <c r="F1421" s="11">
        <v>11751</v>
      </c>
      <c r="G1421" s="11">
        <v>23609</v>
      </c>
      <c r="H1421" s="11">
        <v>9557</v>
      </c>
    </row>
    <row r="1422" spans="1:8" x14ac:dyDescent="0.2">
      <c r="A1422" s="10">
        <v>52</v>
      </c>
      <c r="B1422" s="10" t="s">
        <v>1772</v>
      </c>
      <c r="C1422" s="10">
        <v>5203</v>
      </c>
      <c r="D1422" s="10" t="s">
        <v>1775</v>
      </c>
      <c r="E1422" s="11">
        <v>16776</v>
      </c>
      <c r="F1422" s="11">
        <v>18105</v>
      </c>
      <c r="G1422" s="11">
        <v>34881</v>
      </c>
      <c r="H1422" s="11">
        <v>13670</v>
      </c>
    </row>
    <row r="1423" spans="1:8" x14ac:dyDescent="0.2">
      <c r="A1423" s="10">
        <v>52</v>
      </c>
      <c r="B1423" s="10" t="s">
        <v>1772</v>
      </c>
      <c r="C1423" s="10">
        <v>5204</v>
      </c>
      <c r="D1423" s="10" t="s">
        <v>1776</v>
      </c>
      <c r="E1423" s="11">
        <v>10803</v>
      </c>
      <c r="F1423" s="11">
        <v>10820</v>
      </c>
      <c r="G1423" s="11">
        <v>21623</v>
      </c>
      <c r="H1423" s="11">
        <v>7887</v>
      </c>
    </row>
    <row r="1424" spans="1:8" x14ac:dyDescent="0.2">
      <c r="A1424" s="10">
        <v>52</v>
      </c>
      <c r="B1424" s="10" t="s">
        <v>1772</v>
      </c>
      <c r="C1424" s="10">
        <v>5205</v>
      </c>
      <c r="D1424" s="10" t="s">
        <v>1777</v>
      </c>
      <c r="E1424" s="11">
        <v>23538</v>
      </c>
      <c r="F1424" s="11">
        <v>23659</v>
      </c>
      <c r="G1424" s="11">
        <v>47197</v>
      </c>
      <c r="H1424" s="11">
        <v>18643</v>
      </c>
    </row>
    <row r="1425" spans="1:8" x14ac:dyDescent="0.2">
      <c r="A1425" s="10">
        <v>52</v>
      </c>
      <c r="B1425" s="10" t="s">
        <v>1772</v>
      </c>
      <c r="C1425" s="10">
        <v>5206</v>
      </c>
      <c r="D1425" s="10" t="s">
        <v>1778</v>
      </c>
      <c r="E1425" s="11">
        <v>16508</v>
      </c>
      <c r="F1425" s="11">
        <v>17069</v>
      </c>
      <c r="G1425" s="11">
        <v>33577</v>
      </c>
      <c r="H1425" s="11">
        <v>13441</v>
      </c>
    </row>
    <row r="1426" spans="1:8" x14ac:dyDescent="0.2">
      <c r="A1426" s="10">
        <v>52</v>
      </c>
      <c r="B1426" s="10" t="s">
        <v>1772</v>
      </c>
      <c r="C1426" s="10">
        <v>5207</v>
      </c>
      <c r="D1426" s="10" t="s">
        <v>1779</v>
      </c>
      <c r="E1426" s="11">
        <v>17981</v>
      </c>
      <c r="F1426" s="11">
        <v>17869</v>
      </c>
      <c r="G1426" s="11">
        <v>35850</v>
      </c>
      <c r="H1426" s="11">
        <v>13756</v>
      </c>
    </row>
    <row r="1427" spans="1:8" x14ac:dyDescent="0.2">
      <c r="A1427" s="10">
        <v>52</v>
      </c>
      <c r="B1427" s="10" t="s">
        <v>1772</v>
      </c>
      <c r="C1427" s="10">
        <v>5208</v>
      </c>
      <c r="D1427" s="10" t="s">
        <v>1780</v>
      </c>
      <c r="E1427" s="11">
        <v>15845</v>
      </c>
      <c r="F1427" s="11">
        <v>16423</v>
      </c>
      <c r="G1427" s="11">
        <v>32268</v>
      </c>
      <c r="H1427" s="11">
        <v>11762</v>
      </c>
    </row>
    <row r="1428" spans="1:8" x14ac:dyDescent="0.2">
      <c r="A1428" s="10">
        <v>52</v>
      </c>
      <c r="B1428" s="10" t="s">
        <v>1772</v>
      </c>
      <c r="C1428" s="10">
        <v>5209</v>
      </c>
      <c r="D1428" s="10" t="s">
        <v>1781</v>
      </c>
      <c r="E1428" s="11">
        <v>4405</v>
      </c>
      <c r="F1428" s="11">
        <v>4561</v>
      </c>
      <c r="G1428" s="11">
        <v>8966</v>
      </c>
      <c r="H1428" s="11">
        <v>3302</v>
      </c>
    </row>
    <row r="1429" spans="1:8" x14ac:dyDescent="0.2">
      <c r="A1429" s="10">
        <v>52</v>
      </c>
      <c r="B1429" s="10" t="s">
        <v>1772</v>
      </c>
      <c r="C1429" s="10">
        <v>5210</v>
      </c>
      <c r="D1429" s="10" t="s">
        <v>1782</v>
      </c>
      <c r="E1429" s="11">
        <v>13239</v>
      </c>
      <c r="F1429" s="11">
        <v>13656</v>
      </c>
      <c r="G1429" s="11">
        <v>26895</v>
      </c>
      <c r="H1429" s="11">
        <v>11044</v>
      </c>
    </row>
    <row r="1430" spans="1:8" x14ac:dyDescent="0.2">
      <c r="A1430" s="10">
        <v>52</v>
      </c>
      <c r="B1430" s="10" t="s">
        <v>1772</v>
      </c>
      <c r="C1430" s="10">
        <v>5211</v>
      </c>
      <c r="D1430" s="10" t="s">
        <v>1783</v>
      </c>
      <c r="E1430" s="11">
        <v>10098</v>
      </c>
      <c r="F1430" s="11">
        <v>10464</v>
      </c>
      <c r="G1430" s="11">
        <v>20562</v>
      </c>
      <c r="H1430" s="11">
        <v>6794</v>
      </c>
    </row>
    <row r="1431" spans="1:8" x14ac:dyDescent="0.2">
      <c r="A1431" s="10">
        <v>52</v>
      </c>
      <c r="B1431" s="10" t="s">
        <v>1772</v>
      </c>
      <c r="C1431" s="10">
        <v>5212</v>
      </c>
      <c r="D1431" s="10" t="s">
        <v>1784</v>
      </c>
      <c r="E1431" s="11">
        <v>22314</v>
      </c>
      <c r="F1431" s="11">
        <v>23265</v>
      </c>
      <c r="G1431" s="11">
        <v>45579</v>
      </c>
      <c r="H1431" s="11">
        <v>20049</v>
      </c>
    </row>
    <row r="1432" spans="1:8" x14ac:dyDescent="0.2">
      <c r="A1432" s="10">
        <v>52</v>
      </c>
      <c r="B1432" s="10" t="s">
        <v>1772</v>
      </c>
      <c r="C1432" s="10">
        <v>5213</v>
      </c>
      <c r="D1432" s="10" t="s">
        <v>1785</v>
      </c>
      <c r="E1432" s="11">
        <v>15810</v>
      </c>
      <c r="F1432" s="11">
        <v>15926</v>
      </c>
      <c r="G1432" s="11">
        <v>31736</v>
      </c>
      <c r="H1432" s="11">
        <v>12619</v>
      </c>
    </row>
    <row r="1433" spans="1:8" x14ac:dyDescent="0.2">
      <c r="A1433" s="10">
        <v>52</v>
      </c>
      <c r="B1433" s="10" t="s">
        <v>1772</v>
      </c>
      <c r="C1433" s="10">
        <v>5275</v>
      </c>
      <c r="D1433" s="10" t="s">
        <v>1786</v>
      </c>
      <c r="E1433" s="11">
        <v>4518</v>
      </c>
      <c r="F1433" s="11">
        <v>4750</v>
      </c>
      <c r="G1433" s="11">
        <v>9268</v>
      </c>
      <c r="H1433" s="11">
        <v>3589</v>
      </c>
    </row>
    <row r="1434" spans="1:8" x14ac:dyDescent="0.2">
      <c r="A1434" s="10">
        <v>52</v>
      </c>
      <c r="B1434" s="10" t="s">
        <v>1772</v>
      </c>
      <c r="C1434" s="10">
        <v>5276</v>
      </c>
      <c r="D1434" s="10" t="s">
        <v>1787</v>
      </c>
      <c r="E1434" s="11">
        <v>3063</v>
      </c>
      <c r="F1434" s="11">
        <v>3211</v>
      </c>
      <c r="G1434" s="11">
        <v>6274</v>
      </c>
      <c r="H1434" s="11">
        <v>3058</v>
      </c>
    </row>
    <row r="1435" spans="1:8" x14ac:dyDescent="0.2">
      <c r="A1435" s="10">
        <v>52</v>
      </c>
      <c r="B1435" s="10" t="s">
        <v>1772</v>
      </c>
      <c r="C1435" s="10">
        <v>5279</v>
      </c>
      <c r="D1435" s="10" t="s">
        <v>1788</v>
      </c>
      <c r="E1435" s="11">
        <v>4197</v>
      </c>
      <c r="F1435" s="11">
        <v>4444</v>
      </c>
      <c r="G1435" s="11">
        <v>8641</v>
      </c>
      <c r="H1435" s="11">
        <v>3248</v>
      </c>
    </row>
    <row r="1436" spans="1:8" x14ac:dyDescent="0.2">
      <c r="A1436" s="10">
        <v>52</v>
      </c>
      <c r="B1436" s="10" t="s">
        <v>1772</v>
      </c>
      <c r="C1436" s="10">
        <v>5280</v>
      </c>
      <c r="D1436" s="10" t="s">
        <v>1789</v>
      </c>
      <c r="E1436" s="11">
        <v>4215</v>
      </c>
      <c r="F1436" s="11">
        <v>4676</v>
      </c>
      <c r="G1436" s="11">
        <v>8891</v>
      </c>
      <c r="H1436" s="11">
        <v>3432</v>
      </c>
    </row>
    <row r="1437" spans="1:8" x14ac:dyDescent="0.2">
      <c r="A1437" s="10">
        <v>52</v>
      </c>
      <c r="B1437" s="10" t="s">
        <v>1772</v>
      </c>
      <c r="C1437" s="10">
        <v>5281</v>
      </c>
      <c r="D1437" s="10" t="s">
        <v>1790</v>
      </c>
      <c r="E1437" s="11">
        <v>2287</v>
      </c>
      <c r="F1437" s="11">
        <v>2191</v>
      </c>
      <c r="G1437" s="11">
        <v>4478</v>
      </c>
      <c r="H1437" s="11">
        <v>1639</v>
      </c>
    </row>
    <row r="1438" spans="1:8" x14ac:dyDescent="0.2">
      <c r="A1438" s="10">
        <v>52</v>
      </c>
      <c r="B1438" s="10" t="s">
        <v>1772</v>
      </c>
      <c r="C1438" s="10">
        <v>5282</v>
      </c>
      <c r="D1438" s="10" t="s">
        <v>1791</v>
      </c>
      <c r="E1438" s="11">
        <v>7206</v>
      </c>
      <c r="F1438" s="11">
        <v>7605</v>
      </c>
      <c r="G1438" s="11">
        <v>14811</v>
      </c>
      <c r="H1438" s="11">
        <v>8891</v>
      </c>
    </row>
    <row r="1439" spans="1:8" x14ac:dyDescent="0.2">
      <c r="A1439" s="10">
        <v>52</v>
      </c>
      <c r="B1439" s="10" t="s">
        <v>1772</v>
      </c>
      <c r="C1439" s="10">
        <v>5283</v>
      </c>
      <c r="D1439" s="10" t="s">
        <v>1792</v>
      </c>
      <c r="E1439" s="11">
        <v>4980</v>
      </c>
      <c r="F1439" s="11">
        <v>5032</v>
      </c>
      <c r="G1439" s="11">
        <v>10012</v>
      </c>
      <c r="H1439" s="11">
        <v>3645</v>
      </c>
    </row>
    <row r="1440" spans="1:8" x14ac:dyDescent="0.2">
      <c r="A1440" s="10">
        <v>52</v>
      </c>
      <c r="B1440" s="10" t="s">
        <v>1772</v>
      </c>
      <c r="C1440" s="10">
        <v>5284</v>
      </c>
      <c r="D1440" s="10" t="s">
        <v>1793</v>
      </c>
      <c r="E1440" s="11">
        <v>1196</v>
      </c>
      <c r="F1440" s="11">
        <v>1478</v>
      </c>
      <c r="G1440" s="11">
        <v>2674</v>
      </c>
      <c r="H1440" s="11">
        <v>1339</v>
      </c>
    </row>
    <row r="1441" spans="1:8" x14ac:dyDescent="0.2">
      <c r="A1441" s="10">
        <v>52</v>
      </c>
      <c r="B1441" s="10" t="s">
        <v>1772</v>
      </c>
      <c r="C1441" s="10">
        <v>5285</v>
      </c>
      <c r="D1441" s="10" t="s">
        <v>1794</v>
      </c>
      <c r="E1441" s="11">
        <v>2516</v>
      </c>
      <c r="F1441" s="11">
        <v>2798</v>
      </c>
      <c r="G1441" s="11">
        <v>5314</v>
      </c>
      <c r="H1441" s="11">
        <v>2141</v>
      </c>
    </row>
    <row r="1442" spans="1:8" x14ac:dyDescent="0.2">
      <c r="A1442" s="10">
        <v>52</v>
      </c>
      <c r="B1442" s="10" t="s">
        <v>1772</v>
      </c>
      <c r="C1442" s="10">
        <v>5286</v>
      </c>
      <c r="D1442" s="10" t="s">
        <v>1795</v>
      </c>
      <c r="E1442" s="11">
        <v>3637</v>
      </c>
      <c r="F1442" s="11">
        <v>3887</v>
      </c>
      <c r="G1442" s="11">
        <v>7524</v>
      </c>
      <c r="H1442" s="11">
        <v>3053</v>
      </c>
    </row>
    <row r="1443" spans="1:8" x14ac:dyDescent="0.2">
      <c r="A1443" s="10">
        <v>52</v>
      </c>
      <c r="B1443" s="10" t="s">
        <v>1772</v>
      </c>
      <c r="C1443" s="10">
        <v>5287</v>
      </c>
      <c r="D1443" s="10" t="s">
        <v>1796</v>
      </c>
      <c r="E1443" s="11">
        <v>1148</v>
      </c>
      <c r="F1443" s="11">
        <v>1283</v>
      </c>
      <c r="G1443" s="11">
        <v>2431</v>
      </c>
      <c r="H1443" s="11">
        <v>1164</v>
      </c>
    </row>
    <row r="1444" spans="1:8" x14ac:dyDescent="0.2">
      <c r="A1444" s="10">
        <v>52</v>
      </c>
      <c r="B1444" s="10" t="s">
        <v>1772</v>
      </c>
      <c r="C1444" s="10">
        <v>5288</v>
      </c>
      <c r="D1444" s="10" t="s">
        <v>1797</v>
      </c>
      <c r="E1444" s="11">
        <v>1721</v>
      </c>
      <c r="F1444" s="11">
        <v>1928</v>
      </c>
      <c r="G1444" s="11">
        <v>3649</v>
      </c>
      <c r="H1444" s="11">
        <v>1372</v>
      </c>
    </row>
    <row r="1445" spans="1:8" x14ac:dyDescent="0.2">
      <c r="A1445" s="10">
        <v>52</v>
      </c>
      <c r="B1445" s="10" t="s">
        <v>1772</v>
      </c>
      <c r="C1445" s="10">
        <v>5289</v>
      </c>
      <c r="D1445" s="10" t="s">
        <v>1798</v>
      </c>
      <c r="E1445" s="11">
        <v>6226</v>
      </c>
      <c r="F1445" s="11">
        <v>7266</v>
      </c>
      <c r="G1445" s="11">
        <v>13492</v>
      </c>
      <c r="H1445" s="11">
        <v>7321</v>
      </c>
    </row>
    <row r="1446" spans="1:8" x14ac:dyDescent="0.2">
      <c r="A1446" s="10">
        <v>52</v>
      </c>
      <c r="B1446" s="10" t="s">
        <v>1772</v>
      </c>
      <c r="C1446" s="10">
        <v>5290</v>
      </c>
      <c r="D1446" s="10" t="s">
        <v>1799</v>
      </c>
      <c r="E1446" s="11">
        <v>1924</v>
      </c>
      <c r="F1446" s="11">
        <v>1943</v>
      </c>
      <c r="G1446" s="11">
        <v>3867</v>
      </c>
      <c r="H1446" s="11">
        <v>2027</v>
      </c>
    </row>
    <row r="1447" spans="1:8" x14ac:dyDescent="0.2">
      <c r="A1447" s="10">
        <v>52</v>
      </c>
      <c r="B1447" s="10" t="s">
        <v>1772</v>
      </c>
      <c r="C1447" s="10">
        <v>5291</v>
      </c>
      <c r="D1447" s="10" t="s">
        <v>1800</v>
      </c>
      <c r="E1447" s="11">
        <v>1203</v>
      </c>
      <c r="F1447" s="11">
        <v>1239</v>
      </c>
      <c r="G1447" s="11">
        <v>2442</v>
      </c>
      <c r="H1447" s="10">
        <v>903</v>
      </c>
    </row>
    <row r="1448" spans="1:8" x14ac:dyDescent="0.2">
      <c r="A1448" s="10">
        <v>52</v>
      </c>
      <c r="B1448" s="10" t="s">
        <v>1772</v>
      </c>
      <c r="C1448" s="10">
        <v>5292</v>
      </c>
      <c r="D1448" s="10" t="s">
        <v>1801</v>
      </c>
      <c r="E1448" s="11">
        <v>1539</v>
      </c>
      <c r="F1448" s="11">
        <v>1723</v>
      </c>
      <c r="G1448" s="11">
        <v>3262</v>
      </c>
      <c r="H1448" s="11">
        <v>1710</v>
      </c>
    </row>
    <row r="1449" spans="1:8" x14ac:dyDescent="0.2">
      <c r="A1449" s="10">
        <v>52</v>
      </c>
      <c r="B1449" s="10" t="s">
        <v>1772</v>
      </c>
      <c r="C1449" s="10">
        <v>5293</v>
      </c>
      <c r="D1449" s="10" t="s">
        <v>1802</v>
      </c>
      <c r="E1449" s="11">
        <v>3934</v>
      </c>
      <c r="F1449" s="11">
        <v>4043</v>
      </c>
      <c r="G1449" s="11">
        <v>7977</v>
      </c>
      <c r="H1449" s="11">
        <v>3138</v>
      </c>
    </row>
    <row r="1450" spans="1:8" x14ac:dyDescent="0.2">
      <c r="A1450" s="10">
        <v>52</v>
      </c>
      <c r="B1450" s="10" t="s">
        <v>1772</v>
      </c>
      <c r="C1450" s="10">
        <v>5294</v>
      </c>
      <c r="D1450" s="10" t="s">
        <v>1803</v>
      </c>
      <c r="E1450" s="11">
        <v>1846</v>
      </c>
      <c r="F1450" s="11">
        <v>2098</v>
      </c>
      <c r="G1450" s="11">
        <v>3944</v>
      </c>
      <c r="H1450" s="11">
        <v>2411</v>
      </c>
    </row>
    <row r="1451" spans="1:8" x14ac:dyDescent="0.2">
      <c r="A1451" s="10">
        <v>52</v>
      </c>
      <c r="B1451" s="10" t="s">
        <v>1772</v>
      </c>
      <c r="C1451" s="10">
        <v>5295</v>
      </c>
      <c r="D1451" s="10" t="s">
        <v>1804</v>
      </c>
      <c r="E1451" s="11">
        <v>2014</v>
      </c>
      <c r="F1451" s="11">
        <v>2344</v>
      </c>
      <c r="G1451" s="11">
        <v>4358</v>
      </c>
      <c r="H1451" s="11">
        <v>2438</v>
      </c>
    </row>
    <row r="1452" spans="1:8" x14ac:dyDescent="0.2">
      <c r="A1452" s="10">
        <v>52</v>
      </c>
      <c r="B1452" s="10" t="s">
        <v>1772</v>
      </c>
      <c r="C1452" s="10">
        <v>5296</v>
      </c>
      <c r="D1452" s="10" t="s">
        <v>1805</v>
      </c>
      <c r="E1452" s="11">
        <v>6130</v>
      </c>
      <c r="F1452" s="11">
        <v>7063</v>
      </c>
      <c r="G1452" s="11">
        <v>13193</v>
      </c>
      <c r="H1452" s="11">
        <v>6707</v>
      </c>
    </row>
    <row r="1453" spans="1:8" x14ac:dyDescent="0.2">
      <c r="A1453" s="10">
        <v>52</v>
      </c>
      <c r="B1453" s="10" t="s">
        <v>1772</v>
      </c>
      <c r="C1453" s="10">
        <v>5297</v>
      </c>
      <c r="D1453" s="10" t="s">
        <v>1806</v>
      </c>
      <c r="E1453" s="11">
        <v>4499</v>
      </c>
      <c r="F1453" s="11">
        <v>5033</v>
      </c>
      <c r="G1453" s="11">
        <v>9532</v>
      </c>
      <c r="H1453" s="11">
        <v>4619</v>
      </c>
    </row>
    <row r="1454" spans="1:8" x14ac:dyDescent="0.2">
      <c r="A1454" s="10">
        <v>52</v>
      </c>
      <c r="B1454" s="10" t="s">
        <v>1772</v>
      </c>
      <c r="C1454" s="10">
        <v>5298</v>
      </c>
      <c r="D1454" s="10" t="s">
        <v>1807</v>
      </c>
      <c r="E1454" s="11">
        <v>27691</v>
      </c>
      <c r="F1454" s="11">
        <v>30883</v>
      </c>
      <c r="G1454" s="11">
        <v>58574</v>
      </c>
      <c r="H1454" s="11">
        <v>27329</v>
      </c>
    </row>
    <row r="1455" spans="1:8" x14ac:dyDescent="0.2">
      <c r="A1455" s="10">
        <v>52</v>
      </c>
      <c r="B1455" s="10" t="s">
        <v>1772</v>
      </c>
      <c r="C1455" s="10">
        <v>5299</v>
      </c>
      <c r="D1455" s="10" t="s">
        <v>1808</v>
      </c>
      <c r="E1455" s="11">
        <v>21371</v>
      </c>
      <c r="F1455" s="11">
        <v>26393</v>
      </c>
      <c r="G1455" s="11">
        <v>47764</v>
      </c>
      <c r="H1455" s="11">
        <v>30101</v>
      </c>
    </row>
    <row r="1456" spans="1:8" x14ac:dyDescent="0.2">
      <c r="A1456" s="10">
        <v>53</v>
      </c>
      <c r="B1456" s="10" t="s">
        <v>1809</v>
      </c>
      <c r="C1456" s="10">
        <v>5301</v>
      </c>
      <c r="D1456" s="10" t="s">
        <v>1810</v>
      </c>
      <c r="E1456" s="11">
        <v>21966</v>
      </c>
      <c r="F1456" s="11">
        <v>23217</v>
      </c>
      <c r="G1456" s="11">
        <v>45183</v>
      </c>
      <c r="H1456" s="11">
        <v>18462</v>
      </c>
    </row>
    <row r="1457" spans="1:8" x14ac:dyDescent="0.2">
      <c r="A1457" s="10">
        <v>53</v>
      </c>
      <c r="B1457" s="10" t="s">
        <v>1809</v>
      </c>
      <c r="C1457" s="10">
        <v>5302</v>
      </c>
      <c r="D1457" s="10" t="s">
        <v>1811</v>
      </c>
      <c r="E1457" s="11">
        <v>14046</v>
      </c>
      <c r="F1457" s="11">
        <v>14939</v>
      </c>
      <c r="G1457" s="11">
        <v>28985</v>
      </c>
      <c r="H1457" s="11">
        <v>10370</v>
      </c>
    </row>
    <row r="1458" spans="1:8" x14ac:dyDescent="0.2">
      <c r="A1458" s="10">
        <v>53</v>
      </c>
      <c r="B1458" s="10" t="s">
        <v>1809</v>
      </c>
      <c r="C1458" s="10">
        <v>5303</v>
      </c>
      <c r="D1458" s="10" t="s">
        <v>1812</v>
      </c>
      <c r="E1458" s="11">
        <v>14059</v>
      </c>
      <c r="F1458" s="11">
        <v>14283</v>
      </c>
      <c r="G1458" s="11">
        <v>28342</v>
      </c>
      <c r="H1458" s="11">
        <v>10207</v>
      </c>
    </row>
    <row r="1459" spans="1:8" x14ac:dyDescent="0.2">
      <c r="A1459" s="10">
        <v>53</v>
      </c>
      <c r="B1459" s="10" t="s">
        <v>1809</v>
      </c>
      <c r="C1459" s="10">
        <v>5304</v>
      </c>
      <c r="D1459" s="10" t="s">
        <v>1813</v>
      </c>
      <c r="E1459" s="11">
        <v>16210</v>
      </c>
      <c r="F1459" s="11">
        <v>16299</v>
      </c>
      <c r="G1459" s="11">
        <v>32509</v>
      </c>
      <c r="H1459" s="11">
        <v>12376</v>
      </c>
    </row>
    <row r="1460" spans="1:8" x14ac:dyDescent="0.2">
      <c r="A1460" s="10">
        <v>53</v>
      </c>
      <c r="B1460" s="10" t="s">
        <v>1809</v>
      </c>
      <c r="C1460" s="10">
        <v>5305</v>
      </c>
      <c r="D1460" s="10" t="s">
        <v>1814</v>
      </c>
      <c r="E1460" s="11">
        <v>6226</v>
      </c>
      <c r="F1460" s="11">
        <v>6629</v>
      </c>
      <c r="G1460" s="11">
        <v>12855</v>
      </c>
      <c r="H1460" s="11">
        <v>5273</v>
      </c>
    </row>
    <row r="1461" spans="1:8" x14ac:dyDescent="0.2">
      <c r="A1461" s="10">
        <v>53</v>
      </c>
      <c r="B1461" s="10" t="s">
        <v>1809</v>
      </c>
      <c r="C1461" s="10">
        <v>5306</v>
      </c>
      <c r="D1461" s="10" t="s">
        <v>1815</v>
      </c>
      <c r="E1461" s="11">
        <v>5199</v>
      </c>
      <c r="F1461" s="11">
        <v>5082</v>
      </c>
      <c r="G1461" s="11">
        <v>10281</v>
      </c>
      <c r="H1461" s="11">
        <v>4683</v>
      </c>
    </row>
    <row r="1462" spans="1:8" x14ac:dyDescent="0.2">
      <c r="A1462" s="10">
        <v>53</v>
      </c>
      <c r="B1462" s="10" t="s">
        <v>1809</v>
      </c>
      <c r="C1462" s="10">
        <v>5307</v>
      </c>
      <c r="D1462" s="10" t="s">
        <v>1816</v>
      </c>
      <c r="E1462" s="11">
        <v>33965</v>
      </c>
      <c r="F1462" s="11">
        <v>36035</v>
      </c>
      <c r="G1462" s="11">
        <v>70000</v>
      </c>
      <c r="H1462" s="11">
        <v>26684</v>
      </c>
    </row>
    <row r="1463" spans="1:8" x14ac:dyDescent="0.2">
      <c r="A1463" s="10">
        <v>53</v>
      </c>
      <c r="B1463" s="10" t="s">
        <v>1809</v>
      </c>
      <c r="C1463" s="10">
        <v>5308</v>
      </c>
      <c r="D1463" s="10" t="s">
        <v>1817</v>
      </c>
      <c r="E1463" s="11">
        <v>17729</v>
      </c>
      <c r="F1463" s="11">
        <v>18187</v>
      </c>
      <c r="G1463" s="11">
        <v>35916</v>
      </c>
      <c r="H1463" s="11">
        <v>15646</v>
      </c>
    </row>
    <row r="1464" spans="1:8" x14ac:dyDescent="0.2">
      <c r="A1464" s="10">
        <v>53</v>
      </c>
      <c r="B1464" s="10" t="s">
        <v>1809</v>
      </c>
      <c r="C1464" s="10">
        <v>5309</v>
      </c>
      <c r="D1464" s="10" t="s">
        <v>1818</v>
      </c>
      <c r="E1464" s="11">
        <v>12740</v>
      </c>
      <c r="F1464" s="11">
        <v>13076</v>
      </c>
      <c r="G1464" s="11">
        <v>25816</v>
      </c>
      <c r="H1464" s="11">
        <v>9842</v>
      </c>
    </row>
    <row r="1465" spans="1:8" x14ac:dyDescent="0.2">
      <c r="A1465" s="10">
        <v>53</v>
      </c>
      <c r="B1465" s="10" t="s">
        <v>1809</v>
      </c>
      <c r="C1465" s="10">
        <v>5377</v>
      </c>
      <c r="D1465" s="10" t="s">
        <v>1819</v>
      </c>
      <c r="E1465" s="11">
        <v>7531</v>
      </c>
      <c r="F1465" s="11">
        <v>7357</v>
      </c>
      <c r="G1465" s="11">
        <v>14888</v>
      </c>
      <c r="H1465" s="11">
        <v>7999</v>
      </c>
    </row>
    <row r="1466" spans="1:8" x14ac:dyDescent="0.2">
      <c r="A1466" s="10">
        <v>53</v>
      </c>
      <c r="B1466" s="10" t="s">
        <v>1809</v>
      </c>
      <c r="C1466" s="10">
        <v>5378</v>
      </c>
      <c r="D1466" s="10" t="s">
        <v>1820</v>
      </c>
      <c r="E1466" s="11">
        <v>3326</v>
      </c>
      <c r="F1466" s="11">
        <v>3507</v>
      </c>
      <c r="G1466" s="11">
        <v>6833</v>
      </c>
      <c r="H1466" s="11">
        <v>2681</v>
      </c>
    </row>
    <row r="1467" spans="1:8" x14ac:dyDescent="0.2">
      <c r="A1467" s="10">
        <v>53</v>
      </c>
      <c r="B1467" s="10" t="s">
        <v>1809</v>
      </c>
      <c r="C1467" s="10">
        <v>5379</v>
      </c>
      <c r="D1467" s="10" t="s">
        <v>1821</v>
      </c>
      <c r="E1467" s="11">
        <v>3582</v>
      </c>
      <c r="F1467" s="11">
        <v>3896</v>
      </c>
      <c r="G1467" s="11">
        <v>7478</v>
      </c>
      <c r="H1467" s="11">
        <v>2736</v>
      </c>
    </row>
    <row r="1468" spans="1:8" x14ac:dyDescent="0.2">
      <c r="A1468" s="10">
        <v>53</v>
      </c>
      <c r="B1468" s="10" t="s">
        <v>1809</v>
      </c>
      <c r="C1468" s="10">
        <v>5380</v>
      </c>
      <c r="D1468" s="10" t="s">
        <v>1822</v>
      </c>
      <c r="E1468" s="11">
        <v>4227</v>
      </c>
      <c r="F1468" s="11">
        <v>4082</v>
      </c>
      <c r="G1468" s="11">
        <v>8309</v>
      </c>
      <c r="H1468" s="11">
        <v>2371</v>
      </c>
    </row>
    <row r="1469" spans="1:8" x14ac:dyDescent="0.2">
      <c r="A1469" s="10">
        <v>53</v>
      </c>
      <c r="B1469" s="10" t="s">
        <v>1809</v>
      </c>
      <c r="C1469" s="10">
        <v>5381</v>
      </c>
      <c r="D1469" s="10" t="s">
        <v>1823</v>
      </c>
      <c r="E1469" s="11">
        <v>4214</v>
      </c>
      <c r="F1469" s="11">
        <v>4521</v>
      </c>
      <c r="G1469" s="11">
        <v>8735</v>
      </c>
      <c r="H1469" s="11">
        <v>3612</v>
      </c>
    </row>
    <row r="1470" spans="1:8" x14ac:dyDescent="0.2">
      <c r="A1470" s="10">
        <v>53</v>
      </c>
      <c r="B1470" s="10" t="s">
        <v>1809</v>
      </c>
      <c r="C1470" s="10">
        <v>5382</v>
      </c>
      <c r="D1470" s="10" t="s">
        <v>1824</v>
      </c>
      <c r="E1470" s="11">
        <v>3796</v>
      </c>
      <c r="F1470" s="11">
        <v>4116</v>
      </c>
      <c r="G1470" s="11">
        <v>7912</v>
      </c>
      <c r="H1470" s="11">
        <v>3163</v>
      </c>
    </row>
    <row r="1471" spans="1:8" x14ac:dyDescent="0.2">
      <c r="A1471" s="10">
        <v>53</v>
      </c>
      <c r="B1471" s="10" t="s">
        <v>1809</v>
      </c>
      <c r="C1471" s="10">
        <v>5383</v>
      </c>
      <c r="D1471" s="10" t="s">
        <v>1825</v>
      </c>
      <c r="E1471" s="11">
        <v>4369</v>
      </c>
      <c r="F1471" s="11">
        <v>5087</v>
      </c>
      <c r="G1471" s="11">
        <v>9456</v>
      </c>
      <c r="H1471" s="11">
        <v>4033</v>
      </c>
    </row>
    <row r="1472" spans="1:8" x14ac:dyDescent="0.2">
      <c r="A1472" s="10">
        <v>53</v>
      </c>
      <c r="B1472" s="10" t="s">
        <v>1809</v>
      </c>
      <c r="C1472" s="10">
        <v>5384</v>
      </c>
      <c r="D1472" s="10" t="s">
        <v>1826</v>
      </c>
      <c r="E1472" s="11">
        <v>2127</v>
      </c>
      <c r="F1472" s="11">
        <v>2313</v>
      </c>
      <c r="G1472" s="11">
        <v>4440</v>
      </c>
      <c r="H1472" s="11">
        <v>1870</v>
      </c>
    </row>
    <row r="1473" spans="1:8" x14ac:dyDescent="0.2">
      <c r="A1473" s="10">
        <v>53</v>
      </c>
      <c r="B1473" s="10" t="s">
        <v>1809</v>
      </c>
      <c r="C1473" s="10">
        <v>5385</v>
      </c>
      <c r="D1473" s="10" t="s">
        <v>1827</v>
      </c>
      <c r="E1473" s="11">
        <v>2613</v>
      </c>
      <c r="F1473" s="11">
        <v>2784</v>
      </c>
      <c r="G1473" s="11">
        <v>5397</v>
      </c>
      <c r="H1473" s="11">
        <v>2230</v>
      </c>
    </row>
    <row r="1474" spans="1:8" x14ac:dyDescent="0.2">
      <c r="A1474" s="10">
        <v>53</v>
      </c>
      <c r="B1474" s="10" t="s">
        <v>1809</v>
      </c>
      <c r="C1474" s="10">
        <v>5386</v>
      </c>
      <c r="D1474" s="10" t="s">
        <v>1828</v>
      </c>
      <c r="E1474" s="11">
        <v>4488</v>
      </c>
      <c r="F1474" s="11">
        <v>5194</v>
      </c>
      <c r="G1474" s="11">
        <v>9682</v>
      </c>
      <c r="H1474" s="11">
        <v>4296</v>
      </c>
    </row>
    <row r="1475" spans="1:8" x14ac:dyDescent="0.2">
      <c r="A1475" s="10">
        <v>53</v>
      </c>
      <c r="B1475" s="10" t="s">
        <v>1809</v>
      </c>
      <c r="C1475" s="10">
        <v>5387</v>
      </c>
      <c r="D1475" s="10" t="s">
        <v>1829</v>
      </c>
      <c r="E1475" s="10">
        <v>790</v>
      </c>
      <c r="F1475" s="10">
        <v>951</v>
      </c>
      <c r="G1475" s="11">
        <v>1741</v>
      </c>
      <c r="H1475" s="11">
        <v>1018</v>
      </c>
    </row>
    <row r="1476" spans="1:8" x14ac:dyDescent="0.2">
      <c r="A1476" s="10">
        <v>53</v>
      </c>
      <c r="B1476" s="10" t="s">
        <v>1809</v>
      </c>
      <c r="C1476" s="10">
        <v>5388</v>
      </c>
      <c r="D1476" s="10" t="s">
        <v>1830</v>
      </c>
      <c r="E1476" s="10">
        <v>545</v>
      </c>
      <c r="F1476" s="10">
        <v>623</v>
      </c>
      <c r="G1476" s="11">
        <v>1168</v>
      </c>
      <c r="H1476" s="10">
        <v>592</v>
      </c>
    </row>
    <row r="1477" spans="1:8" x14ac:dyDescent="0.2">
      <c r="A1477" s="10">
        <v>53</v>
      </c>
      <c r="B1477" s="10" t="s">
        <v>1809</v>
      </c>
      <c r="C1477" s="10">
        <v>5389</v>
      </c>
      <c r="D1477" s="10" t="s">
        <v>1261</v>
      </c>
      <c r="E1477" s="11">
        <v>1920</v>
      </c>
      <c r="F1477" s="11">
        <v>1910</v>
      </c>
      <c r="G1477" s="11">
        <v>3830</v>
      </c>
      <c r="H1477" s="11">
        <v>1976</v>
      </c>
    </row>
    <row r="1478" spans="1:8" x14ac:dyDescent="0.2">
      <c r="A1478" s="10">
        <v>53</v>
      </c>
      <c r="B1478" s="10" t="s">
        <v>1809</v>
      </c>
      <c r="C1478" s="10">
        <v>5390</v>
      </c>
      <c r="D1478" s="10" t="s">
        <v>1831</v>
      </c>
      <c r="E1478" s="10">
        <v>429</v>
      </c>
      <c r="F1478" s="10">
        <v>397</v>
      </c>
      <c r="G1478" s="10">
        <v>826</v>
      </c>
      <c r="H1478" s="10">
        <v>433</v>
      </c>
    </row>
    <row r="1479" spans="1:8" x14ac:dyDescent="0.2">
      <c r="A1479" s="10">
        <v>53</v>
      </c>
      <c r="B1479" s="10" t="s">
        <v>1809</v>
      </c>
      <c r="C1479" s="10">
        <v>5391</v>
      </c>
      <c r="D1479" s="10" t="s">
        <v>1832</v>
      </c>
      <c r="E1479" s="11">
        <v>1325</v>
      </c>
      <c r="F1479" s="11">
        <v>1450</v>
      </c>
      <c r="G1479" s="11">
        <v>2775</v>
      </c>
      <c r="H1479" s="11">
        <v>1618</v>
      </c>
    </row>
    <row r="1480" spans="1:8" x14ac:dyDescent="0.2">
      <c r="A1480" s="10">
        <v>53</v>
      </c>
      <c r="B1480" s="10" t="s">
        <v>1809</v>
      </c>
      <c r="C1480" s="10">
        <v>5392</v>
      </c>
      <c r="D1480" s="10" t="s">
        <v>1833</v>
      </c>
      <c r="E1480" s="11">
        <v>1560</v>
      </c>
      <c r="F1480" s="11">
        <v>1750</v>
      </c>
      <c r="G1480" s="11">
        <v>3310</v>
      </c>
      <c r="H1480" s="11">
        <v>1242</v>
      </c>
    </row>
    <row r="1481" spans="1:8" x14ac:dyDescent="0.2">
      <c r="A1481" s="10">
        <v>53</v>
      </c>
      <c r="B1481" s="10" t="s">
        <v>1809</v>
      </c>
      <c r="C1481" s="10">
        <v>5393</v>
      </c>
      <c r="D1481" s="10" t="s">
        <v>1834</v>
      </c>
      <c r="E1481" s="11">
        <v>1039</v>
      </c>
      <c r="F1481" s="11">
        <v>1141</v>
      </c>
      <c r="G1481" s="11">
        <v>2180</v>
      </c>
      <c r="H1481" s="10">
        <v>993</v>
      </c>
    </row>
    <row r="1482" spans="1:8" x14ac:dyDescent="0.2">
      <c r="A1482" s="10">
        <v>53</v>
      </c>
      <c r="B1482" s="10" t="s">
        <v>1809</v>
      </c>
      <c r="C1482" s="10">
        <v>5394</v>
      </c>
      <c r="D1482" s="10" t="s">
        <v>1835</v>
      </c>
      <c r="E1482" s="10">
        <v>996</v>
      </c>
      <c r="F1482" s="11">
        <v>1066</v>
      </c>
      <c r="G1482" s="11">
        <v>2062</v>
      </c>
      <c r="H1482" s="10">
        <v>904</v>
      </c>
    </row>
    <row r="1483" spans="1:8" x14ac:dyDescent="0.2">
      <c r="A1483" s="10">
        <v>53</v>
      </c>
      <c r="B1483" s="10" t="s">
        <v>1809</v>
      </c>
      <c r="C1483" s="10">
        <v>5395</v>
      </c>
      <c r="D1483" s="10" t="s">
        <v>1836</v>
      </c>
      <c r="E1483" s="10">
        <v>796</v>
      </c>
      <c r="F1483" s="10">
        <v>872</v>
      </c>
      <c r="G1483" s="11">
        <v>1668</v>
      </c>
      <c r="H1483" s="10">
        <v>706</v>
      </c>
    </row>
    <row r="1484" spans="1:8" x14ac:dyDescent="0.2">
      <c r="A1484" s="10">
        <v>53</v>
      </c>
      <c r="B1484" s="10" t="s">
        <v>1809</v>
      </c>
      <c r="C1484" s="10">
        <v>5396</v>
      </c>
      <c r="D1484" s="10" t="s">
        <v>1837</v>
      </c>
      <c r="E1484" s="11">
        <v>4403</v>
      </c>
      <c r="F1484" s="11">
        <v>4996</v>
      </c>
      <c r="G1484" s="11">
        <v>9399</v>
      </c>
      <c r="H1484" s="11">
        <v>3511</v>
      </c>
    </row>
    <row r="1485" spans="1:8" x14ac:dyDescent="0.2">
      <c r="A1485" s="10">
        <v>53</v>
      </c>
      <c r="B1485" s="10" t="s">
        <v>1809</v>
      </c>
      <c r="C1485" s="10">
        <v>5397</v>
      </c>
      <c r="D1485" s="10" t="s">
        <v>1838</v>
      </c>
      <c r="E1485" s="11">
        <v>1809</v>
      </c>
      <c r="F1485" s="11">
        <v>1929</v>
      </c>
      <c r="G1485" s="11">
        <v>3738</v>
      </c>
      <c r="H1485" s="11">
        <v>1414</v>
      </c>
    </row>
    <row r="1486" spans="1:8" x14ac:dyDescent="0.2">
      <c r="A1486" s="10">
        <v>53</v>
      </c>
      <c r="B1486" s="10" t="s">
        <v>1809</v>
      </c>
      <c r="C1486" s="10">
        <v>5398</v>
      </c>
      <c r="D1486" s="10" t="s">
        <v>1839</v>
      </c>
      <c r="E1486" s="11">
        <v>1262</v>
      </c>
      <c r="F1486" s="11">
        <v>1492</v>
      </c>
      <c r="G1486" s="11">
        <v>2754</v>
      </c>
      <c r="H1486" s="11">
        <v>1217</v>
      </c>
    </row>
    <row r="1487" spans="1:8" x14ac:dyDescent="0.2">
      <c r="A1487" s="10">
        <v>53</v>
      </c>
      <c r="B1487" s="10" t="s">
        <v>1809</v>
      </c>
      <c r="C1487" s="10">
        <v>5399</v>
      </c>
      <c r="D1487" s="10" t="s">
        <v>1840</v>
      </c>
      <c r="E1487" s="11">
        <v>12718</v>
      </c>
      <c r="F1487" s="11">
        <v>15097</v>
      </c>
      <c r="G1487" s="11">
        <v>27815</v>
      </c>
      <c r="H1487" s="11">
        <v>15150</v>
      </c>
    </row>
    <row r="1488" spans="1:8" x14ac:dyDescent="0.2">
      <c r="A1488" s="10">
        <v>54</v>
      </c>
      <c r="B1488" s="10" t="s">
        <v>1841</v>
      </c>
      <c r="C1488" s="10">
        <v>5401</v>
      </c>
      <c r="D1488" s="10" t="s">
        <v>1842</v>
      </c>
      <c r="E1488" s="11">
        <v>28699</v>
      </c>
      <c r="F1488" s="11">
        <v>32615</v>
      </c>
      <c r="G1488" s="11">
        <v>61314</v>
      </c>
      <c r="H1488" s="11">
        <v>28617</v>
      </c>
    </row>
    <row r="1489" spans="1:8" x14ac:dyDescent="0.2">
      <c r="A1489" s="10">
        <v>54</v>
      </c>
      <c r="B1489" s="10" t="s">
        <v>1841</v>
      </c>
      <c r="C1489" s="10">
        <v>5402</v>
      </c>
      <c r="D1489" s="10" t="s">
        <v>1843</v>
      </c>
      <c r="E1489" s="11">
        <v>16518</v>
      </c>
      <c r="F1489" s="11">
        <v>17855</v>
      </c>
      <c r="G1489" s="11">
        <v>34373</v>
      </c>
      <c r="H1489" s="11">
        <v>13142</v>
      </c>
    </row>
    <row r="1490" spans="1:8" x14ac:dyDescent="0.2">
      <c r="A1490" s="10">
        <v>54</v>
      </c>
      <c r="B1490" s="10" t="s">
        <v>1841</v>
      </c>
      <c r="C1490" s="10">
        <v>5403</v>
      </c>
      <c r="D1490" s="10" t="s">
        <v>1844</v>
      </c>
      <c r="E1490" s="11">
        <v>14713</v>
      </c>
      <c r="F1490" s="11">
        <v>14999</v>
      </c>
      <c r="G1490" s="11">
        <v>29712</v>
      </c>
      <c r="H1490" s="11">
        <v>11762</v>
      </c>
    </row>
    <row r="1491" spans="1:8" x14ac:dyDescent="0.2">
      <c r="A1491" s="10">
        <v>54</v>
      </c>
      <c r="B1491" s="10" t="s">
        <v>1841</v>
      </c>
      <c r="C1491" s="10">
        <v>5404</v>
      </c>
      <c r="D1491" s="10" t="s">
        <v>1845</v>
      </c>
      <c r="E1491" s="11">
        <v>31494</v>
      </c>
      <c r="F1491" s="11">
        <v>34969</v>
      </c>
      <c r="G1491" s="11">
        <v>66463</v>
      </c>
      <c r="H1491" s="11">
        <v>28710</v>
      </c>
    </row>
    <row r="1492" spans="1:8" x14ac:dyDescent="0.2">
      <c r="A1492" s="10">
        <v>54</v>
      </c>
      <c r="B1492" s="10" t="s">
        <v>1841</v>
      </c>
      <c r="C1492" s="10">
        <v>5405</v>
      </c>
      <c r="D1492" s="10" t="s">
        <v>1846</v>
      </c>
      <c r="E1492" s="11">
        <v>9912</v>
      </c>
      <c r="F1492" s="11">
        <v>9446</v>
      </c>
      <c r="G1492" s="11">
        <v>19358</v>
      </c>
      <c r="H1492" s="11">
        <v>8691</v>
      </c>
    </row>
    <row r="1493" spans="1:8" x14ac:dyDescent="0.2">
      <c r="A1493" s="10">
        <v>54</v>
      </c>
      <c r="B1493" s="10" t="s">
        <v>1841</v>
      </c>
      <c r="C1493" s="10">
        <v>5406</v>
      </c>
      <c r="D1493" s="10" t="s">
        <v>1847</v>
      </c>
      <c r="E1493" s="11">
        <v>19928</v>
      </c>
      <c r="F1493" s="11">
        <v>20891</v>
      </c>
      <c r="G1493" s="11">
        <v>40819</v>
      </c>
      <c r="H1493" s="11">
        <v>16762</v>
      </c>
    </row>
    <row r="1494" spans="1:8" x14ac:dyDescent="0.2">
      <c r="A1494" s="10">
        <v>54</v>
      </c>
      <c r="B1494" s="10" t="s">
        <v>1841</v>
      </c>
      <c r="C1494" s="10">
        <v>5407</v>
      </c>
      <c r="D1494" s="10" t="s">
        <v>1848</v>
      </c>
      <c r="E1494" s="11">
        <v>20605</v>
      </c>
      <c r="F1494" s="11">
        <v>20790</v>
      </c>
      <c r="G1494" s="11">
        <v>41395</v>
      </c>
      <c r="H1494" s="11">
        <v>15835</v>
      </c>
    </row>
    <row r="1495" spans="1:8" x14ac:dyDescent="0.2">
      <c r="A1495" s="10">
        <v>54</v>
      </c>
      <c r="B1495" s="10" t="s">
        <v>1841</v>
      </c>
      <c r="C1495" s="10">
        <v>5408</v>
      </c>
      <c r="D1495" s="10" t="s">
        <v>1849</v>
      </c>
      <c r="E1495" s="11">
        <v>5656</v>
      </c>
      <c r="F1495" s="11">
        <v>6514</v>
      </c>
      <c r="G1495" s="11">
        <v>12170</v>
      </c>
      <c r="H1495" s="11">
        <v>5136</v>
      </c>
    </row>
    <row r="1496" spans="1:8" x14ac:dyDescent="0.2">
      <c r="A1496" s="10">
        <v>54</v>
      </c>
      <c r="B1496" s="10" t="s">
        <v>1841</v>
      </c>
      <c r="C1496" s="10">
        <v>5482</v>
      </c>
      <c r="D1496" s="10" t="s">
        <v>1850</v>
      </c>
      <c r="E1496" s="11">
        <v>3117</v>
      </c>
      <c r="F1496" s="11">
        <v>3277</v>
      </c>
      <c r="G1496" s="11">
        <v>6394</v>
      </c>
      <c r="H1496" s="11">
        <v>2771</v>
      </c>
    </row>
    <row r="1497" spans="1:8" x14ac:dyDescent="0.2">
      <c r="A1497" s="10">
        <v>54</v>
      </c>
      <c r="B1497" s="10" t="s">
        <v>1841</v>
      </c>
      <c r="C1497" s="10">
        <v>5483</v>
      </c>
      <c r="D1497" s="10" t="s">
        <v>1851</v>
      </c>
      <c r="E1497" s="11">
        <v>1403</v>
      </c>
      <c r="F1497" s="11">
        <v>1400</v>
      </c>
      <c r="G1497" s="11">
        <v>2803</v>
      </c>
      <c r="H1497" s="11">
        <v>1173</v>
      </c>
    </row>
    <row r="1498" spans="1:8" x14ac:dyDescent="0.2">
      <c r="A1498" s="10">
        <v>54</v>
      </c>
      <c r="B1498" s="10" t="s">
        <v>1841</v>
      </c>
      <c r="C1498" s="10">
        <v>5484</v>
      </c>
      <c r="D1498" s="10" t="s">
        <v>1852</v>
      </c>
      <c r="E1498" s="11">
        <v>3066</v>
      </c>
      <c r="F1498" s="11">
        <v>3034</v>
      </c>
      <c r="G1498" s="11">
        <v>6100</v>
      </c>
      <c r="H1498" s="11">
        <v>2509</v>
      </c>
    </row>
    <row r="1499" spans="1:8" x14ac:dyDescent="0.2">
      <c r="A1499" s="10">
        <v>54</v>
      </c>
      <c r="B1499" s="10" t="s">
        <v>1841</v>
      </c>
      <c r="C1499" s="10">
        <v>5485</v>
      </c>
      <c r="D1499" s="10" t="s">
        <v>1853</v>
      </c>
      <c r="E1499" s="11">
        <v>5522</v>
      </c>
      <c r="F1499" s="11">
        <v>6348</v>
      </c>
      <c r="G1499" s="11">
        <v>11870</v>
      </c>
      <c r="H1499" s="11">
        <v>5180</v>
      </c>
    </row>
    <row r="1500" spans="1:8" x14ac:dyDescent="0.2">
      <c r="A1500" s="10">
        <v>54</v>
      </c>
      <c r="B1500" s="10" t="s">
        <v>1841</v>
      </c>
      <c r="C1500" s="10">
        <v>5486</v>
      </c>
      <c r="D1500" s="10" t="s">
        <v>1854</v>
      </c>
      <c r="E1500" s="11">
        <v>3376</v>
      </c>
      <c r="F1500" s="11">
        <v>3568</v>
      </c>
      <c r="G1500" s="11">
        <v>6944</v>
      </c>
      <c r="H1500" s="11">
        <v>2781</v>
      </c>
    </row>
    <row r="1501" spans="1:8" x14ac:dyDescent="0.2">
      <c r="A1501" s="10">
        <v>54</v>
      </c>
      <c r="B1501" s="10" t="s">
        <v>1841</v>
      </c>
      <c r="C1501" s="10">
        <v>5487</v>
      </c>
      <c r="D1501" s="10" t="s">
        <v>1855</v>
      </c>
      <c r="E1501" s="11">
        <v>1954</v>
      </c>
      <c r="F1501" s="11">
        <v>2280</v>
      </c>
      <c r="G1501" s="11">
        <v>4234</v>
      </c>
      <c r="H1501" s="11">
        <v>1934</v>
      </c>
    </row>
    <row r="1502" spans="1:8" x14ac:dyDescent="0.2">
      <c r="A1502" s="10">
        <v>54</v>
      </c>
      <c r="B1502" s="10" t="s">
        <v>1841</v>
      </c>
      <c r="C1502" s="10">
        <v>5488</v>
      </c>
      <c r="D1502" s="10" t="s">
        <v>1856</v>
      </c>
      <c r="E1502" s="11">
        <v>1339</v>
      </c>
      <c r="F1502" s="11">
        <v>1418</v>
      </c>
      <c r="G1502" s="11">
        <v>2757</v>
      </c>
      <c r="H1502" s="11">
        <v>1475</v>
      </c>
    </row>
    <row r="1503" spans="1:8" x14ac:dyDescent="0.2">
      <c r="A1503" s="10">
        <v>54</v>
      </c>
      <c r="B1503" s="10" t="s">
        <v>1841</v>
      </c>
      <c r="C1503" s="10">
        <v>5489</v>
      </c>
      <c r="D1503" s="10" t="s">
        <v>1857</v>
      </c>
      <c r="E1503" s="11">
        <v>2840</v>
      </c>
      <c r="F1503" s="11">
        <v>3394</v>
      </c>
      <c r="G1503" s="11">
        <v>6234</v>
      </c>
      <c r="H1503" s="11">
        <v>3181</v>
      </c>
    </row>
    <row r="1504" spans="1:8" x14ac:dyDescent="0.2">
      <c r="A1504" s="10">
        <v>54</v>
      </c>
      <c r="B1504" s="10" t="s">
        <v>1841</v>
      </c>
      <c r="C1504" s="10">
        <v>5490</v>
      </c>
      <c r="D1504" s="10" t="s">
        <v>1858</v>
      </c>
      <c r="E1504" s="11">
        <v>1725</v>
      </c>
      <c r="F1504" s="11">
        <v>1890</v>
      </c>
      <c r="G1504" s="11">
        <v>3615</v>
      </c>
      <c r="H1504" s="11">
        <v>1605</v>
      </c>
    </row>
    <row r="1505" spans="1:8" x14ac:dyDescent="0.2">
      <c r="A1505" s="10">
        <v>54</v>
      </c>
      <c r="B1505" s="10" t="s">
        <v>1841</v>
      </c>
      <c r="C1505" s="10">
        <v>5491</v>
      </c>
      <c r="D1505" s="10" t="s">
        <v>1859</v>
      </c>
      <c r="E1505" s="11">
        <v>4950</v>
      </c>
      <c r="F1505" s="11">
        <v>5509</v>
      </c>
      <c r="G1505" s="11">
        <v>10459</v>
      </c>
      <c r="H1505" s="11">
        <v>5316</v>
      </c>
    </row>
    <row r="1506" spans="1:8" x14ac:dyDescent="0.2">
      <c r="A1506" s="10">
        <v>54</v>
      </c>
      <c r="B1506" s="10" t="s">
        <v>1841</v>
      </c>
      <c r="C1506" s="10">
        <v>5492</v>
      </c>
      <c r="D1506" s="10" t="s">
        <v>1860</v>
      </c>
      <c r="E1506" s="11">
        <v>1650</v>
      </c>
      <c r="F1506" s="11">
        <v>1896</v>
      </c>
      <c r="G1506" s="11">
        <v>3546</v>
      </c>
      <c r="H1506" s="11">
        <v>1967</v>
      </c>
    </row>
    <row r="1507" spans="1:8" x14ac:dyDescent="0.2">
      <c r="A1507" s="10">
        <v>54</v>
      </c>
      <c r="B1507" s="10" t="s">
        <v>1841</v>
      </c>
      <c r="C1507" s="10">
        <v>5493</v>
      </c>
      <c r="D1507" s="10" t="s">
        <v>1861</v>
      </c>
      <c r="E1507" s="11">
        <v>2156</v>
      </c>
      <c r="F1507" s="11">
        <v>2440</v>
      </c>
      <c r="G1507" s="11">
        <v>4596</v>
      </c>
      <c r="H1507" s="11">
        <v>2259</v>
      </c>
    </row>
    <row r="1508" spans="1:8" x14ac:dyDescent="0.2">
      <c r="A1508" s="10">
        <v>54</v>
      </c>
      <c r="B1508" s="10" t="s">
        <v>1841</v>
      </c>
      <c r="C1508" s="10">
        <v>5494</v>
      </c>
      <c r="D1508" s="10" t="s">
        <v>1862</v>
      </c>
      <c r="E1508" s="10">
        <v>978</v>
      </c>
      <c r="F1508" s="11">
        <v>1159</v>
      </c>
      <c r="G1508" s="11">
        <v>2137</v>
      </c>
      <c r="H1508" s="10">
        <v>834</v>
      </c>
    </row>
    <row r="1509" spans="1:8" x14ac:dyDescent="0.2">
      <c r="A1509" s="10">
        <v>54</v>
      </c>
      <c r="B1509" s="10" t="s">
        <v>1841</v>
      </c>
      <c r="C1509" s="10">
        <v>5495</v>
      </c>
      <c r="D1509" s="10" t="s">
        <v>1863</v>
      </c>
      <c r="E1509" s="11">
        <v>5619</v>
      </c>
      <c r="F1509" s="11">
        <v>6310</v>
      </c>
      <c r="G1509" s="11">
        <v>11929</v>
      </c>
      <c r="H1509" s="11">
        <v>6164</v>
      </c>
    </row>
    <row r="1510" spans="1:8" x14ac:dyDescent="0.2">
      <c r="A1510" s="10">
        <v>54</v>
      </c>
      <c r="B1510" s="10" t="s">
        <v>1841</v>
      </c>
      <c r="C1510" s="10">
        <v>5496</v>
      </c>
      <c r="D1510" s="10" t="s">
        <v>1864</v>
      </c>
      <c r="E1510" s="11">
        <v>1940</v>
      </c>
      <c r="F1510" s="11">
        <v>2299</v>
      </c>
      <c r="G1510" s="11">
        <v>4239</v>
      </c>
      <c r="H1510" s="11">
        <v>2062</v>
      </c>
    </row>
    <row r="1511" spans="1:8" x14ac:dyDescent="0.2">
      <c r="A1511" s="10">
        <v>54</v>
      </c>
      <c r="B1511" s="10" t="s">
        <v>1841</v>
      </c>
      <c r="C1511" s="10">
        <v>5497</v>
      </c>
      <c r="D1511" s="10" t="s">
        <v>1865</v>
      </c>
      <c r="E1511" s="11">
        <v>2812</v>
      </c>
      <c r="F1511" s="11">
        <v>3255</v>
      </c>
      <c r="G1511" s="11">
        <v>6067</v>
      </c>
      <c r="H1511" s="11">
        <v>3322</v>
      </c>
    </row>
    <row r="1512" spans="1:8" x14ac:dyDescent="0.2">
      <c r="A1512" s="10">
        <v>54</v>
      </c>
      <c r="B1512" s="10" t="s">
        <v>1841</v>
      </c>
      <c r="C1512" s="10">
        <v>5498</v>
      </c>
      <c r="D1512" s="10" t="s">
        <v>1866</v>
      </c>
      <c r="E1512" s="11">
        <v>4105</v>
      </c>
      <c r="F1512" s="11">
        <v>4396</v>
      </c>
      <c r="G1512" s="11">
        <v>8501</v>
      </c>
      <c r="H1512" s="11">
        <v>3812</v>
      </c>
    </row>
    <row r="1513" spans="1:8" x14ac:dyDescent="0.2">
      <c r="A1513" s="10">
        <v>54</v>
      </c>
      <c r="B1513" s="10" t="s">
        <v>1841</v>
      </c>
      <c r="C1513" s="10">
        <v>5499</v>
      </c>
      <c r="D1513" s="10" t="s">
        <v>1867</v>
      </c>
      <c r="E1513" s="11">
        <v>6301</v>
      </c>
      <c r="F1513" s="11">
        <v>7415</v>
      </c>
      <c r="G1513" s="11">
        <v>13716</v>
      </c>
      <c r="H1513" s="11">
        <v>8874</v>
      </c>
    </row>
    <row r="1514" spans="1:8" x14ac:dyDescent="0.2">
      <c r="A1514" s="10">
        <v>55</v>
      </c>
      <c r="B1514" s="10" t="s">
        <v>1868</v>
      </c>
      <c r="C1514" s="10">
        <v>5501</v>
      </c>
      <c r="D1514" s="10" t="s">
        <v>1869</v>
      </c>
      <c r="E1514" s="11">
        <v>31351</v>
      </c>
      <c r="F1514" s="11">
        <v>31760</v>
      </c>
      <c r="G1514" s="11">
        <v>63111</v>
      </c>
      <c r="H1514" s="11">
        <v>26511</v>
      </c>
    </row>
    <row r="1515" spans="1:8" x14ac:dyDescent="0.2">
      <c r="A1515" s="10">
        <v>55</v>
      </c>
      <c r="B1515" s="10" t="s">
        <v>1868</v>
      </c>
      <c r="C1515" s="10">
        <v>5502</v>
      </c>
      <c r="D1515" s="10" t="s">
        <v>1870</v>
      </c>
      <c r="E1515" s="11">
        <v>8397</v>
      </c>
      <c r="F1515" s="11">
        <v>8025</v>
      </c>
      <c r="G1515" s="11">
        <v>16422</v>
      </c>
      <c r="H1515" s="11">
        <v>5048</v>
      </c>
    </row>
    <row r="1516" spans="1:8" x14ac:dyDescent="0.2">
      <c r="A1516" s="10">
        <v>55</v>
      </c>
      <c r="B1516" s="10" t="s">
        <v>1868</v>
      </c>
      <c r="C1516" s="10">
        <v>5503</v>
      </c>
      <c r="D1516" s="10" t="s">
        <v>1871</v>
      </c>
      <c r="E1516" s="11">
        <v>5628</v>
      </c>
      <c r="F1516" s="11">
        <v>5552</v>
      </c>
      <c r="G1516" s="11">
        <v>11180</v>
      </c>
      <c r="H1516" s="11">
        <v>4054</v>
      </c>
    </row>
    <row r="1517" spans="1:8" x14ac:dyDescent="0.2">
      <c r="A1517" s="10">
        <v>55</v>
      </c>
      <c r="B1517" s="10" t="s">
        <v>1868</v>
      </c>
      <c r="C1517" s="10">
        <v>5504</v>
      </c>
      <c r="D1517" s="10" t="s">
        <v>1872</v>
      </c>
      <c r="E1517" s="11">
        <v>14745</v>
      </c>
      <c r="F1517" s="11">
        <v>14650</v>
      </c>
      <c r="G1517" s="11">
        <v>29395</v>
      </c>
      <c r="H1517" s="11">
        <v>10803</v>
      </c>
    </row>
    <row r="1518" spans="1:8" x14ac:dyDescent="0.2">
      <c r="A1518" s="10">
        <v>55</v>
      </c>
      <c r="B1518" s="10" t="s">
        <v>1868</v>
      </c>
      <c r="C1518" s="10">
        <v>5505</v>
      </c>
      <c r="D1518" s="10" t="s">
        <v>1873</v>
      </c>
      <c r="E1518" s="11">
        <v>26457</v>
      </c>
      <c r="F1518" s="11">
        <v>26887</v>
      </c>
      <c r="G1518" s="11">
        <v>53344</v>
      </c>
      <c r="H1518" s="11">
        <v>16887</v>
      </c>
    </row>
    <row r="1519" spans="1:8" x14ac:dyDescent="0.2">
      <c r="A1519" s="10">
        <v>55</v>
      </c>
      <c r="B1519" s="10" t="s">
        <v>1868</v>
      </c>
      <c r="C1519" s="10">
        <v>5506</v>
      </c>
      <c r="D1519" s="10" t="s">
        <v>1874</v>
      </c>
      <c r="E1519" s="11">
        <v>22256</v>
      </c>
      <c r="F1519" s="11">
        <v>22457</v>
      </c>
      <c r="G1519" s="11">
        <v>44713</v>
      </c>
      <c r="H1519" s="11">
        <v>15254</v>
      </c>
    </row>
    <row r="1520" spans="1:8" x14ac:dyDescent="0.2">
      <c r="A1520" s="10">
        <v>55</v>
      </c>
      <c r="B1520" s="10" t="s">
        <v>1868</v>
      </c>
      <c r="C1520" s="10">
        <v>5507</v>
      </c>
      <c r="D1520" s="10" t="s">
        <v>1875</v>
      </c>
      <c r="E1520" s="11">
        <v>32759</v>
      </c>
      <c r="F1520" s="11">
        <v>32720</v>
      </c>
      <c r="G1520" s="11">
        <v>65479</v>
      </c>
      <c r="H1520" s="11">
        <v>25695</v>
      </c>
    </row>
    <row r="1521" spans="1:8" x14ac:dyDescent="0.2">
      <c r="A1521" s="10">
        <v>55</v>
      </c>
      <c r="B1521" s="10" t="s">
        <v>1868</v>
      </c>
      <c r="C1521" s="10">
        <v>5508</v>
      </c>
      <c r="D1521" s="10" t="s">
        <v>1876</v>
      </c>
      <c r="E1521" s="11">
        <v>7884</v>
      </c>
      <c r="F1521" s="11">
        <v>7774</v>
      </c>
      <c r="G1521" s="11">
        <v>15658</v>
      </c>
      <c r="H1521" s="11">
        <v>5349</v>
      </c>
    </row>
    <row r="1522" spans="1:8" x14ac:dyDescent="0.2">
      <c r="A1522" s="10">
        <v>55</v>
      </c>
      <c r="B1522" s="10" t="s">
        <v>1868</v>
      </c>
      <c r="C1522" s="10">
        <v>5509</v>
      </c>
      <c r="D1522" s="10" t="s">
        <v>1877</v>
      </c>
      <c r="E1522" s="11">
        <v>8446</v>
      </c>
      <c r="F1522" s="11">
        <v>8656</v>
      </c>
      <c r="G1522" s="11">
        <v>17102</v>
      </c>
      <c r="H1522" s="11">
        <v>6043</v>
      </c>
    </row>
    <row r="1523" spans="1:8" x14ac:dyDescent="0.2">
      <c r="A1523" s="10">
        <v>55</v>
      </c>
      <c r="B1523" s="10" t="s">
        <v>1868</v>
      </c>
      <c r="C1523" s="10">
        <v>5510</v>
      </c>
      <c r="D1523" s="10" t="s">
        <v>1878</v>
      </c>
      <c r="E1523" s="11">
        <v>6950</v>
      </c>
      <c r="F1523" s="11">
        <v>6904</v>
      </c>
      <c r="G1523" s="11">
        <v>13854</v>
      </c>
      <c r="H1523" s="11">
        <v>4652</v>
      </c>
    </row>
    <row r="1524" spans="1:8" x14ac:dyDescent="0.2">
      <c r="A1524" s="10">
        <v>55</v>
      </c>
      <c r="B1524" s="10" t="s">
        <v>1868</v>
      </c>
      <c r="C1524" s="10">
        <v>5511</v>
      </c>
      <c r="D1524" s="10" t="s">
        <v>1879</v>
      </c>
      <c r="E1524" s="11">
        <v>7927</v>
      </c>
      <c r="F1524" s="11">
        <v>7544</v>
      </c>
      <c r="G1524" s="11">
        <v>15471</v>
      </c>
      <c r="H1524" s="11">
        <v>5373</v>
      </c>
    </row>
    <row r="1525" spans="1:8" x14ac:dyDescent="0.2">
      <c r="A1525" s="10">
        <v>55</v>
      </c>
      <c r="B1525" s="10" t="s">
        <v>1868</v>
      </c>
      <c r="C1525" s="10">
        <v>5512</v>
      </c>
      <c r="D1525" s="10" t="s">
        <v>1880</v>
      </c>
      <c r="E1525" s="11">
        <v>7877</v>
      </c>
      <c r="F1525" s="11">
        <v>7518</v>
      </c>
      <c r="G1525" s="11">
        <v>15395</v>
      </c>
      <c r="H1525" s="11">
        <v>5357</v>
      </c>
    </row>
    <row r="1526" spans="1:8" x14ac:dyDescent="0.2">
      <c r="A1526" s="10">
        <v>55</v>
      </c>
      <c r="B1526" s="10" t="s">
        <v>1868</v>
      </c>
      <c r="C1526" s="10">
        <v>5513</v>
      </c>
      <c r="D1526" s="10" t="s">
        <v>1881</v>
      </c>
      <c r="E1526" s="11">
        <v>6390</v>
      </c>
      <c r="F1526" s="11">
        <v>6002</v>
      </c>
      <c r="G1526" s="11">
        <v>12392</v>
      </c>
      <c r="H1526" s="11">
        <v>4034</v>
      </c>
    </row>
    <row r="1527" spans="1:8" x14ac:dyDescent="0.2">
      <c r="A1527" s="10">
        <v>55</v>
      </c>
      <c r="B1527" s="10" t="s">
        <v>1868</v>
      </c>
      <c r="C1527" s="10">
        <v>5514</v>
      </c>
      <c r="D1527" s="10" t="s">
        <v>1882</v>
      </c>
      <c r="E1527" s="11">
        <v>17567</v>
      </c>
      <c r="F1527" s="11">
        <v>18134</v>
      </c>
      <c r="G1527" s="11">
        <v>35701</v>
      </c>
      <c r="H1527" s="11">
        <v>14578</v>
      </c>
    </row>
    <row r="1528" spans="1:8" x14ac:dyDescent="0.2">
      <c r="A1528" s="10">
        <v>55</v>
      </c>
      <c r="B1528" s="10" t="s">
        <v>1868</v>
      </c>
      <c r="C1528" s="10">
        <v>5515</v>
      </c>
      <c r="D1528" s="10" t="s">
        <v>615</v>
      </c>
      <c r="E1528" s="11">
        <v>5018</v>
      </c>
      <c r="F1528" s="11">
        <v>4752</v>
      </c>
      <c r="G1528" s="11">
        <v>9770</v>
      </c>
      <c r="H1528" s="11">
        <v>3497</v>
      </c>
    </row>
    <row r="1529" spans="1:8" x14ac:dyDescent="0.2">
      <c r="A1529" s="10">
        <v>55</v>
      </c>
      <c r="B1529" s="10" t="s">
        <v>1868</v>
      </c>
      <c r="C1529" s="10">
        <v>5592</v>
      </c>
      <c r="D1529" s="10" t="s">
        <v>1883</v>
      </c>
      <c r="E1529" s="11">
        <v>4627</v>
      </c>
      <c r="F1529" s="11">
        <v>4785</v>
      </c>
      <c r="G1529" s="11">
        <v>9412</v>
      </c>
      <c r="H1529" s="11">
        <v>4104</v>
      </c>
    </row>
    <row r="1530" spans="1:8" x14ac:dyDescent="0.2">
      <c r="A1530" s="10">
        <v>55</v>
      </c>
      <c r="B1530" s="10" t="s">
        <v>1868</v>
      </c>
      <c r="C1530" s="10">
        <v>5593</v>
      </c>
      <c r="D1530" s="10" t="s">
        <v>1884</v>
      </c>
      <c r="E1530" s="11">
        <v>1625</v>
      </c>
      <c r="F1530" s="11">
        <v>1610</v>
      </c>
      <c r="G1530" s="11">
        <v>3235</v>
      </c>
      <c r="H1530" s="11">
        <v>1469</v>
      </c>
    </row>
    <row r="1531" spans="1:8" x14ac:dyDescent="0.2">
      <c r="A1531" s="10">
        <v>55</v>
      </c>
      <c r="B1531" s="10" t="s">
        <v>1868</v>
      </c>
      <c r="C1531" s="10">
        <v>5594</v>
      </c>
      <c r="D1531" s="10" t="s">
        <v>1885</v>
      </c>
      <c r="E1531" s="11">
        <v>1229</v>
      </c>
      <c r="F1531" s="11">
        <v>1434</v>
      </c>
      <c r="G1531" s="11">
        <v>2663</v>
      </c>
      <c r="H1531" s="11">
        <v>1344</v>
      </c>
    </row>
    <row r="1532" spans="1:8" x14ac:dyDescent="0.2">
      <c r="A1532" s="10">
        <v>55</v>
      </c>
      <c r="B1532" s="10" t="s">
        <v>1868</v>
      </c>
      <c r="C1532" s="10">
        <v>5595</v>
      </c>
      <c r="D1532" s="10" t="s">
        <v>1886</v>
      </c>
      <c r="E1532" s="11">
        <v>2438</v>
      </c>
      <c r="F1532" s="11">
        <v>2696</v>
      </c>
      <c r="G1532" s="11">
        <v>5134</v>
      </c>
      <c r="H1532" s="11">
        <v>2852</v>
      </c>
    </row>
    <row r="1533" spans="1:8" x14ac:dyDescent="0.2">
      <c r="A1533" s="10">
        <v>55</v>
      </c>
      <c r="B1533" s="10" t="s">
        <v>1868</v>
      </c>
      <c r="C1533" s="10">
        <v>5596</v>
      </c>
      <c r="D1533" s="10" t="s">
        <v>1887</v>
      </c>
      <c r="E1533" s="11">
        <v>5003</v>
      </c>
      <c r="F1533" s="11">
        <v>5370</v>
      </c>
      <c r="G1533" s="11">
        <v>10373</v>
      </c>
      <c r="H1533" s="11">
        <v>5223</v>
      </c>
    </row>
    <row r="1534" spans="1:8" x14ac:dyDescent="0.2">
      <c r="A1534" s="10">
        <v>55</v>
      </c>
      <c r="B1534" s="10" t="s">
        <v>1868</v>
      </c>
      <c r="C1534" s="10">
        <v>5597</v>
      </c>
      <c r="D1534" s="10" t="s">
        <v>1888</v>
      </c>
      <c r="E1534" s="11">
        <v>1067</v>
      </c>
      <c r="F1534" s="11">
        <v>1219</v>
      </c>
      <c r="G1534" s="11">
        <v>2286</v>
      </c>
      <c r="H1534" s="11">
        <v>1285</v>
      </c>
    </row>
    <row r="1535" spans="1:8" x14ac:dyDescent="0.2">
      <c r="A1535" s="10">
        <v>55</v>
      </c>
      <c r="B1535" s="10" t="s">
        <v>1868</v>
      </c>
      <c r="C1535" s="10">
        <v>5599</v>
      </c>
      <c r="D1535" s="10" t="s">
        <v>1889</v>
      </c>
      <c r="E1535" s="11">
        <v>9006</v>
      </c>
      <c r="F1535" s="11">
        <v>9411</v>
      </c>
      <c r="G1535" s="11">
        <v>18417</v>
      </c>
      <c r="H1535" s="11">
        <v>11049</v>
      </c>
    </row>
    <row r="1536" spans="1:8" x14ac:dyDescent="0.2">
      <c r="A1536" s="10">
        <v>56</v>
      </c>
      <c r="B1536" s="10" t="s">
        <v>1890</v>
      </c>
      <c r="C1536" s="10">
        <v>5601</v>
      </c>
      <c r="D1536" s="10" t="s">
        <v>1891</v>
      </c>
      <c r="E1536" s="11">
        <v>20441</v>
      </c>
      <c r="F1536" s="11">
        <v>21923</v>
      </c>
      <c r="G1536" s="11">
        <v>42364</v>
      </c>
      <c r="H1536" s="11">
        <v>18085</v>
      </c>
    </row>
    <row r="1537" spans="1:8" x14ac:dyDescent="0.2">
      <c r="A1537" s="10">
        <v>56</v>
      </c>
      <c r="B1537" s="10" t="s">
        <v>1890</v>
      </c>
      <c r="C1537" s="10">
        <v>5602</v>
      </c>
      <c r="D1537" s="10" t="s">
        <v>1892</v>
      </c>
      <c r="E1537" s="11">
        <v>8316</v>
      </c>
      <c r="F1537" s="11">
        <v>9244</v>
      </c>
      <c r="G1537" s="11">
        <v>17560</v>
      </c>
      <c r="H1537" s="11">
        <v>7567</v>
      </c>
    </row>
    <row r="1538" spans="1:8" x14ac:dyDescent="0.2">
      <c r="A1538" s="10">
        <v>56</v>
      </c>
      <c r="B1538" s="10" t="s">
        <v>1890</v>
      </c>
      <c r="C1538" s="10">
        <v>5603</v>
      </c>
      <c r="D1538" s="10" t="s">
        <v>1893</v>
      </c>
      <c r="E1538" s="11">
        <v>27310</v>
      </c>
      <c r="F1538" s="11">
        <v>27690</v>
      </c>
      <c r="G1538" s="11">
        <v>55000</v>
      </c>
      <c r="H1538" s="11">
        <v>22331</v>
      </c>
    </row>
    <row r="1539" spans="1:8" x14ac:dyDescent="0.2">
      <c r="A1539" s="10">
        <v>56</v>
      </c>
      <c r="B1539" s="10" t="s">
        <v>1890</v>
      </c>
      <c r="C1539" s="10">
        <v>5604</v>
      </c>
      <c r="D1539" s="10" t="s">
        <v>1894</v>
      </c>
      <c r="E1539" s="11">
        <v>4644</v>
      </c>
      <c r="F1539" s="11">
        <v>4753</v>
      </c>
      <c r="G1539" s="11">
        <v>9397</v>
      </c>
      <c r="H1539" s="11">
        <v>4060</v>
      </c>
    </row>
    <row r="1540" spans="1:8" x14ac:dyDescent="0.2">
      <c r="A1540" s="10">
        <v>56</v>
      </c>
      <c r="B1540" s="10" t="s">
        <v>1890</v>
      </c>
      <c r="C1540" s="10">
        <v>5605</v>
      </c>
      <c r="D1540" s="10" t="s">
        <v>1895</v>
      </c>
      <c r="E1540" s="11">
        <v>18026</v>
      </c>
      <c r="F1540" s="11">
        <v>19064</v>
      </c>
      <c r="G1540" s="11">
        <v>37090</v>
      </c>
      <c r="H1540" s="11">
        <v>15365</v>
      </c>
    </row>
    <row r="1541" spans="1:8" x14ac:dyDescent="0.2">
      <c r="A1541" s="10">
        <v>56</v>
      </c>
      <c r="B1541" s="10" t="s">
        <v>1890</v>
      </c>
      <c r="C1541" s="10">
        <v>5606</v>
      </c>
      <c r="D1541" s="10" t="s">
        <v>1896</v>
      </c>
      <c r="E1541" s="11">
        <v>19516</v>
      </c>
      <c r="F1541" s="11">
        <v>19440</v>
      </c>
      <c r="G1541" s="11">
        <v>38956</v>
      </c>
      <c r="H1541" s="11">
        <v>12990</v>
      </c>
    </row>
    <row r="1542" spans="1:8" x14ac:dyDescent="0.2">
      <c r="A1542" s="10">
        <v>56</v>
      </c>
      <c r="B1542" s="10" t="s">
        <v>1890</v>
      </c>
      <c r="C1542" s="10">
        <v>5607</v>
      </c>
      <c r="D1542" s="10" t="s">
        <v>1897</v>
      </c>
      <c r="E1542" s="11">
        <v>9510</v>
      </c>
      <c r="F1542" s="11">
        <v>10179</v>
      </c>
      <c r="G1542" s="11">
        <v>19689</v>
      </c>
      <c r="H1542" s="11">
        <v>9722</v>
      </c>
    </row>
    <row r="1543" spans="1:8" x14ac:dyDescent="0.2">
      <c r="A1543" s="10">
        <v>56</v>
      </c>
      <c r="B1543" s="10" t="s">
        <v>1890</v>
      </c>
      <c r="C1543" s="10">
        <v>5608</v>
      </c>
      <c r="D1543" s="10" t="s">
        <v>1898</v>
      </c>
      <c r="E1543" s="11">
        <v>11866</v>
      </c>
      <c r="F1543" s="11">
        <v>12197</v>
      </c>
      <c r="G1543" s="11">
        <v>24063</v>
      </c>
      <c r="H1543" s="11">
        <v>9964</v>
      </c>
    </row>
    <row r="1544" spans="1:8" x14ac:dyDescent="0.2">
      <c r="A1544" s="10">
        <v>56</v>
      </c>
      <c r="B1544" s="10" t="s">
        <v>1890</v>
      </c>
      <c r="C1544" s="10">
        <v>5609</v>
      </c>
      <c r="D1544" s="10" t="s">
        <v>1899</v>
      </c>
      <c r="E1544" s="11">
        <v>5899</v>
      </c>
      <c r="F1544" s="11">
        <v>6454</v>
      </c>
      <c r="G1544" s="11">
        <v>12353</v>
      </c>
      <c r="H1544" s="11">
        <v>5229</v>
      </c>
    </row>
    <row r="1545" spans="1:8" x14ac:dyDescent="0.2">
      <c r="A1545" s="10">
        <v>56</v>
      </c>
      <c r="B1545" s="10" t="s">
        <v>1890</v>
      </c>
      <c r="C1545" s="10">
        <v>5677</v>
      </c>
      <c r="D1545" s="10" t="s">
        <v>1900</v>
      </c>
      <c r="E1545" s="11">
        <v>5725</v>
      </c>
      <c r="F1545" s="11">
        <v>6798</v>
      </c>
      <c r="G1545" s="11">
        <v>12523</v>
      </c>
      <c r="H1545" s="11">
        <v>7678</v>
      </c>
    </row>
    <row r="1546" spans="1:8" x14ac:dyDescent="0.2">
      <c r="A1546" s="10">
        <v>56</v>
      </c>
      <c r="B1546" s="10" t="s">
        <v>1890</v>
      </c>
      <c r="C1546" s="10">
        <v>5678</v>
      </c>
      <c r="D1546" s="10" t="s">
        <v>1901</v>
      </c>
      <c r="E1546" s="11">
        <v>4062</v>
      </c>
      <c r="F1546" s="11">
        <v>4446</v>
      </c>
      <c r="G1546" s="11">
        <v>8508</v>
      </c>
      <c r="H1546" s="11">
        <v>3426</v>
      </c>
    </row>
    <row r="1547" spans="1:8" x14ac:dyDescent="0.2">
      <c r="A1547" s="10">
        <v>56</v>
      </c>
      <c r="B1547" s="10" t="s">
        <v>1890</v>
      </c>
      <c r="C1547" s="10">
        <v>5679</v>
      </c>
      <c r="D1547" s="10" t="s">
        <v>1902</v>
      </c>
      <c r="E1547" s="11">
        <v>4206</v>
      </c>
      <c r="F1547" s="11">
        <v>4464</v>
      </c>
      <c r="G1547" s="11">
        <v>8670</v>
      </c>
      <c r="H1547" s="11">
        <v>3844</v>
      </c>
    </row>
    <row r="1548" spans="1:8" x14ac:dyDescent="0.2">
      <c r="A1548" s="10">
        <v>56</v>
      </c>
      <c r="B1548" s="10" t="s">
        <v>1890</v>
      </c>
      <c r="C1548" s="10">
        <v>5680</v>
      </c>
      <c r="D1548" s="10" t="s">
        <v>1903</v>
      </c>
      <c r="E1548" s="11">
        <v>2842</v>
      </c>
      <c r="F1548" s="11">
        <v>3077</v>
      </c>
      <c r="G1548" s="11">
        <v>5919</v>
      </c>
      <c r="H1548" s="11">
        <v>2742</v>
      </c>
    </row>
    <row r="1549" spans="1:8" x14ac:dyDescent="0.2">
      <c r="A1549" s="10">
        <v>56</v>
      </c>
      <c r="B1549" s="10" t="s">
        <v>1890</v>
      </c>
      <c r="C1549" s="10">
        <v>5681</v>
      </c>
      <c r="D1549" s="10" t="s">
        <v>1904</v>
      </c>
      <c r="E1549" s="11">
        <v>3112</v>
      </c>
      <c r="F1549" s="11">
        <v>3372</v>
      </c>
      <c r="G1549" s="11">
        <v>6484</v>
      </c>
      <c r="H1549" s="11">
        <v>2883</v>
      </c>
    </row>
    <row r="1550" spans="1:8" x14ac:dyDescent="0.2">
      <c r="A1550" s="10">
        <v>56</v>
      </c>
      <c r="B1550" s="10" t="s">
        <v>1890</v>
      </c>
      <c r="C1550" s="10">
        <v>5682</v>
      </c>
      <c r="D1550" s="10" t="s">
        <v>1905</v>
      </c>
      <c r="E1550" s="11">
        <v>4258</v>
      </c>
      <c r="F1550" s="11">
        <v>4547</v>
      </c>
      <c r="G1550" s="11">
        <v>8805</v>
      </c>
      <c r="H1550" s="11">
        <v>4109</v>
      </c>
    </row>
    <row r="1551" spans="1:8" x14ac:dyDescent="0.2">
      <c r="A1551" s="10">
        <v>56</v>
      </c>
      <c r="B1551" s="10" t="s">
        <v>1890</v>
      </c>
      <c r="C1551" s="10">
        <v>5683</v>
      </c>
      <c r="D1551" s="10" t="s">
        <v>1906</v>
      </c>
      <c r="E1551" s="11">
        <v>3653</v>
      </c>
      <c r="F1551" s="11">
        <v>3875</v>
      </c>
      <c r="G1551" s="11">
        <v>7528</v>
      </c>
      <c r="H1551" s="11">
        <v>3059</v>
      </c>
    </row>
    <row r="1552" spans="1:8" x14ac:dyDescent="0.2">
      <c r="A1552" s="10">
        <v>56</v>
      </c>
      <c r="B1552" s="10" t="s">
        <v>1890</v>
      </c>
      <c r="C1552" s="10">
        <v>5684</v>
      </c>
      <c r="D1552" s="10" t="s">
        <v>1907</v>
      </c>
      <c r="E1552" s="11">
        <v>6053</v>
      </c>
      <c r="F1552" s="11">
        <v>6589</v>
      </c>
      <c r="G1552" s="11">
        <v>12642</v>
      </c>
      <c r="H1552" s="11">
        <v>7344</v>
      </c>
    </row>
    <row r="1553" spans="1:8" x14ac:dyDescent="0.2">
      <c r="A1553" s="10">
        <v>56</v>
      </c>
      <c r="B1553" s="10" t="s">
        <v>1890</v>
      </c>
      <c r="C1553" s="10">
        <v>5685</v>
      </c>
      <c r="D1553" s="10" t="s">
        <v>1908</v>
      </c>
      <c r="E1553" s="11">
        <v>4281</v>
      </c>
      <c r="F1553" s="11">
        <v>4500</v>
      </c>
      <c r="G1553" s="11">
        <v>8781</v>
      </c>
      <c r="H1553" s="11">
        <v>3552</v>
      </c>
    </row>
    <row r="1554" spans="1:8" x14ac:dyDescent="0.2">
      <c r="A1554" s="10">
        <v>56</v>
      </c>
      <c r="B1554" s="10" t="s">
        <v>1890</v>
      </c>
      <c r="C1554" s="10">
        <v>5686</v>
      </c>
      <c r="D1554" s="10" t="s">
        <v>1909</v>
      </c>
      <c r="E1554" s="11">
        <v>3352</v>
      </c>
      <c r="F1554" s="11">
        <v>3590</v>
      </c>
      <c r="G1554" s="11">
        <v>6942</v>
      </c>
      <c r="H1554" s="11">
        <v>3373</v>
      </c>
    </row>
    <row r="1555" spans="1:8" x14ac:dyDescent="0.2">
      <c r="A1555" s="10">
        <v>56</v>
      </c>
      <c r="B1555" s="10" t="s">
        <v>1890</v>
      </c>
      <c r="C1555" s="10">
        <v>5687</v>
      </c>
      <c r="D1555" s="10" t="s">
        <v>1910</v>
      </c>
      <c r="E1555" s="11">
        <v>7926</v>
      </c>
      <c r="F1555" s="11">
        <v>7772</v>
      </c>
      <c r="G1555" s="11">
        <v>15698</v>
      </c>
      <c r="H1555" s="11">
        <v>10113</v>
      </c>
    </row>
    <row r="1556" spans="1:8" x14ac:dyDescent="0.2">
      <c r="A1556" s="10">
        <v>56</v>
      </c>
      <c r="B1556" s="10" t="s">
        <v>1890</v>
      </c>
      <c r="C1556" s="10">
        <v>5688</v>
      </c>
      <c r="D1556" s="10" t="s">
        <v>1911</v>
      </c>
      <c r="E1556" s="11">
        <v>3703</v>
      </c>
      <c r="F1556" s="11">
        <v>4262</v>
      </c>
      <c r="G1556" s="11">
        <v>7965</v>
      </c>
      <c r="H1556" s="11">
        <v>3711</v>
      </c>
    </row>
    <row r="1557" spans="1:8" x14ac:dyDescent="0.2">
      <c r="A1557" s="10">
        <v>56</v>
      </c>
      <c r="B1557" s="10" t="s">
        <v>1890</v>
      </c>
      <c r="C1557" s="10">
        <v>5689</v>
      </c>
      <c r="D1557" s="10" t="s">
        <v>1912</v>
      </c>
      <c r="E1557" s="11">
        <v>3970</v>
      </c>
      <c r="F1557" s="11">
        <v>4310</v>
      </c>
      <c r="G1557" s="11">
        <v>8280</v>
      </c>
      <c r="H1557" s="11">
        <v>3669</v>
      </c>
    </row>
    <row r="1558" spans="1:8" x14ac:dyDescent="0.2">
      <c r="A1558" s="10">
        <v>56</v>
      </c>
      <c r="B1558" s="10" t="s">
        <v>1890</v>
      </c>
      <c r="C1558" s="10">
        <v>5690</v>
      </c>
      <c r="D1558" s="10" t="s">
        <v>1913</v>
      </c>
      <c r="E1558" s="11">
        <v>2286</v>
      </c>
      <c r="F1558" s="11">
        <v>2488</v>
      </c>
      <c r="G1558" s="11">
        <v>4774</v>
      </c>
      <c r="H1558" s="11">
        <v>2242</v>
      </c>
    </row>
    <row r="1559" spans="1:8" x14ac:dyDescent="0.2">
      <c r="A1559" s="10">
        <v>56</v>
      </c>
      <c r="B1559" s="10" t="s">
        <v>1890</v>
      </c>
      <c r="C1559" s="10">
        <v>5691</v>
      </c>
      <c r="D1559" s="10" t="s">
        <v>1914</v>
      </c>
      <c r="E1559" s="11">
        <v>2514</v>
      </c>
      <c r="F1559" s="11">
        <v>2794</v>
      </c>
      <c r="G1559" s="11">
        <v>5308</v>
      </c>
      <c r="H1559" s="11">
        <v>2883</v>
      </c>
    </row>
    <row r="1560" spans="1:8" x14ac:dyDescent="0.2">
      <c r="A1560" s="10">
        <v>56</v>
      </c>
      <c r="B1560" s="10" t="s">
        <v>1890</v>
      </c>
      <c r="C1560" s="10">
        <v>5692</v>
      </c>
      <c r="D1560" s="10" t="s">
        <v>1915</v>
      </c>
      <c r="E1560" s="11">
        <v>3198</v>
      </c>
      <c r="F1560" s="11">
        <v>3244</v>
      </c>
      <c r="G1560" s="11">
        <v>6442</v>
      </c>
      <c r="H1560" s="11">
        <v>2543</v>
      </c>
    </row>
    <row r="1561" spans="1:8" x14ac:dyDescent="0.2">
      <c r="A1561" s="10">
        <v>56</v>
      </c>
      <c r="B1561" s="10" t="s">
        <v>1890</v>
      </c>
      <c r="C1561" s="10">
        <v>5693</v>
      </c>
      <c r="D1561" s="10" t="s">
        <v>1916</v>
      </c>
      <c r="E1561" s="11">
        <v>5513</v>
      </c>
      <c r="F1561" s="11">
        <v>6479</v>
      </c>
      <c r="G1561" s="11">
        <v>11992</v>
      </c>
      <c r="H1561" s="11">
        <v>5484</v>
      </c>
    </row>
    <row r="1562" spans="1:8" x14ac:dyDescent="0.2">
      <c r="A1562" s="10">
        <v>56</v>
      </c>
      <c r="B1562" s="10" t="s">
        <v>1890</v>
      </c>
      <c r="C1562" s="10">
        <v>5694</v>
      </c>
      <c r="D1562" s="10" t="s">
        <v>1917</v>
      </c>
      <c r="E1562" s="11">
        <v>3978</v>
      </c>
      <c r="F1562" s="11">
        <v>3985</v>
      </c>
      <c r="G1562" s="11">
        <v>7963</v>
      </c>
      <c r="H1562" s="11">
        <v>3442</v>
      </c>
    </row>
    <row r="1563" spans="1:8" x14ac:dyDescent="0.2">
      <c r="A1563" s="10">
        <v>56</v>
      </c>
      <c r="B1563" s="10" t="s">
        <v>1890</v>
      </c>
      <c r="C1563" s="10">
        <v>5695</v>
      </c>
      <c r="D1563" s="10" t="s">
        <v>1918</v>
      </c>
      <c r="E1563" s="11">
        <v>4105</v>
      </c>
      <c r="F1563" s="11">
        <v>4287</v>
      </c>
      <c r="G1563" s="11">
        <v>8392</v>
      </c>
      <c r="H1563" s="11">
        <v>3970</v>
      </c>
    </row>
    <row r="1564" spans="1:8" x14ac:dyDescent="0.2">
      <c r="A1564" s="10">
        <v>56</v>
      </c>
      <c r="B1564" s="10" t="s">
        <v>1890</v>
      </c>
      <c r="C1564" s="10">
        <v>5696</v>
      </c>
      <c r="D1564" s="10" t="s">
        <v>1919</v>
      </c>
      <c r="E1564" s="11">
        <v>2572</v>
      </c>
      <c r="F1564" s="11">
        <v>2727</v>
      </c>
      <c r="G1564" s="11">
        <v>5299</v>
      </c>
      <c r="H1564" s="11">
        <v>2344</v>
      </c>
    </row>
    <row r="1565" spans="1:8" x14ac:dyDescent="0.2">
      <c r="A1565" s="10">
        <v>56</v>
      </c>
      <c r="B1565" s="10" t="s">
        <v>1890</v>
      </c>
      <c r="C1565" s="10">
        <v>5697</v>
      </c>
      <c r="D1565" s="10" t="s">
        <v>1920</v>
      </c>
      <c r="E1565" s="11">
        <v>2670</v>
      </c>
      <c r="F1565" s="11">
        <v>3295</v>
      </c>
      <c r="G1565" s="11">
        <v>5965</v>
      </c>
      <c r="H1565" s="11">
        <v>3778</v>
      </c>
    </row>
    <row r="1566" spans="1:8" x14ac:dyDescent="0.2">
      <c r="A1566" s="10">
        <v>56</v>
      </c>
      <c r="B1566" s="10" t="s">
        <v>1890</v>
      </c>
      <c r="C1566" s="10">
        <v>5698</v>
      </c>
      <c r="D1566" s="10" t="s">
        <v>1921</v>
      </c>
      <c r="E1566" s="11">
        <v>3804</v>
      </c>
      <c r="F1566" s="11">
        <v>4189</v>
      </c>
      <c r="G1566" s="11">
        <v>7993</v>
      </c>
      <c r="H1566" s="11">
        <v>4473</v>
      </c>
    </row>
    <row r="1567" spans="1:8" x14ac:dyDescent="0.2">
      <c r="A1567" s="10">
        <v>56</v>
      </c>
      <c r="B1567" s="10" t="s">
        <v>1890</v>
      </c>
      <c r="C1567" s="10">
        <v>5699</v>
      </c>
      <c r="D1567" s="10" t="s">
        <v>1922</v>
      </c>
      <c r="E1567" s="11">
        <v>7067</v>
      </c>
      <c r="F1567" s="11">
        <v>8352</v>
      </c>
      <c r="G1567" s="11">
        <v>15419</v>
      </c>
      <c r="H1567" s="11">
        <v>8412</v>
      </c>
    </row>
    <row r="1568" spans="1:8" x14ac:dyDescent="0.2">
      <c r="A1568" s="10">
        <v>57</v>
      </c>
      <c r="B1568" s="10" t="s">
        <v>1923</v>
      </c>
      <c r="C1568" s="10">
        <v>5701</v>
      </c>
      <c r="D1568" s="10" t="s">
        <v>1924</v>
      </c>
      <c r="E1568" s="11">
        <v>52453</v>
      </c>
      <c r="F1568" s="11">
        <v>57164</v>
      </c>
      <c r="G1568" s="11">
        <v>109617</v>
      </c>
      <c r="H1568" s="11">
        <v>56840</v>
      </c>
    </row>
    <row r="1569" spans="1:8" x14ac:dyDescent="0.2">
      <c r="A1569" s="10">
        <v>57</v>
      </c>
      <c r="B1569" s="10" t="s">
        <v>1923</v>
      </c>
      <c r="C1569" s="10">
        <v>5702</v>
      </c>
      <c r="D1569" s="10" t="s">
        <v>1925</v>
      </c>
      <c r="E1569" s="11">
        <v>18740</v>
      </c>
      <c r="F1569" s="11">
        <v>19961</v>
      </c>
      <c r="G1569" s="11">
        <v>38701</v>
      </c>
      <c r="H1569" s="11">
        <v>16544</v>
      </c>
    </row>
    <row r="1570" spans="1:8" x14ac:dyDescent="0.2">
      <c r="A1570" s="10">
        <v>57</v>
      </c>
      <c r="B1570" s="10" t="s">
        <v>1923</v>
      </c>
      <c r="C1570" s="10">
        <v>5703</v>
      </c>
      <c r="D1570" s="10" t="s">
        <v>1926</v>
      </c>
      <c r="E1570" s="11">
        <v>12246</v>
      </c>
      <c r="F1570" s="11">
        <v>12689</v>
      </c>
      <c r="G1570" s="11">
        <v>24935</v>
      </c>
      <c r="H1570" s="11">
        <v>11028</v>
      </c>
    </row>
    <row r="1571" spans="1:8" x14ac:dyDescent="0.2">
      <c r="A1571" s="10">
        <v>57</v>
      </c>
      <c r="B1571" s="10" t="s">
        <v>1923</v>
      </c>
      <c r="C1571" s="10">
        <v>5704</v>
      </c>
      <c r="D1571" s="10" t="s">
        <v>1927</v>
      </c>
      <c r="E1571" s="11">
        <v>36422</v>
      </c>
      <c r="F1571" s="11">
        <v>37372</v>
      </c>
      <c r="G1571" s="11">
        <v>73794</v>
      </c>
      <c r="H1571" s="11">
        <v>30067</v>
      </c>
    </row>
    <row r="1572" spans="1:8" x14ac:dyDescent="0.2">
      <c r="A1572" s="10">
        <v>57</v>
      </c>
      <c r="B1572" s="10" t="s">
        <v>1923</v>
      </c>
      <c r="C1572" s="10">
        <v>5705</v>
      </c>
      <c r="D1572" s="10" t="s">
        <v>1928</v>
      </c>
      <c r="E1572" s="11">
        <v>52555</v>
      </c>
      <c r="F1572" s="11">
        <v>56088</v>
      </c>
      <c r="G1572" s="11">
        <v>108643</v>
      </c>
      <c r="H1572" s="11">
        <v>49947</v>
      </c>
    </row>
    <row r="1573" spans="1:8" x14ac:dyDescent="0.2">
      <c r="A1573" s="10">
        <v>57</v>
      </c>
      <c r="B1573" s="10" t="s">
        <v>1923</v>
      </c>
      <c r="C1573" s="10">
        <v>5706</v>
      </c>
      <c r="D1573" s="10" t="s">
        <v>1929</v>
      </c>
      <c r="E1573" s="11">
        <v>5714</v>
      </c>
      <c r="F1573" s="11">
        <v>5872</v>
      </c>
      <c r="G1573" s="11">
        <v>11586</v>
      </c>
      <c r="H1573" s="11">
        <v>4239</v>
      </c>
    </row>
    <row r="1574" spans="1:8" x14ac:dyDescent="0.2">
      <c r="A1574" s="10">
        <v>57</v>
      </c>
      <c r="B1574" s="10" t="s">
        <v>1923</v>
      </c>
      <c r="C1574" s="10">
        <v>5707</v>
      </c>
      <c r="D1574" s="10" t="s">
        <v>1930</v>
      </c>
      <c r="E1574" s="11">
        <v>33649</v>
      </c>
      <c r="F1574" s="11">
        <v>36232</v>
      </c>
      <c r="G1574" s="11">
        <v>69881</v>
      </c>
      <c r="H1574" s="11">
        <v>29779</v>
      </c>
    </row>
    <row r="1575" spans="1:8" x14ac:dyDescent="0.2">
      <c r="A1575" s="10">
        <v>57</v>
      </c>
      <c r="B1575" s="10" t="s">
        <v>1923</v>
      </c>
      <c r="C1575" s="10">
        <v>5708</v>
      </c>
      <c r="D1575" s="10" t="s">
        <v>1931</v>
      </c>
      <c r="E1575" s="11">
        <v>24047</v>
      </c>
      <c r="F1575" s="11">
        <v>25293</v>
      </c>
      <c r="G1575" s="11">
        <v>49340</v>
      </c>
      <c r="H1575" s="11">
        <v>19727</v>
      </c>
    </row>
    <row r="1576" spans="1:8" x14ac:dyDescent="0.2">
      <c r="A1576" s="10">
        <v>57</v>
      </c>
      <c r="B1576" s="10" t="s">
        <v>1923</v>
      </c>
      <c r="C1576" s="10">
        <v>5709</v>
      </c>
      <c r="D1576" s="10" t="s">
        <v>1932</v>
      </c>
      <c r="E1576" s="11">
        <v>36163</v>
      </c>
      <c r="F1576" s="11">
        <v>40677</v>
      </c>
      <c r="G1576" s="11">
        <v>76840</v>
      </c>
      <c r="H1576" s="11">
        <v>31758</v>
      </c>
    </row>
    <row r="1577" spans="1:8" x14ac:dyDescent="0.2">
      <c r="A1577" s="10">
        <v>57</v>
      </c>
      <c r="B1577" s="10" t="s">
        <v>1923</v>
      </c>
      <c r="C1577" s="10">
        <v>5710</v>
      </c>
      <c r="D1577" s="10" t="s">
        <v>1933</v>
      </c>
      <c r="E1577" s="11">
        <v>39608</v>
      </c>
      <c r="F1577" s="11">
        <v>39315</v>
      </c>
      <c r="G1577" s="11">
        <v>78923</v>
      </c>
      <c r="H1577" s="11">
        <v>30764</v>
      </c>
    </row>
    <row r="1578" spans="1:8" x14ac:dyDescent="0.2">
      <c r="A1578" s="10">
        <v>57</v>
      </c>
      <c r="B1578" s="10" t="s">
        <v>1923</v>
      </c>
      <c r="C1578" s="10">
        <v>5711</v>
      </c>
      <c r="D1578" s="10" t="s">
        <v>1934</v>
      </c>
      <c r="E1578" s="11">
        <v>29852</v>
      </c>
      <c r="F1578" s="11">
        <v>30607</v>
      </c>
      <c r="G1578" s="11">
        <v>60459</v>
      </c>
      <c r="H1578" s="11">
        <v>25740</v>
      </c>
    </row>
    <row r="1579" spans="1:8" x14ac:dyDescent="0.2">
      <c r="A1579" s="10">
        <v>57</v>
      </c>
      <c r="B1579" s="10" t="s">
        <v>1923</v>
      </c>
      <c r="C1579" s="10">
        <v>5712</v>
      </c>
      <c r="D1579" s="10" t="s">
        <v>1935</v>
      </c>
      <c r="E1579" s="11">
        <v>13476</v>
      </c>
      <c r="F1579" s="11">
        <v>13772</v>
      </c>
      <c r="G1579" s="11">
        <v>27248</v>
      </c>
      <c r="H1579" s="11">
        <v>10280</v>
      </c>
    </row>
    <row r="1580" spans="1:8" x14ac:dyDescent="0.2">
      <c r="A1580" s="10">
        <v>57</v>
      </c>
      <c r="B1580" s="10" t="s">
        <v>1923</v>
      </c>
      <c r="C1580" s="10">
        <v>5713</v>
      </c>
      <c r="D1580" s="10" t="s">
        <v>1936</v>
      </c>
      <c r="E1580" s="11">
        <v>19264</v>
      </c>
      <c r="F1580" s="11">
        <v>18975</v>
      </c>
      <c r="G1580" s="11">
        <v>38239</v>
      </c>
      <c r="H1580" s="11">
        <v>14422</v>
      </c>
    </row>
    <row r="1581" spans="1:8" x14ac:dyDescent="0.2">
      <c r="A1581" s="10">
        <v>57</v>
      </c>
      <c r="B1581" s="10" t="s">
        <v>1923</v>
      </c>
      <c r="C1581" s="10">
        <v>5714</v>
      </c>
      <c r="D1581" s="10" t="s">
        <v>1937</v>
      </c>
      <c r="E1581" s="11">
        <v>6781</v>
      </c>
      <c r="F1581" s="11">
        <v>7100</v>
      </c>
      <c r="G1581" s="11">
        <v>13881</v>
      </c>
      <c r="H1581" s="11">
        <v>5798</v>
      </c>
    </row>
    <row r="1582" spans="1:8" x14ac:dyDescent="0.2">
      <c r="A1582" s="10">
        <v>57</v>
      </c>
      <c r="B1582" s="10" t="s">
        <v>1923</v>
      </c>
      <c r="C1582" s="10">
        <v>5715</v>
      </c>
      <c r="D1582" s="10" t="s">
        <v>1938</v>
      </c>
      <c r="E1582" s="11">
        <v>38716</v>
      </c>
      <c r="F1582" s="11">
        <v>39069</v>
      </c>
      <c r="G1582" s="11">
        <v>77785</v>
      </c>
      <c r="H1582" s="11">
        <v>26656</v>
      </c>
    </row>
    <row r="1583" spans="1:8" x14ac:dyDescent="0.2">
      <c r="A1583" s="10">
        <v>57</v>
      </c>
      <c r="B1583" s="10" t="s">
        <v>1923</v>
      </c>
      <c r="C1583" s="10">
        <v>5716</v>
      </c>
      <c r="D1583" s="10" t="s">
        <v>1939</v>
      </c>
      <c r="E1583" s="11">
        <v>11707</v>
      </c>
      <c r="F1583" s="11">
        <v>12625</v>
      </c>
      <c r="G1583" s="11">
        <v>24332</v>
      </c>
      <c r="H1583" s="11">
        <v>11620</v>
      </c>
    </row>
    <row r="1584" spans="1:8" x14ac:dyDescent="0.2">
      <c r="A1584" s="10">
        <v>57</v>
      </c>
      <c r="B1584" s="10" t="s">
        <v>1923</v>
      </c>
      <c r="C1584" s="10">
        <v>5717</v>
      </c>
      <c r="D1584" s="10" t="s">
        <v>1940</v>
      </c>
      <c r="E1584" s="11">
        <v>11623</v>
      </c>
      <c r="F1584" s="11">
        <v>12023</v>
      </c>
      <c r="G1584" s="11">
        <v>23646</v>
      </c>
      <c r="H1584" s="11">
        <v>9772</v>
      </c>
    </row>
    <row r="1585" spans="1:8" x14ac:dyDescent="0.2">
      <c r="A1585" s="10">
        <v>57</v>
      </c>
      <c r="B1585" s="10" t="s">
        <v>1923</v>
      </c>
      <c r="C1585" s="10">
        <v>5718</v>
      </c>
      <c r="D1585" s="10" t="s">
        <v>1941</v>
      </c>
      <c r="E1585" s="11">
        <v>9236</v>
      </c>
      <c r="F1585" s="11">
        <v>9253</v>
      </c>
      <c r="G1585" s="11">
        <v>18489</v>
      </c>
      <c r="H1585" s="11">
        <v>9029</v>
      </c>
    </row>
    <row r="1586" spans="1:8" x14ac:dyDescent="0.2">
      <c r="A1586" s="10">
        <v>57</v>
      </c>
      <c r="B1586" s="10" t="s">
        <v>1923</v>
      </c>
      <c r="C1586" s="10">
        <v>5764</v>
      </c>
      <c r="D1586" s="10" t="s">
        <v>1942</v>
      </c>
      <c r="E1586" s="11">
        <v>10906</v>
      </c>
      <c r="F1586" s="11">
        <v>11186</v>
      </c>
      <c r="G1586" s="11">
        <v>22092</v>
      </c>
      <c r="H1586" s="11">
        <v>9727</v>
      </c>
    </row>
    <row r="1587" spans="1:8" x14ac:dyDescent="0.2">
      <c r="A1587" s="10">
        <v>57</v>
      </c>
      <c r="B1587" s="10" t="s">
        <v>1923</v>
      </c>
      <c r="C1587" s="10">
        <v>5765</v>
      </c>
      <c r="D1587" s="10" t="s">
        <v>1943</v>
      </c>
      <c r="E1587" s="11">
        <v>6002</v>
      </c>
      <c r="F1587" s="11">
        <v>6063</v>
      </c>
      <c r="G1587" s="11">
        <v>12065</v>
      </c>
      <c r="H1587" s="11">
        <v>5411</v>
      </c>
    </row>
    <row r="1588" spans="1:8" x14ac:dyDescent="0.2">
      <c r="A1588" s="10">
        <v>57</v>
      </c>
      <c r="B1588" s="10" t="s">
        <v>1923</v>
      </c>
      <c r="C1588" s="10">
        <v>5766</v>
      </c>
      <c r="D1588" s="10" t="s">
        <v>1944</v>
      </c>
      <c r="E1588" s="11">
        <v>5150</v>
      </c>
      <c r="F1588" s="11">
        <v>5184</v>
      </c>
      <c r="G1588" s="11">
        <v>10334</v>
      </c>
      <c r="H1588" s="11">
        <v>3954</v>
      </c>
    </row>
    <row r="1589" spans="1:8" x14ac:dyDescent="0.2">
      <c r="A1589" s="10">
        <v>57</v>
      </c>
      <c r="B1589" s="10" t="s">
        <v>1923</v>
      </c>
      <c r="C1589" s="10">
        <v>5767</v>
      </c>
      <c r="D1589" s="10" t="s">
        <v>1945</v>
      </c>
      <c r="E1589" s="11">
        <v>3049</v>
      </c>
      <c r="F1589" s="11">
        <v>3090</v>
      </c>
      <c r="G1589" s="11">
        <v>6139</v>
      </c>
      <c r="H1589" s="11">
        <v>2774</v>
      </c>
    </row>
    <row r="1590" spans="1:8" x14ac:dyDescent="0.2">
      <c r="A1590" s="10">
        <v>57</v>
      </c>
      <c r="B1590" s="10" t="s">
        <v>1923</v>
      </c>
      <c r="C1590" s="10">
        <v>5768</v>
      </c>
      <c r="D1590" s="10" t="s">
        <v>1946</v>
      </c>
      <c r="E1590" s="11">
        <v>5475</v>
      </c>
      <c r="F1590" s="11">
        <v>6115</v>
      </c>
      <c r="G1590" s="11">
        <v>11590</v>
      </c>
      <c r="H1590" s="11">
        <v>5935</v>
      </c>
    </row>
    <row r="1591" spans="1:8" x14ac:dyDescent="0.2">
      <c r="A1591" s="10">
        <v>57</v>
      </c>
      <c r="B1591" s="10" t="s">
        <v>1923</v>
      </c>
      <c r="C1591" s="10">
        <v>5769</v>
      </c>
      <c r="D1591" s="10" t="s">
        <v>1947</v>
      </c>
      <c r="E1591" s="11">
        <v>5176</v>
      </c>
      <c r="F1591" s="11">
        <v>5458</v>
      </c>
      <c r="G1591" s="11">
        <v>10634</v>
      </c>
      <c r="H1591" s="11">
        <v>4138</v>
      </c>
    </row>
    <row r="1592" spans="1:8" x14ac:dyDescent="0.2">
      <c r="A1592" s="10">
        <v>57</v>
      </c>
      <c r="B1592" s="10" t="s">
        <v>1923</v>
      </c>
      <c r="C1592" s="10">
        <v>5770</v>
      </c>
      <c r="D1592" s="10" t="s">
        <v>1919</v>
      </c>
      <c r="E1592" s="11">
        <v>4870</v>
      </c>
      <c r="F1592" s="11">
        <v>5016</v>
      </c>
      <c r="G1592" s="11">
        <v>9886</v>
      </c>
      <c r="H1592" s="11">
        <v>4565</v>
      </c>
    </row>
    <row r="1593" spans="1:8" x14ac:dyDescent="0.2">
      <c r="A1593" s="10">
        <v>57</v>
      </c>
      <c r="B1593" s="10" t="s">
        <v>1923</v>
      </c>
      <c r="C1593" s="10">
        <v>5771</v>
      </c>
      <c r="D1593" s="10" t="s">
        <v>1948</v>
      </c>
      <c r="E1593" s="11">
        <v>6077</v>
      </c>
      <c r="F1593" s="11">
        <v>6715</v>
      </c>
      <c r="G1593" s="11">
        <v>12792</v>
      </c>
      <c r="H1593" s="11">
        <v>6968</v>
      </c>
    </row>
    <row r="1594" spans="1:8" x14ac:dyDescent="0.2">
      <c r="A1594" s="10">
        <v>57</v>
      </c>
      <c r="B1594" s="10" t="s">
        <v>1923</v>
      </c>
      <c r="C1594" s="10">
        <v>5772</v>
      </c>
      <c r="D1594" s="10" t="s">
        <v>1761</v>
      </c>
      <c r="E1594" s="11">
        <v>5410</v>
      </c>
      <c r="F1594" s="11">
        <v>6124</v>
      </c>
      <c r="G1594" s="11">
        <v>11534</v>
      </c>
      <c r="H1594" s="11">
        <v>5909</v>
      </c>
    </row>
    <row r="1595" spans="1:8" x14ac:dyDescent="0.2">
      <c r="A1595" s="10">
        <v>57</v>
      </c>
      <c r="B1595" s="10" t="s">
        <v>1923</v>
      </c>
      <c r="C1595" s="10">
        <v>5773</v>
      </c>
      <c r="D1595" s="10" t="s">
        <v>1949</v>
      </c>
      <c r="E1595" s="11">
        <v>10792</v>
      </c>
      <c r="F1595" s="11">
        <v>12390</v>
      </c>
      <c r="G1595" s="11">
        <v>23182</v>
      </c>
      <c r="H1595" s="11">
        <v>10620</v>
      </c>
    </row>
    <row r="1596" spans="1:8" x14ac:dyDescent="0.2">
      <c r="A1596" s="10">
        <v>57</v>
      </c>
      <c r="B1596" s="10" t="s">
        <v>1923</v>
      </c>
      <c r="C1596" s="10">
        <v>5774</v>
      </c>
      <c r="D1596" s="10" t="s">
        <v>1950</v>
      </c>
      <c r="E1596" s="11">
        <v>10403</v>
      </c>
      <c r="F1596" s="11">
        <v>12091</v>
      </c>
      <c r="G1596" s="11">
        <v>22494</v>
      </c>
      <c r="H1596" s="11">
        <v>15768</v>
      </c>
    </row>
    <row r="1597" spans="1:8" x14ac:dyDescent="0.2">
      <c r="A1597" s="10">
        <v>57</v>
      </c>
      <c r="B1597" s="10" t="s">
        <v>1923</v>
      </c>
      <c r="C1597" s="10">
        <v>5775</v>
      </c>
      <c r="D1597" s="10" t="s">
        <v>1906</v>
      </c>
      <c r="E1597" s="11">
        <v>1914</v>
      </c>
      <c r="F1597" s="11">
        <v>1955</v>
      </c>
      <c r="G1597" s="11">
        <v>3869</v>
      </c>
      <c r="H1597" s="11">
        <v>1835</v>
      </c>
    </row>
    <row r="1598" spans="1:8" x14ac:dyDescent="0.2">
      <c r="A1598" s="10">
        <v>57</v>
      </c>
      <c r="B1598" s="10" t="s">
        <v>1923</v>
      </c>
      <c r="C1598" s="10">
        <v>5776</v>
      </c>
      <c r="D1598" s="10" t="s">
        <v>1951</v>
      </c>
      <c r="E1598" s="10">
        <v>828</v>
      </c>
      <c r="F1598" s="10">
        <v>917</v>
      </c>
      <c r="G1598" s="11">
        <v>1745</v>
      </c>
      <c r="H1598" s="10">
        <v>838</v>
      </c>
    </row>
    <row r="1599" spans="1:8" x14ac:dyDescent="0.2">
      <c r="A1599" s="10">
        <v>57</v>
      </c>
      <c r="B1599" s="10" t="s">
        <v>1923</v>
      </c>
      <c r="C1599" s="10">
        <v>5777</v>
      </c>
      <c r="D1599" s="10" t="s">
        <v>1952</v>
      </c>
      <c r="E1599" s="11">
        <v>1960</v>
      </c>
      <c r="F1599" s="11">
        <v>2199</v>
      </c>
      <c r="G1599" s="11">
        <v>4159</v>
      </c>
      <c r="H1599" s="11">
        <v>2089</v>
      </c>
    </row>
    <row r="1600" spans="1:8" x14ac:dyDescent="0.2">
      <c r="A1600" s="10">
        <v>57</v>
      </c>
      <c r="B1600" s="10" t="s">
        <v>1923</v>
      </c>
      <c r="C1600" s="10">
        <v>5778</v>
      </c>
      <c r="D1600" s="10" t="s">
        <v>1953</v>
      </c>
      <c r="E1600" s="11">
        <v>2791</v>
      </c>
      <c r="F1600" s="11">
        <v>3038</v>
      </c>
      <c r="G1600" s="11">
        <v>5829</v>
      </c>
      <c r="H1600" s="11">
        <v>2321</v>
      </c>
    </row>
    <row r="1601" spans="1:8" x14ac:dyDescent="0.2">
      <c r="A1601" s="10">
        <v>57</v>
      </c>
      <c r="B1601" s="10" t="s">
        <v>1923</v>
      </c>
      <c r="C1601" s="10">
        <v>5779</v>
      </c>
      <c r="D1601" s="10" t="s">
        <v>1954</v>
      </c>
      <c r="E1601" s="11">
        <v>1939</v>
      </c>
      <c r="F1601" s="11">
        <v>2100</v>
      </c>
      <c r="G1601" s="11">
        <v>4039</v>
      </c>
      <c r="H1601" s="11">
        <v>2328</v>
      </c>
    </row>
    <row r="1602" spans="1:8" x14ac:dyDescent="0.2">
      <c r="A1602" s="10">
        <v>57</v>
      </c>
      <c r="B1602" s="10" t="s">
        <v>1923</v>
      </c>
      <c r="C1602" s="10">
        <v>5780</v>
      </c>
      <c r="D1602" s="10" t="s">
        <v>1955</v>
      </c>
      <c r="E1602" s="11">
        <v>1875</v>
      </c>
      <c r="F1602" s="11">
        <v>2237</v>
      </c>
      <c r="G1602" s="11">
        <v>4112</v>
      </c>
      <c r="H1602" s="11">
        <v>2431</v>
      </c>
    </row>
    <row r="1603" spans="1:8" x14ac:dyDescent="0.2">
      <c r="A1603" s="10">
        <v>57</v>
      </c>
      <c r="B1603" s="10" t="s">
        <v>1923</v>
      </c>
      <c r="C1603" s="10">
        <v>5781</v>
      </c>
      <c r="D1603" s="10" t="s">
        <v>1956</v>
      </c>
      <c r="E1603" s="11">
        <v>1301</v>
      </c>
      <c r="F1603" s="11">
        <v>1487</v>
      </c>
      <c r="G1603" s="11">
        <v>2788</v>
      </c>
      <c r="H1603" s="11">
        <v>1656</v>
      </c>
    </row>
    <row r="1604" spans="1:8" x14ac:dyDescent="0.2">
      <c r="A1604" s="10">
        <v>57</v>
      </c>
      <c r="B1604" s="10" t="s">
        <v>1923</v>
      </c>
      <c r="C1604" s="10">
        <v>5782</v>
      </c>
      <c r="D1604" s="10" t="s">
        <v>1957</v>
      </c>
      <c r="E1604" s="11">
        <v>2252</v>
      </c>
      <c r="F1604" s="11">
        <v>2344</v>
      </c>
      <c r="G1604" s="11">
        <v>4596</v>
      </c>
      <c r="H1604" s="11">
        <v>2209</v>
      </c>
    </row>
    <row r="1605" spans="1:8" x14ac:dyDescent="0.2">
      <c r="A1605" s="10">
        <v>57</v>
      </c>
      <c r="B1605" s="10" t="s">
        <v>1923</v>
      </c>
      <c r="C1605" s="10">
        <v>5783</v>
      </c>
      <c r="D1605" s="10" t="s">
        <v>1958</v>
      </c>
      <c r="E1605" s="10">
        <v>695</v>
      </c>
      <c r="F1605" s="10">
        <v>743</v>
      </c>
      <c r="G1605" s="11">
        <v>1438</v>
      </c>
      <c r="H1605" s="11">
        <v>1162</v>
      </c>
    </row>
    <row r="1606" spans="1:8" x14ac:dyDescent="0.2">
      <c r="A1606" s="10">
        <v>57</v>
      </c>
      <c r="B1606" s="10" t="s">
        <v>1923</v>
      </c>
      <c r="C1606" s="10">
        <v>5784</v>
      </c>
      <c r="D1606" s="10" t="s">
        <v>1959</v>
      </c>
      <c r="E1606" s="11">
        <v>2256</v>
      </c>
      <c r="F1606" s="11">
        <v>2631</v>
      </c>
      <c r="G1606" s="11">
        <v>4887</v>
      </c>
      <c r="H1606" s="11">
        <v>2584</v>
      </c>
    </row>
    <row r="1607" spans="1:8" x14ac:dyDescent="0.2">
      <c r="A1607" s="10">
        <v>57</v>
      </c>
      <c r="B1607" s="10" t="s">
        <v>1923</v>
      </c>
      <c r="C1607" s="10">
        <v>5785</v>
      </c>
      <c r="D1607" s="10" t="s">
        <v>1960</v>
      </c>
      <c r="E1607" s="11">
        <v>12943</v>
      </c>
      <c r="F1607" s="11">
        <v>14824</v>
      </c>
      <c r="G1607" s="11">
        <v>27767</v>
      </c>
      <c r="H1607" s="11">
        <v>13969</v>
      </c>
    </row>
    <row r="1608" spans="1:8" x14ac:dyDescent="0.2">
      <c r="A1608" s="10">
        <v>57</v>
      </c>
      <c r="B1608" s="10" t="s">
        <v>1923</v>
      </c>
      <c r="C1608" s="10">
        <v>5786</v>
      </c>
      <c r="D1608" s="10" t="s">
        <v>1961</v>
      </c>
      <c r="E1608" s="11">
        <v>2885</v>
      </c>
      <c r="F1608" s="11">
        <v>3225</v>
      </c>
      <c r="G1608" s="11">
        <v>6110</v>
      </c>
      <c r="H1608" s="11">
        <v>3420</v>
      </c>
    </row>
    <row r="1609" spans="1:8" x14ac:dyDescent="0.2">
      <c r="A1609" s="10">
        <v>57</v>
      </c>
      <c r="B1609" s="10" t="s">
        <v>1923</v>
      </c>
      <c r="C1609" s="10">
        <v>5787</v>
      </c>
      <c r="D1609" s="10" t="s">
        <v>1962</v>
      </c>
      <c r="E1609" s="11">
        <v>1263</v>
      </c>
      <c r="F1609" s="11">
        <v>1425</v>
      </c>
      <c r="G1609" s="11">
        <v>2688</v>
      </c>
      <c r="H1609" s="11">
        <v>1312</v>
      </c>
    </row>
    <row r="1610" spans="1:8" x14ac:dyDescent="0.2">
      <c r="A1610" s="10">
        <v>57</v>
      </c>
      <c r="B1610" s="10" t="s">
        <v>1923</v>
      </c>
      <c r="C1610" s="10">
        <v>5788</v>
      </c>
      <c r="D1610" s="10" t="s">
        <v>1963</v>
      </c>
      <c r="E1610" s="11">
        <v>1627</v>
      </c>
      <c r="F1610" s="11">
        <v>1867</v>
      </c>
      <c r="G1610" s="11">
        <v>3494</v>
      </c>
      <c r="H1610" s="11">
        <v>2475</v>
      </c>
    </row>
    <row r="1611" spans="1:8" x14ac:dyDescent="0.2">
      <c r="A1611" s="10">
        <v>57</v>
      </c>
      <c r="B1611" s="10" t="s">
        <v>1923</v>
      </c>
      <c r="C1611" s="10">
        <v>5789</v>
      </c>
      <c r="D1611" s="10" t="s">
        <v>1964</v>
      </c>
      <c r="E1611" s="11">
        <v>2034</v>
      </c>
      <c r="F1611" s="11">
        <v>2296</v>
      </c>
      <c r="G1611" s="11">
        <v>4330</v>
      </c>
      <c r="H1611" s="11">
        <v>2218</v>
      </c>
    </row>
    <row r="1612" spans="1:8" x14ac:dyDescent="0.2">
      <c r="A1612" s="10">
        <v>57</v>
      </c>
      <c r="B1612" s="10" t="s">
        <v>1923</v>
      </c>
      <c r="C1612" s="10">
        <v>5790</v>
      </c>
      <c r="D1612" s="10" t="s">
        <v>1965</v>
      </c>
      <c r="E1612" s="11">
        <v>6550</v>
      </c>
      <c r="F1612" s="11">
        <v>7299</v>
      </c>
      <c r="G1612" s="11">
        <v>13849</v>
      </c>
      <c r="H1612" s="11">
        <v>6399</v>
      </c>
    </row>
    <row r="1613" spans="1:8" x14ac:dyDescent="0.2">
      <c r="A1613" s="10">
        <v>57</v>
      </c>
      <c r="B1613" s="10" t="s">
        <v>1923</v>
      </c>
      <c r="C1613" s="10">
        <v>5791</v>
      </c>
      <c r="D1613" s="10" t="s">
        <v>1712</v>
      </c>
      <c r="E1613" s="11">
        <v>2990</v>
      </c>
      <c r="F1613" s="11">
        <v>3172</v>
      </c>
      <c r="G1613" s="11">
        <v>6162</v>
      </c>
      <c r="H1613" s="11">
        <v>2579</v>
      </c>
    </row>
    <row r="1614" spans="1:8" x14ac:dyDescent="0.2">
      <c r="A1614" s="10">
        <v>57</v>
      </c>
      <c r="B1614" s="10" t="s">
        <v>1923</v>
      </c>
      <c r="C1614" s="10">
        <v>5792</v>
      </c>
      <c r="D1614" s="10" t="s">
        <v>1966</v>
      </c>
      <c r="E1614" s="11">
        <v>3619</v>
      </c>
      <c r="F1614" s="11">
        <v>3725</v>
      </c>
      <c r="G1614" s="11">
        <v>7344</v>
      </c>
      <c r="H1614" s="11">
        <v>3266</v>
      </c>
    </row>
    <row r="1615" spans="1:8" x14ac:dyDescent="0.2">
      <c r="A1615" s="10">
        <v>57</v>
      </c>
      <c r="B1615" s="10" t="s">
        <v>1923</v>
      </c>
      <c r="C1615" s="10">
        <v>5793</v>
      </c>
      <c r="D1615" s="10" t="s">
        <v>1967</v>
      </c>
      <c r="E1615" s="11">
        <v>2823</v>
      </c>
      <c r="F1615" s="11">
        <v>3306</v>
      </c>
      <c r="G1615" s="11">
        <v>6129</v>
      </c>
      <c r="H1615" s="11">
        <v>3628</v>
      </c>
    </row>
    <row r="1616" spans="1:8" x14ac:dyDescent="0.2">
      <c r="A1616" s="10">
        <v>57</v>
      </c>
      <c r="B1616" s="10" t="s">
        <v>1923</v>
      </c>
      <c r="C1616" s="10">
        <v>5794</v>
      </c>
      <c r="D1616" s="10" t="s">
        <v>1968</v>
      </c>
      <c r="E1616" s="11">
        <v>2280</v>
      </c>
      <c r="F1616" s="11">
        <v>2631</v>
      </c>
      <c r="G1616" s="11">
        <v>4911</v>
      </c>
      <c r="H1616" s="11">
        <v>2907</v>
      </c>
    </row>
    <row r="1617" spans="1:8" x14ac:dyDescent="0.2">
      <c r="A1617" s="10">
        <v>57</v>
      </c>
      <c r="B1617" s="10" t="s">
        <v>1923</v>
      </c>
      <c r="C1617" s="10">
        <v>5795</v>
      </c>
      <c r="D1617" s="10" t="s">
        <v>1969</v>
      </c>
      <c r="E1617" s="11">
        <v>1827</v>
      </c>
      <c r="F1617" s="11">
        <v>1987</v>
      </c>
      <c r="G1617" s="11">
        <v>3814</v>
      </c>
      <c r="H1617" s="11">
        <v>1627</v>
      </c>
    </row>
    <row r="1618" spans="1:8" x14ac:dyDescent="0.2">
      <c r="A1618" s="10">
        <v>57</v>
      </c>
      <c r="B1618" s="10" t="s">
        <v>1923</v>
      </c>
      <c r="C1618" s="10">
        <v>5796</v>
      </c>
      <c r="D1618" s="10" t="s">
        <v>1970</v>
      </c>
      <c r="E1618" s="11">
        <v>1647</v>
      </c>
      <c r="F1618" s="11">
        <v>1938</v>
      </c>
      <c r="G1618" s="11">
        <v>3585</v>
      </c>
      <c r="H1618" s="11">
        <v>2389</v>
      </c>
    </row>
    <row r="1619" spans="1:8" x14ac:dyDescent="0.2">
      <c r="A1619" s="10">
        <v>57</v>
      </c>
      <c r="B1619" s="10" t="s">
        <v>1923</v>
      </c>
      <c r="C1619" s="10">
        <v>5797</v>
      </c>
      <c r="D1619" s="10" t="s">
        <v>1971</v>
      </c>
      <c r="E1619" s="11">
        <v>2774</v>
      </c>
      <c r="F1619" s="11">
        <v>2940</v>
      </c>
      <c r="G1619" s="11">
        <v>5714</v>
      </c>
      <c r="H1619" s="11">
        <v>2579</v>
      </c>
    </row>
    <row r="1620" spans="1:8" x14ac:dyDescent="0.2">
      <c r="A1620" s="10">
        <v>57</v>
      </c>
      <c r="B1620" s="10" t="s">
        <v>1923</v>
      </c>
      <c r="C1620" s="10">
        <v>5798</v>
      </c>
      <c r="D1620" s="10" t="s">
        <v>1972</v>
      </c>
      <c r="E1620" s="11">
        <v>3138</v>
      </c>
      <c r="F1620" s="11">
        <v>3591</v>
      </c>
      <c r="G1620" s="11">
        <v>6729</v>
      </c>
      <c r="H1620" s="11">
        <v>3317</v>
      </c>
    </row>
    <row r="1621" spans="1:8" x14ac:dyDescent="0.2">
      <c r="A1621" s="10">
        <v>57</v>
      </c>
      <c r="B1621" s="10" t="s">
        <v>1923</v>
      </c>
      <c r="C1621" s="10">
        <v>5799</v>
      </c>
      <c r="D1621" s="10" t="s">
        <v>1973</v>
      </c>
      <c r="E1621" s="11">
        <v>37038</v>
      </c>
      <c r="F1621" s="11">
        <v>41450</v>
      </c>
      <c r="G1621" s="11">
        <v>78488</v>
      </c>
      <c r="H1621" s="11">
        <v>53491</v>
      </c>
    </row>
    <row r="1622" spans="1:8" x14ac:dyDescent="0.2">
      <c r="A1622" s="10">
        <v>58</v>
      </c>
      <c r="B1622" s="10" t="s">
        <v>1974</v>
      </c>
      <c r="C1622" s="10">
        <v>5801</v>
      </c>
      <c r="D1622" s="10" t="s">
        <v>1975</v>
      </c>
      <c r="E1622" s="11">
        <v>28508</v>
      </c>
      <c r="F1622" s="11">
        <v>28103</v>
      </c>
      <c r="G1622" s="11">
        <v>56611</v>
      </c>
      <c r="H1622" s="11">
        <v>24753</v>
      </c>
    </row>
    <row r="1623" spans="1:8" x14ac:dyDescent="0.2">
      <c r="A1623" s="10">
        <v>58</v>
      </c>
      <c r="B1623" s="10" t="s">
        <v>1974</v>
      </c>
      <c r="C1623" s="10">
        <v>5802</v>
      </c>
      <c r="D1623" s="10" t="s">
        <v>1976</v>
      </c>
      <c r="E1623" s="11">
        <v>10455</v>
      </c>
      <c r="F1623" s="11">
        <v>9921</v>
      </c>
      <c r="G1623" s="11">
        <v>20376</v>
      </c>
      <c r="H1623" s="11">
        <v>8236</v>
      </c>
    </row>
    <row r="1624" spans="1:8" x14ac:dyDescent="0.2">
      <c r="A1624" s="10">
        <v>58</v>
      </c>
      <c r="B1624" s="10" t="s">
        <v>1974</v>
      </c>
      <c r="C1624" s="10">
        <v>5803</v>
      </c>
      <c r="D1624" s="10" t="s">
        <v>1977</v>
      </c>
      <c r="E1624" s="11">
        <v>18255</v>
      </c>
      <c r="F1624" s="11">
        <v>17189</v>
      </c>
      <c r="G1624" s="11">
        <v>35444</v>
      </c>
      <c r="H1624" s="11">
        <v>16289</v>
      </c>
    </row>
    <row r="1625" spans="1:8" x14ac:dyDescent="0.2">
      <c r="A1625" s="10">
        <v>58</v>
      </c>
      <c r="B1625" s="10" t="s">
        <v>1974</v>
      </c>
      <c r="C1625" s="10">
        <v>5804</v>
      </c>
      <c r="D1625" s="10" t="s">
        <v>1978</v>
      </c>
      <c r="E1625" s="11">
        <v>26495</v>
      </c>
      <c r="F1625" s="11">
        <v>26360</v>
      </c>
      <c r="G1625" s="11">
        <v>52855</v>
      </c>
      <c r="H1625" s="11">
        <v>22922</v>
      </c>
    </row>
    <row r="1626" spans="1:8" x14ac:dyDescent="0.2">
      <c r="A1626" s="10">
        <v>58</v>
      </c>
      <c r="B1626" s="10" t="s">
        <v>1974</v>
      </c>
      <c r="C1626" s="10">
        <v>5805</v>
      </c>
      <c r="D1626" s="10" t="s">
        <v>1979</v>
      </c>
      <c r="E1626" s="11">
        <v>16153</v>
      </c>
      <c r="F1626" s="11">
        <v>15985</v>
      </c>
      <c r="G1626" s="11">
        <v>32138</v>
      </c>
      <c r="H1626" s="11">
        <v>11385</v>
      </c>
    </row>
    <row r="1627" spans="1:8" x14ac:dyDescent="0.2">
      <c r="A1627" s="10">
        <v>58</v>
      </c>
      <c r="B1627" s="10" t="s">
        <v>1974</v>
      </c>
      <c r="C1627" s="10">
        <v>5806</v>
      </c>
      <c r="D1627" s="10" t="s">
        <v>1980</v>
      </c>
      <c r="E1627" s="11">
        <v>24583</v>
      </c>
      <c r="F1627" s="11">
        <v>23890</v>
      </c>
      <c r="G1627" s="11">
        <v>48473</v>
      </c>
      <c r="H1627" s="11">
        <v>18261</v>
      </c>
    </row>
    <row r="1628" spans="1:8" x14ac:dyDescent="0.2">
      <c r="A1628" s="10">
        <v>58</v>
      </c>
      <c r="B1628" s="10" t="s">
        <v>1974</v>
      </c>
      <c r="C1628" s="10">
        <v>5807</v>
      </c>
      <c r="D1628" s="10" t="s">
        <v>1981</v>
      </c>
      <c r="E1628" s="11">
        <v>11535</v>
      </c>
      <c r="F1628" s="11">
        <v>10819</v>
      </c>
      <c r="G1628" s="11">
        <v>22354</v>
      </c>
      <c r="H1628" s="11">
        <v>9415</v>
      </c>
    </row>
    <row r="1629" spans="1:8" x14ac:dyDescent="0.2">
      <c r="A1629" s="10">
        <v>58</v>
      </c>
      <c r="B1629" s="10" t="s">
        <v>1974</v>
      </c>
      <c r="C1629" s="10">
        <v>5895</v>
      </c>
      <c r="D1629" s="10" t="s">
        <v>1982</v>
      </c>
      <c r="E1629" s="11">
        <v>1707</v>
      </c>
      <c r="F1629" s="11">
        <v>1757</v>
      </c>
      <c r="G1629" s="11">
        <v>3464</v>
      </c>
      <c r="H1629" s="11">
        <v>1865</v>
      </c>
    </row>
    <row r="1630" spans="1:8" x14ac:dyDescent="0.2">
      <c r="A1630" s="10">
        <v>58</v>
      </c>
      <c r="B1630" s="10" t="s">
        <v>1974</v>
      </c>
      <c r="C1630" s="10">
        <v>5896</v>
      </c>
      <c r="D1630" s="10" t="s">
        <v>1983</v>
      </c>
      <c r="E1630" s="11">
        <v>1277</v>
      </c>
      <c r="F1630" s="11">
        <v>1421</v>
      </c>
      <c r="G1630" s="11">
        <v>2698</v>
      </c>
      <c r="H1630" s="11">
        <v>2057</v>
      </c>
    </row>
    <row r="1631" spans="1:8" x14ac:dyDescent="0.2">
      <c r="A1631" s="10">
        <v>58</v>
      </c>
      <c r="B1631" s="10" t="s">
        <v>1974</v>
      </c>
      <c r="C1631" s="10">
        <v>5897</v>
      </c>
      <c r="D1631" s="10" t="s">
        <v>1984</v>
      </c>
      <c r="E1631" s="11">
        <v>1636</v>
      </c>
      <c r="F1631" s="11">
        <v>1699</v>
      </c>
      <c r="G1631" s="11">
        <v>3335</v>
      </c>
      <c r="H1631" s="11">
        <v>1963</v>
      </c>
    </row>
    <row r="1632" spans="1:8" x14ac:dyDescent="0.2">
      <c r="A1632" s="10">
        <v>58</v>
      </c>
      <c r="B1632" s="10" t="s">
        <v>1974</v>
      </c>
      <c r="C1632" s="10">
        <v>5898</v>
      </c>
      <c r="D1632" s="10" t="s">
        <v>1985</v>
      </c>
      <c r="E1632" s="11">
        <v>1724</v>
      </c>
      <c r="F1632" s="11">
        <v>1789</v>
      </c>
      <c r="G1632" s="11">
        <v>3513</v>
      </c>
      <c r="H1632" s="11">
        <v>1859</v>
      </c>
    </row>
    <row r="1633" spans="1:8" x14ac:dyDescent="0.2">
      <c r="A1633" s="10">
        <v>58</v>
      </c>
      <c r="B1633" s="10" t="s">
        <v>1974</v>
      </c>
      <c r="C1633" s="10">
        <v>5899</v>
      </c>
      <c r="D1633" s="10" t="s">
        <v>1986</v>
      </c>
      <c r="E1633" s="11">
        <v>3395</v>
      </c>
      <c r="F1633" s="11">
        <v>3426</v>
      </c>
      <c r="G1633" s="11">
        <v>6821</v>
      </c>
      <c r="H1633" s="11">
        <v>4821</v>
      </c>
    </row>
    <row r="1634" spans="1:8" x14ac:dyDescent="0.2">
      <c r="A1634" s="10">
        <v>60</v>
      </c>
      <c r="B1634" s="10" t="s">
        <v>1987</v>
      </c>
      <c r="C1634" s="10">
        <v>6001</v>
      </c>
      <c r="D1634" s="10" t="s">
        <v>1988</v>
      </c>
      <c r="E1634" s="11">
        <v>77626</v>
      </c>
      <c r="F1634" s="11">
        <v>84161</v>
      </c>
      <c r="G1634" s="11">
        <v>161787</v>
      </c>
      <c r="H1634" s="11">
        <v>75749</v>
      </c>
    </row>
    <row r="1635" spans="1:8" x14ac:dyDescent="0.2">
      <c r="A1635" s="10">
        <v>60</v>
      </c>
      <c r="B1635" s="10" t="s">
        <v>1987</v>
      </c>
      <c r="C1635" s="10">
        <v>6002</v>
      </c>
      <c r="D1635" s="10" t="s">
        <v>1989</v>
      </c>
      <c r="E1635" s="11">
        <v>12750</v>
      </c>
      <c r="F1635" s="11">
        <v>13488</v>
      </c>
      <c r="G1635" s="11">
        <v>26238</v>
      </c>
      <c r="H1635" s="11">
        <v>10080</v>
      </c>
    </row>
    <row r="1636" spans="1:8" x14ac:dyDescent="0.2">
      <c r="A1636" s="10">
        <v>60</v>
      </c>
      <c r="B1636" s="10" t="s">
        <v>1987</v>
      </c>
      <c r="C1636" s="10">
        <v>6003</v>
      </c>
      <c r="D1636" s="10" t="s">
        <v>1990</v>
      </c>
      <c r="E1636" s="11">
        <v>25148</v>
      </c>
      <c r="F1636" s="11">
        <v>26765</v>
      </c>
      <c r="G1636" s="11">
        <v>51913</v>
      </c>
      <c r="H1636" s="11">
        <v>19025</v>
      </c>
    </row>
    <row r="1637" spans="1:8" x14ac:dyDescent="0.2">
      <c r="A1637" s="10">
        <v>60</v>
      </c>
      <c r="B1637" s="10" t="s">
        <v>1987</v>
      </c>
      <c r="C1637" s="10">
        <v>6004</v>
      </c>
      <c r="D1637" s="10" t="s">
        <v>1991</v>
      </c>
      <c r="E1637" s="11">
        <v>26352</v>
      </c>
      <c r="F1637" s="11">
        <v>26847</v>
      </c>
      <c r="G1637" s="11">
        <v>53199</v>
      </c>
      <c r="H1637" s="11">
        <v>24157</v>
      </c>
    </row>
    <row r="1638" spans="1:8" x14ac:dyDescent="0.2">
      <c r="A1638" s="10">
        <v>60</v>
      </c>
      <c r="B1638" s="10" t="s">
        <v>1987</v>
      </c>
      <c r="C1638" s="10">
        <v>6005</v>
      </c>
      <c r="D1638" s="10" t="s">
        <v>1992</v>
      </c>
      <c r="E1638" s="11">
        <v>38702</v>
      </c>
      <c r="F1638" s="11">
        <v>40327</v>
      </c>
      <c r="G1638" s="11">
        <v>79029</v>
      </c>
      <c r="H1638" s="11">
        <v>29473</v>
      </c>
    </row>
    <row r="1639" spans="1:8" x14ac:dyDescent="0.2">
      <c r="A1639" s="10">
        <v>60</v>
      </c>
      <c r="B1639" s="10" t="s">
        <v>1987</v>
      </c>
      <c r="C1639" s="10">
        <v>6006</v>
      </c>
      <c r="D1639" s="10" t="s">
        <v>1993</v>
      </c>
      <c r="E1639" s="11">
        <v>13652</v>
      </c>
      <c r="F1639" s="11">
        <v>14395</v>
      </c>
      <c r="G1639" s="11">
        <v>28047</v>
      </c>
      <c r="H1639" s="11">
        <v>11018</v>
      </c>
    </row>
    <row r="1640" spans="1:8" x14ac:dyDescent="0.2">
      <c r="A1640" s="10">
        <v>60</v>
      </c>
      <c r="B1640" s="10" t="s">
        <v>1987</v>
      </c>
      <c r="C1640" s="10">
        <v>6007</v>
      </c>
      <c r="D1640" s="10" t="s">
        <v>1994</v>
      </c>
      <c r="E1640" s="11">
        <v>37323</v>
      </c>
      <c r="F1640" s="11">
        <v>38318</v>
      </c>
      <c r="G1640" s="11">
        <v>75641</v>
      </c>
      <c r="H1640" s="11">
        <v>31157</v>
      </c>
    </row>
    <row r="1641" spans="1:8" x14ac:dyDescent="0.2">
      <c r="A1641" s="10">
        <v>60</v>
      </c>
      <c r="B1641" s="10" t="s">
        <v>1987</v>
      </c>
      <c r="C1641" s="10">
        <v>6008</v>
      </c>
      <c r="D1641" s="10" t="s">
        <v>1995</v>
      </c>
      <c r="E1641" s="11">
        <v>28667</v>
      </c>
      <c r="F1641" s="11">
        <v>30097</v>
      </c>
      <c r="G1641" s="11">
        <v>58764</v>
      </c>
      <c r="H1641" s="11">
        <v>24302</v>
      </c>
    </row>
    <row r="1642" spans="1:8" x14ac:dyDescent="0.2">
      <c r="A1642" s="10">
        <v>60</v>
      </c>
      <c r="B1642" s="10" t="s">
        <v>1987</v>
      </c>
      <c r="C1642" s="10">
        <v>6009</v>
      </c>
      <c r="D1642" s="10" t="s">
        <v>1996</v>
      </c>
      <c r="E1642" s="11">
        <v>29102</v>
      </c>
      <c r="F1642" s="11">
        <v>29738</v>
      </c>
      <c r="G1642" s="11">
        <v>58840</v>
      </c>
      <c r="H1642" s="11">
        <v>22125</v>
      </c>
    </row>
    <row r="1643" spans="1:8" x14ac:dyDescent="0.2">
      <c r="A1643" s="10">
        <v>60</v>
      </c>
      <c r="B1643" s="10" t="s">
        <v>1987</v>
      </c>
      <c r="C1643" s="10">
        <v>6010</v>
      </c>
      <c r="D1643" s="10" t="s">
        <v>1997</v>
      </c>
      <c r="E1643" s="11">
        <v>23856</v>
      </c>
      <c r="F1643" s="11">
        <v>25370</v>
      </c>
      <c r="G1643" s="11">
        <v>49226</v>
      </c>
      <c r="H1643" s="11">
        <v>21914</v>
      </c>
    </row>
    <row r="1644" spans="1:8" x14ac:dyDescent="0.2">
      <c r="A1644" s="10">
        <v>60</v>
      </c>
      <c r="B1644" s="10" t="s">
        <v>1987</v>
      </c>
      <c r="C1644" s="10">
        <v>6011</v>
      </c>
      <c r="D1644" s="10" t="s">
        <v>1998</v>
      </c>
      <c r="E1644" s="11">
        <v>35173</v>
      </c>
      <c r="F1644" s="11">
        <v>36633</v>
      </c>
      <c r="G1644" s="11">
        <v>71806</v>
      </c>
      <c r="H1644" s="11">
        <v>27862</v>
      </c>
    </row>
    <row r="1645" spans="1:8" x14ac:dyDescent="0.2">
      <c r="A1645" s="10">
        <v>60</v>
      </c>
      <c r="B1645" s="10" t="s">
        <v>1987</v>
      </c>
      <c r="C1645" s="10">
        <v>6012</v>
      </c>
      <c r="D1645" s="10" t="s">
        <v>1999</v>
      </c>
      <c r="E1645" s="11">
        <v>16410</v>
      </c>
      <c r="F1645" s="11">
        <v>16986</v>
      </c>
      <c r="G1645" s="11">
        <v>33396</v>
      </c>
      <c r="H1645" s="11">
        <v>13183</v>
      </c>
    </row>
    <row r="1646" spans="1:8" x14ac:dyDescent="0.2">
      <c r="A1646" s="10">
        <v>60</v>
      </c>
      <c r="B1646" s="10" t="s">
        <v>1987</v>
      </c>
      <c r="C1646" s="10">
        <v>6013</v>
      </c>
      <c r="D1646" s="10" t="s">
        <v>2000</v>
      </c>
      <c r="E1646" s="11">
        <v>24370</v>
      </c>
      <c r="F1646" s="11">
        <v>24587</v>
      </c>
      <c r="G1646" s="11">
        <v>48957</v>
      </c>
      <c r="H1646" s="11">
        <v>19342</v>
      </c>
    </row>
    <row r="1647" spans="1:8" x14ac:dyDescent="0.2">
      <c r="A1647" s="10">
        <v>60</v>
      </c>
      <c r="B1647" s="10" t="s">
        <v>1987</v>
      </c>
      <c r="C1647" s="10">
        <v>6014</v>
      </c>
      <c r="D1647" s="10" t="s">
        <v>2001</v>
      </c>
      <c r="E1647" s="11">
        <v>10302</v>
      </c>
      <c r="F1647" s="11">
        <v>10286</v>
      </c>
      <c r="G1647" s="11">
        <v>20588</v>
      </c>
      <c r="H1647" s="11">
        <v>6444</v>
      </c>
    </row>
    <row r="1648" spans="1:8" x14ac:dyDescent="0.2">
      <c r="A1648" s="10">
        <v>60</v>
      </c>
      <c r="B1648" s="10" t="s">
        <v>1987</v>
      </c>
      <c r="C1648" s="10">
        <v>6015</v>
      </c>
      <c r="D1648" s="10" t="s">
        <v>2002</v>
      </c>
      <c r="E1648" s="11">
        <v>8785</v>
      </c>
      <c r="F1648" s="11">
        <v>8860</v>
      </c>
      <c r="G1648" s="11">
        <v>17645</v>
      </c>
      <c r="H1648" s="11">
        <v>6675</v>
      </c>
    </row>
    <row r="1649" spans="1:8" x14ac:dyDescent="0.2">
      <c r="A1649" s="10">
        <v>60</v>
      </c>
      <c r="B1649" s="10" t="s">
        <v>1987</v>
      </c>
      <c r="C1649" s="10">
        <v>6082</v>
      </c>
      <c r="D1649" s="10" t="s">
        <v>2003</v>
      </c>
      <c r="E1649" s="11">
        <v>2477</v>
      </c>
      <c r="F1649" s="11">
        <v>2685</v>
      </c>
      <c r="G1649" s="11">
        <v>5162</v>
      </c>
      <c r="H1649" s="11">
        <v>2872</v>
      </c>
    </row>
    <row r="1650" spans="1:8" x14ac:dyDescent="0.2">
      <c r="A1650" s="10">
        <v>60</v>
      </c>
      <c r="B1650" s="10" t="s">
        <v>1987</v>
      </c>
      <c r="C1650" s="10">
        <v>6083</v>
      </c>
      <c r="D1650" s="10" t="s">
        <v>2004</v>
      </c>
      <c r="E1650" s="11">
        <v>2641</v>
      </c>
      <c r="F1650" s="11">
        <v>3002</v>
      </c>
      <c r="G1650" s="11">
        <v>5643</v>
      </c>
      <c r="H1650" s="11">
        <v>3529</v>
      </c>
    </row>
    <row r="1651" spans="1:8" x14ac:dyDescent="0.2">
      <c r="A1651" s="10">
        <v>60</v>
      </c>
      <c r="B1651" s="10" t="s">
        <v>1987</v>
      </c>
      <c r="C1651" s="10">
        <v>6084</v>
      </c>
      <c r="D1651" s="10" t="s">
        <v>2005</v>
      </c>
      <c r="E1651" s="11">
        <v>1493</v>
      </c>
      <c r="F1651" s="11">
        <v>1715</v>
      </c>
      <c r="G1651" s="11">
        <v>3208</v>
      </c>
      <c r="H1651" s="11">
        <v>1510</v>
      </c>
    </row>
    <row r="1652" spans="1:8" x14ac:dyDescent="0.2">
      <c r="A1652" s="10">
        <v>60</v>
      </c>
      <c r="B1652" s="10" t="s">
        <v>1987</v>
      </c>
      <c r="C1652" s="10">
        <v>6085</v>
      </c>
      <c r="D1652" s="10" t="s">
        <v>2006</v>
      </c>
      <c r="E1652" s="11">
        <v>2485</v>
      </c>
      <c r="F1652" s="11">
        <v>2903</v>
      </c>
      <c r="G1652" s="11">
        <v>5388</v>
      </c>
      <c r="H1652" s="11">
        <v>3056</v>
      </c>
    </row>
    <row r="1653" spans="1:8" x14ac:dyDescent="0.2">
      <c r="A1653" s="10">
        <v>60</v>
      </c>
      <c r="B1653" s="10" t="s">
        <v>1987</v>
      </c>
      <c r="C1653" s="10">
        <v>6086</v>
      </c>
      <c r="D1653" s="10" t="s">
        <v>2007</v>
      </c>
      <c r="E1653" s="11">
        <v>2314</v>
      </c>
      <c r="F1653" s="11">
        <v>2560</v>
      </c>
      <c r="G1653" s="11">
        <v>4874</v>
      </c>
      <c r="H1653" s="11">
        <v>2815</v>
      </c>
    </row>
    <row r="1654" spans="1:8" x14ac:dyDescent="0.2">
      <c r="A1654" s="10">
        <v>60</v>
      </c>
      <c r="B1654" s="10" t="s">
        <v>1987</v>
      </c>
      <c r="C1654" s="10">
        <v>6087</v>
      </c>
      <c r="D1654" s="10" t="s">
        <v>2008</v>
      </c>
      <c r="E1654" s="11">
        <v>4665</v>
      </c>
      <c r="F1654" s="11">
        <v>5204</v>
      </c>
      <c r="G1654" s="11">
        <v>9869</v>
      </c>
      <c r="H1654" s="11">
        <v>5150</v>
      </c>
    </row>
    <row r="1655" spans="1:8" x14ac:dyDescent="0.2">
      <c r="A1655" s="10">
        <v>60</v>
      </c>
      <c r="B1655" s="10" t="s">
        <v>1987</v>
      </c>
      <c r="C1655" s="10">
        <v>6088</v>
      </c>
      <c r="D1655" s="10" t="s">
        <v>2009</v>
      </c>
      <c r="E1655" s="11">
        <v>2472</v>
      </c>
      <c r="F1655" s="11">
        <v>2830</v>
      </c>
      <c r="G1655" s="11">
        <v>5302</v>
      </c>
      <c r="H1655" s="11">
        <v>2960</v>
      </c>
    </row>
    <row r="1656" spans="1:8" x14ac:dyDescent="0.2">
      <c r="A1656" s="10">
        <v>60</v>
      </c>
      <c r="B1656" s="10" t="s">
        <v>1987</v>
      </c>
      <c r="C1656" s="10">
        <v>6089</v>
      </c>
      <c r="D1656" s="10" t="s">
        <v>2010</v>
      </c>
      <c r="E1656" s="11">
        <v>1377</v>
      </c>
      <c r="F1656" s="11">
        <v>1513</v>
      </c>
      <c r="G1656" s="11">
        <v>2890</v>
      </c>
      <c r="H1656" s="11">
        <v>1101</v>
      </c>
    </row>
    <row r="1657" spans="1:8" x14ac:dyDescent="0.2">
      <c r="A1657" s="10">
        <v>60</v>
      </c>
      <c r="B1657" s="10" t="s">
        <v>1987</v>
      </c>
      <c r="C1657" s="10">
        <v>6090</v>
      </c>
      <c r="D1657" s="10" t="s">
        <v>2011</v>
      </c>
      <c r="E1657" s="11">
        <v>2659</v>
      </c>
      <c r="F1657" s="11">
        <v>2908</v>
      </c>
      <c r="G1657" s="11">
        <v>5567</v>
      </c>
      <c r="H1657" s="11">
        <v>2395</v>
      </c>
    </row>
    <row r="1658" spans="1:8" x14ac:dyDescent="0.2">
      <c r="A1658" s="10">
        <v>60</v>
      </c>
      <c r="B1658" s="10" t="s">
        <v>1987</v>
      </c>
      <c r="C1658" s="10">
        <v>6091</v>
      </c>
      <c r="D1658" s="10" t="s">
        <v>2012</v>
      </c>
      <c r="E1658" s="11">
        <v>1691</v>
      </c>
      <c r="F1658" s="11">
        <v>1860</v>
      </c>
      <c r="G1658" s="11">
        <v>3551</v>
      </c>
      <c r="H1658" s="11">
        <v>1904</v>
      </c>
    </row>
    <row r="1659" spans="1:8" x14ac:dyDescent="0.2">
      <c r="A1659" s="10">
        <v>60</v>
      </c>
      <c r="B1659" s="10" t="s">
        <v>1987</v>
      </c>
      <c r="C1659" s="10">
        <v>6092</v>
      </c>
      <c r="D1659" s="10" t="s">
        <v>754</v>
      </c>
      <c r="E1659" s="11">
        <v>5322</v>
      </c>
      <c r="F1659" s="11">
        <v>5931</v>
      </c>
      <c r="G1659" s="11">
        <v>11253</v>
      </c>
      <c r="H1659" s="11">
        <v>5235</v>
      </c>
    </row>
    <row r="1660" spans="1:8" x14ac:dyDescent="0.2">
      <c r="A1660" s="10">
        <v>60</v>
      </c>
      <c r="B1660" s="10" t="s">
        <v>1987</v>
      </c>
      <c r="C1660" s="10">
        <v>6093</v>
      </c>
      <c r="D1660" s="10" t="s">
        <v>2013</v>
      </c>
      <c r="E1660" s="10">
        <v>992</v>
      </c>
      <c r="F1660" s="11">
        <v>1062</v>
      </c>
      <c r="G1660" s="11">
        <v>2054</v>
      </c>
      <c r="H1660" s="10">
        <v>843</v>
      </c>
    </row>
    <row r="1661" spans="1:8" x14ac:dyDescent="0.2">
      <c r="A1661" s="10">
        <v>60</v>
      </c>
      <c r="B1661" s="10" t="s">
        <v>1987</v>
      </c>
      <c r="C1661" s="10">
        <v>6094</v>
      </c>
      <c r="D1661" s="10" t="s">
        <v>2014</v>
      </c>
      <c r="E1661" s="11">
        <v>2416</v>
      </c>
      <c r="F1661" s="11">
        <v>2518</v>
      </c>
      <c r="G1661" s="11">
        <v>4934</v>
      </c>
      <c r="H1661" s="11">
        <v>1653</v>
      </c>
    </row>
    <row r="1662" spans="1:8" x14ac:dyDescent="0.2">
      <c r="A1662" s="10">
        <v>60</v>
      </c>
      <c r="B1662" s="10" t="s">
        <v>1987</v>
      </c>
      <c r="C1662" s="10">
        <v>6095</v>
      </c>
      <c r="D1662" s="10" t="s">
        <v>2015</v>
      </c>
      <c r="E1662" s="11">
        <v>1030</v>
      </c>
      <c r="F1662" s="11">
        <v>1120</v>
      </c>
      <c r="G1662" s="11">
        <v>2150</v>
      </c>
      <c r="H1662" s="11">
        <v>1014</v>
      </c>
    </row>
    <row r="1663" spans="1:8" x14ac:dyDescent="0.2">
      <c r="A1663" s="10">
        <v>60</v>
      </c>
      <c r="B1663" s="10" t="s">
        <v>1987</v>
      </c>
      <c r="C1663" s="10">
        <v>6096</v>
      </c>
      <c r="D1663" s="10" t="s">
        <v>2016</v>
      </c>
      <c r="E1663" s="11">
        <v>1274</v>
      </c>
      <c r="F1663" s="11">
        <v>1564</v>
      </c>
      <c r="G1663" s="11">
        <v>2838</v>
      </c>
      <c r="H1663" s="11">
        <v>1549</v>
      </c>
    </row>
    <row r="1664" spans="1:8" x14ac:dyDescent="0.2">
      <c r="A1664" s="10">
        <v>60</v>
      </c>
      <c r="B1664" s="10" t="s">
        <v>1987</v>
      </c>
      <c r="C1664" s="10">
        <v>6097</v>
      </c>
      <c r="D1664" s="10" t="s">
        <v>2017</v>
      </c>
      <c r="E1664" s="11">
        <v>10464</v>
      </c>
      <c r="F1664" s="11">
        <v>11529</v>
      </c>
      <c r="G1664" s="11">
        <v>21993</v>
      </c>
      <c r="H1664" s="11">
        <v>10222</v>
      </c>
    </row>
    <row r="1665" spans="1:8" x14ac:dyDescent="0.2">
      <c r="A1665" s="10">
        <v>60</v>
      </c>
      <c r="B1665" s="10" t="s">
        <v>1987</v>
      </c>
      <c r="C1665" s="10">
        <v>6098</v>
      </c>
      <c r="D1665" s="10" t="s">
        <v>2018</v>
      </c>
      <c r="E1665" s="11">
        <v>3372</v>
      </c>
      <c r="F1665" s="11">
        <v>3775</v>
      </c>
      <c r="G1665" s="11">
        <v>7147</v>
      </c>
      <c r="H1665" s="11">
        <v>3659</v>
      </c>
    </row>
    <row r="1666" spans="1:8" x14ac:dyDescent="0.2">
      <c r="A1666" s="10">
        <v>60</v>
      </c>
      <c r="B1666" s="10" t="s">
        <v>1987</v>
      </c>
      <c r="C1666" s="10">
        <v>6099</v>
      </c>
      <c r="D1666" s="10" t="s">
        <v>2019</v>
      </c>
      <c r="E1666" s="11">
        <v>35919</v>
      </c>
      <c r="F1666" s="11">
        <v>39583</v>
      </c>
      <c r="G1666" s="11">
        <v>75502</v>
      </c>
      <c r="H1666" s="11">
        <v>43397</v>
      </c>
    </row>
    <row r="1667" spans="1:8" x14ac:dyDescent="0.2">
      <c r="A1667" s="10">
        <v>61</v>
      </c>
      <c r="B1667" s="10" t="s">
        <v>2020</v>
      </c>
      <c r="C1667" s="10">
        <v>6101</v>
      </c>
      <c r="D1667" s="10" t="s">
        <v>2021</v>
      </c>
      <c r="E1667" s="11">
        <v>16774</v>
      </c>
      <c r="F1667" s="11">
        <v>18295</v>
      </c>
      <c r="G1667" s="11">
        <v>35069</v>
      </c>
      <c r="H1667" s="11">
        <v>14621</v>
      </c>
    </row>
    <row r="1668" spans="1:8" x14ac:dyDescent="0.2">
      <c r="A1668" s="10">
        <v>61</v>
      </c>
      <c r="B1668" s="10" t="s">
        <v>2020</v>
      </c>
      <c r="C1668" s="10">
        <v>6102</v>
      </c>
      <c r="D1668" s="10" t="s">
        <v>2022</v>
      </c>
      <c r="E1668" s="11">
        <v>7665</v>
      </c>
      <c r="F1668" s="11">
        <v>8048</v>
      </c>
      <c r="G1668" s="11">
        <v>15713</v>
      </c>
      <c r="H1668" s="11">
        <v>5691</v>
      </c>
    </row>
    <row r="1669" spans="1:8" x14ac:dyDescent="0.2">
      <c r="A1669" s="10">
        <v>61</v>
      </c>
      <c r="B1669" s="10" t="s">
        <v>2020</v>
      </c>
      <c r="C1669" s="10">
        <v>6103</v>
      </c>
      <c r="D1669" s="10" t="s">
        <v>2023</v>
      </c>
      <c r="E1669" s="11">
        <v>14694</v>
      </c>
      <c r="F1669" s="11">
        <v>14778</v>
      </c>
      <c r="G1669" s="11">
        <v>29472</v>
      </c>
      <c r="H1669" s="11">
        <v>10339</v>
      </c>
    </row>
    <row r="1670" spans="1:8" x14ac:dyDescent="0.2">
      <c r="A1670" s="10">
        <v>61</v>
      </c>
      <c r="B1670" s="10" t="s">
        <v>2020</v>
      </c>
      <c r="C1670" s="10">
        <v>6104</v>
      </c>
      <c r="D1670" s="10" t="s">
        <v>2024</v>
      </c>
      <c r="E1670" s="11">
        <v>16210</v>
      </c>
      <c r="F1670" s="11">
        <v>17240</v>
      </c>
      <c r="G1670" s="11">
        <v>33450</v>
      </c>
      <c r="H1670" s="11">
        <v>12418</v>
      </c>
    </row>
    <row r="1671" spans="1:8" x14ac:dyDescent="0.2">
      <c r="A1671" s="10">
        <v>61</v>
      </c>
      <c r="B1671" s="10" t="s">
        <v>2020</v>
      </c>
      <c r="C1671" s="10">
        <v>6105</v>
      </c>
      <c r="D1671" s="10" t="s">
        <v>2025</v>
      </c>
      <c r="E1671" s="11">
        <v>7094</v>
      </c>
      <c r="F1671" s="11">
        <v>7970</v>
      </c>
      <c r="G1671" s="11">
        <v>15064</v>
      </c>
      <c r="H1671" s="11">
        <v>6232</v>
      </c>
    </row>
    <row r="1672" spans="1:8" x14ac:dyDescent="0.2">
      <c r="A1672" s="10">
        <v>61</v>
      </c>
      <c r="B1672" s="10" t="s">
        <v>2020</v>
      </c>
      <c r="C1672" s="10">
        <v>6106</v>
      </c>
      <c r="D1672" s="10" t="s">
        <v>2026</v>
      </c>
      <c r="E1672" s="11">
        <v>31238</v>
      </c>
      <c r="F1672" s="11">
        <v>31766</v>
      </c>
      <c r="G1672" s="11">
        <v>63004</v>
      </c>
      <c r="H1672" s="11">
        <v>26148</v>
      </c>
    </row>
    <row r="1673" spans="1:8" x14ac:dyDescent="0.2">
      <c r="A1673" s="10">
        <v>61</v>
      </c>
      <c r="B1673" s="10" t="s">
        <v>2020</v>
      </c>
      <c r="C1673" s="10">
        <v>6107</v>
      </c>
      <c r="D1673" s="10" t="s">
        <v>2027</v>
      </c>
      <c r="E1673" s="11">
        <v>27178</v>
      </c>
      <c r="F1673" s="11">
        <v>27676</v>
      </c>
      <c r="G1673" s="11">
        <v>54854</v>
      </c>
      <c r="H1673" s="11">
        <v>19905</v>
      </c>
    </row>
    <row r="1674" spans="1:8" x14ac:dyDescent="0.2">
      <c r="A1674" s="10">
        <v>61</v>
      </c>
      <c r="B1674" s="10" t="s">
        <v>2020</v>
      </c>
      <c r="C1674" s="10">
        <v>6108</v>
      </c>
      <c r="D1674" s="10" t="s">
        <v>2028</v>
      </c>
      <c r="E1674" s="11">
        <v>9933</v>
      </c>
      <c r="F1674" s="11">
        <v>10192</v>
      </c>
      <c r="G1674" s="11">
        <v>20125</v>
      </c>
      <c r="H1674" s="11">
        <v>7862</v>
      </c>
    </row>
    <row r="1675" spans="1:8" x14ac:dyDescent="0.2">
      <c r="A1675" s="10">
        <v>61</v>
      </c>
      <c r="B1675" s="10" t="s">
        <v>2020</v>
      </c>
      <c r="C1675" s="10">
        <v>6189</v>
      </c>
      <c r="D1675" s="10" t="s">
        <v>2029</v>
      </c>
      <c r="E1675" s="10">
        <v>993</v>
      </c>
      <c r="F1675" s="11">
        <v>1121</v>
      </c>
      <c r="G1675" s="11">
        <v>2114</v>
      </c>
      <c r="H1675" s="10">
        <v>702</v>
      </c>
    </row>
    <row r="1676" spans="1:8" x14ac:dyDescent="0.2">
      <c r="A1676" s="10">
        <v>61</v>
      </c>
      <c r="B1676" s="10" t="s">
        <v>2020</v>
      </c>
      <c r="C1676" s="10">
        <v>6190</v>
      </c>
      <c r="D1676" s="10" t="s">
        <v>2030</v>
      </c>
      <c r="E1676" s="11">
        <v>1614</v>
      </c>
      <c r="F1676" s="11">
        <v>1659</v>
      </c>
      <c r="G1676" s="11">
        <v>3273</v>
      </c>
      <c r="H1676" s="11">
        <v>2279</v>
      </c>
    </row>
    <row r="1677" spans="1:8" x14ac:dyDescent="0.2">
      <c r="A1677" s="10">
        <v>61</v>
      </c>
      <c r="B1677" s="10" t="s">
        <v>2020</v>
      </c>
      <c r="C1677" s="10">
        <v>6191</v>
      </c>
      <c r="D1677" s="10" t="s">
        <v>2031</v>
      </c>
      <c r="E1677" s="11">
        <v>1001</v>
      </c>
      <c r="F1677" s="11">
        <v>1102</v>
      </c>
      <c r="G1677" s="11">
        <v>2103</v>
      </c>
      <c r="H1677" s="11">
        <v>1096</v>
      </c>
    </row>
    <row r="1678" spans="1:8" x14ac:dyDescent="0.2">
      <c r="A1678" s="10">
        <v>61</v>
      </c>
      <c r="B1678" s="10" t="s">
        <v>2020</v>
      </c>
      <c r="C1678" s="10">
        <v>6192</v>
      </c>
      <c r="D1678" s="10" t="s">
        <v>2032</v>
      </c>
      <c r="E1678" s="11">
        <v>1178</v>
      </c>
      <c r="F1678" s="11">
        <v>1238</v>
      </c>
      <c r="G1678" s="11">
        <v>2416</v>
      </c>
      <c r="H1678" s="11">
        <v>1450</v>
      </c>
    </row>
    <row r="1679" spans="1:8" x14ac:dyDescent="0.2">
      <c r="A1679" s="10">
        <v>61</v>
      </c>
      <c r="B1679" s="10" t="s">
        <v>2020</v>
      </c>
      <c r="C1679" s="10">
        <v>6193</v>
      </c>
      <c r="D1679" s="10" t="s">
        <v>2033</v>
      </c>
      <c r="E1679" s="10">
        <v>263</v>
      </c>
      <c r="F1679" s="10">
        <v>305</v>
      </c>
      <c r="G1679" s="10">
        <v>568</v>
      </c>
      <c r="H1679" s="10">
        <v>354</v>
      </c>
    </row>
    <row r="1680" spans="1:8" x14ac:dyDescent="0.2">
      <c r="A1680" s="10">
        <v>61</v>
      </c>
      <c r="B1680" s="10" t="s">
        <v>2020</v>
      </c>
      <c r="C1680" s="10">
        <v>6194</v>
      </c>
      <c r="D1680" s="10" t="s">
        <v>2034</v>
      </c>
      <c r="E1680" s="11">
        <v>1245</v>
      </c>
      <c r="F1680" s="11">
        <v>1414</v>
      </c>
      <c r="G1680" s="11">
        <v>2659</v>
      </c>
      <c r="H1680" s="11">
        <v>1994</v>
      </c>
    </row>
    <row r="1681" spans="1:8" x14ac:dyDescent="0.2">
      <c r="A1681" s="10">
        <v>61</v>
      </c>
      <c r="B1681" s="10" t="s">
        <v>2020</v>
      </c>
      <c r="C1681" s="10">
        <v>6195</v>
      </c>
      <c r="D1681" s="10" t="s">
        <v>2035</v>
      </c>
      <c r="E1681" s="11">
        <v>2889</v>
      </c>
      <c r="F1681" s="11">
        <v>3167</v>
      </c>
      <c r="G1681" s="11">
        <v>6056</v>
      </c>
      <c r="H1681" s="11">
        <v>2484</v>
      </c>
    </row>
    <row r="1682" spans="1:8" x14ac:dyDescent="0.2">
      <c r="A1682" s="10">
        <v>61</v>
      </c>
      <c r="B1682" s="10" t="s">
        <v>2020</v>
      </c>
      <c r="C1682" s="10">
        <v>6196</v>
      </c>
      <c r="D1682" s="10" t="s">
        <v>2036</v>
      </c>
      <c r="E1682" s="10">
        <v>748</v>
      </c>
      <c r="F1682" s="10">
        <v>820</v>
      </c>
      <c r="G1682" s="11">
        <v>1568</v>
      </c>
      <c r="H1682" s="11">
        <v>1028</v>
      </c>
    </row>
    <row r="1683" spans="1:8" x14ac:dyDescent="0.2">
      <c r="A1683" s="10">
        <v>61</v>
      </c>
      <c r="B1683" s="10" t="s">
        <v>2020</v>
      </c>
      <c r="C1683" s="10">
        <v>6197</v>
      </c>
      <c r="D1683" s="10" t="s">
        <v>2037</v>
      </c>
      <c r="E1683" s="11">
        <v>4122</v>
      </c>
      <c r="F1683" s="11">
        <v>4494</v>
      </c>
      <c r="G1683" s="11">
        <v>8616</v>
      </c>
      <c r="H1683" s="11">
        <v>3836</v>
      </c>
    </row>
    <row r="1684" spans="1:8" x14ac:dyDescent="0.2">
      <c r="A1684" s="10">
        <v>61</v>
      </c>
      <c r="B1684" s="10" t="s">
        <v>2020</v>
      </c>
      <c r="C1684" s="10">
        <v>6198</v>
      </c>
      <c r="D1684" s="10" t="s">
        <v>2038</v>
      </c>
      <c r="E1684" s="11">
        <v>5386</v>
      </c>
      <c r="F1684" s="11">
        <v>5659</v>
      </c>
      <c r="G1684" s="11">
        <v>11045</v>
      </c>
      <c r="H1684" s="11">
        <v>3795</v>
      </c>
    </row>
    <row r="1685" spans="1:8" x14ac:dyDescent="0.2">
      <c r="A1685" s="10">
        <v>61</v>
      </c>
      <c r="B1685" s="10" t="s">
        <v>2020</v>
      </c>
      <c r="C1685" s="10">
        <v>6199</v>
      </c>
      <c r="D1685" s="10" t="s">
        <v>2039</v>
      </c>
      <c r="E1685" s="11">
        <v>6086</v>
      </c>
      <c r="F1685" s="11">
        <v>7190</v>
      </c>
      <c r="G1685" s="11">
        <v>13276</v>
      </c>
      <c r="H1685" s="11">
        <v>9816</v>
      </c>
    </row>
    <row r="1686" spans="1:8" x14ac:dyDescent="0.2">
      <c r="A1686" s="10">
        <v>62</v>
      </c>
      <c r="B1686" s="10" t="s">
        <v>2040</v>
      </c>
      <c r="C1686" s="10">
        <v>6201</v>
      </c>
      <c r="D1686" s="10" t="s">
        <v>2041</v>
      </c>
      <c r="E1686" s="11">
        <v>66087</v>
      </c>
      <c r="F1686" s="11">
        <v>68691</v>
      </c>
      <c r="G1686" s="11">
        <v>134778</v>
      </c>
      <c r="H1686" s="11">
        <v>55772</v>
      </c>
    </row>
    <row r="1687" spans="1:8" x14ac:dyDescent="0.2">
      <c r="A1687" s="10">
        <v>62</v>
      </c>
      <c r="B1687" s="10" t="s">
        <v>2040</v>
      </c>
      <c r="C1687" s="10">
        <v>6202</v>
      </c>
      <c r="D1687" s="10" t="s">
        <v>2042</v>
      </c>
      <c r="E1687" s="11">
        <v>22013</v>
      </c>
      <c r="F1687" s="11">
        <v>22412</v>
      </c>
      <c r="G1687" s="11">
        <v>44425</v>
      </c>
      <c r="H1687" s="11">
        <v>15521</v>
      </c>
    </row>
    <row r="1688" spans="1:8" x14ac:dyDescent="0.2">
      <c r="A1688" s="10">
        <v>62</v>
      </c>
      <c r="B1688" s="10" t="s">
        <v>2040</v>
      </c>
      <c r="C1688" s="10">
        <v>6203</v>
      </c>
      <c r="D1688" s="10" t="s">
        <v>2043</v>
      </c>
      <c r="E1688" s="11">
        <v>19903</v>
      </c>
      <c r="F1688" s="11">
        <v>19460</v>
      </c>
      <c r="G1688" s="11">
        <v>39363</v>
      </c>
      <c r="H1688" s="11">
        <v>15701</v>
      </c>
    </row>
    <row r="1689" spans="1:8" x14ac:dyDescent="0.2">
      <c r="A1689" s="10">
        <v>62</v>
      </c>
      <c r="B1689" s="10" t="s">
        <v>2040</v>
      </c>
      <c r="C1689" s="10">
        <v>6204</v>
      </c>
      <c r="D1689" s="10" t="s">
        <v>2044</v>
      </c>
      <c r="E1689" s="11">
        <v>33394</v>
      </c>
      <c r="F1689" s="11">
        <v>33970</v>
      </c>
      <c r="G1689" s="11">
        <v>67364</v>
      </c>
      <c r="H1689" s="11">
        <v>26662</v>
      </c>
    </row>
    <row r="1690" spans="1:8" x14ac:dyDescent="0.2">
      <c r="A1690" s="10">
        <v>62</v>
      </c>
      <c r="B1690" s="10" t="s">
        <v>2040</v>
      </c>
      <c r="C1690" s="10">
        <v>6205</v>
      </c>
      <c r="D1690" s="10" t="s">
        <v>2045</v>
      </c>
      <c r="E1690" s="11">
        <v>26805</v>
      </c>
      <c r="F1690" s="11">
        <v>27926</v>
      </c>
      <c r="G1690" s="11">
        <v>54731</v>
      </c>
      <c r="H1690" s="11">
        <v>24394</v>
      </c>
    </row>
    <row r="1691" spans="1:8" x14ac:dyDescent="0.2">
      <c r="A1691" s="10">
        <v>62</v>
      </c>
      <c r="B1691" s="10" t="s">
        <v>2040</v>
      </c>
      <c r="C1691" s="10">
        <v>6206</v>
      </c>
      <c r="D1691" s="10" t="s">
        <v>2046</v>
      </c>
      <c r="E1691" s="11">
        <v>24025</v>
      </c>
      <c r="F1691" s="11">
        <v>24196</v>
      </c>
      <c r="G1691" s="11">
        <v>48221</v>
      </c>
      <c r="H1691" s="11">
        <v>16841</v>
      </c>
    </row>
    <row r="1692" spans="1:8" x14ac:dyDescent="0.2">
      <c r="A1692" s="10">
        <v>62</v>
      </c>
      <c r="B1692" s="10" t="s">
        <v>2040</v>
      </c>
      <c r="C1692" s="10">
        <v>6207</v>
      </c>
      <c r="D1692" s="10" t="s">
        <v>2047</v>
      </c>
      <c r="E1692" s="11">
        <v>16073</v>
      </c>
      <c r="F1692" s="11">
        <v>16156</v>
      </c>
      <c r="G1692" s="11">
        <v>32229</v>
      </c>
      <c r="H1692" s="11">
        <v>11655</v>
      </c>
    </row>
    <row r="1693" spans="1:8" x14ac:dyDescent="0.2">
      <c r="A1693" s="10">
        <v>62</v>
      </c>
      <c r="B1693" s="10" t="s">
        <v>2040</v>
      </c>
      <c r="C1693" s="10">
        <v>6208</v>
      </c>
      <c r="D1693" s="10" t="s">
        <v>2048</v>
      </c>
      <c r="E1693" s="11">
        <v>6819</v>
      </c>
      <c r="F1693" s="11">
        <v>6866</v>
      </c>
      <c r="G1693" s="11">
        <v>13685</v>
      </c>
      <c r="H1693" s="11">
        <v>4314</v>
      </c>
    </row>
    <row r="1694" spans="1:8" x14ac:dyDescent="0.2">
      <c r="A1694" s="10">
        <v>62</v>
      </c>
      <c r="B1694" s="10" t="s">
        <v>2040</v>
      </c>
      <c r="C1694" s="10">
        <v>6209</v>
      </c>
      <c r="D1694" s="10" t="s">
        <v>2049</v>
      </c>
      <c r="E1694" s="11">
        <v>14877</v>
      </c>
      <c r="F1694" s="11">
        <v>14905</v>
      </c>
      <c r="G1694" s="11">
        <v>29782</v>
      </c>
      <c r="H1694" s="11">
        <v>11693</v>
      </c>
    </row>
    <row r="1695" spans="1:8" x14ac:dyDescent="0.2">
      <c r="A1695" s="10">
        <v>62</v>
      </c>
      <c r="B1695" s="10" t="s">
        <v>2040</v>
      </c>
      <c r="C1695" s="10">
        <v>6210</v>
      </c>
      <c r="D1695" s="10" t="s">
        <v>2050</v>
      </c>
      <c r="E1695" s="11">
        <v>8958</v>
      </c>
      <c r="F1695" s="11">
        <v>9030</v>
      </c>
      <c r="G1695" s="11">
        <v>17988</v>
      </c>
      <c r="H1695" s="11">
        <v>7609</v>
      </c>
    </row>
    <row r="1696" spans="1:8" x14ac:dyDescent="0.2">
      <c r="A1696" s="10">
        <v>62</v>
      </c>
      <c r="B1696" s="10" t="s">
        <v>2040</v>
      </c>
      <c r="C1696" s="10">
        <v>6211</v>
      </c>
      <c r="D1696" s="10" t="s">
        <v>2051</v>
      </c>
      <c r="E1696" s="11">
        <v>13768</v>
      </c>
      <c r="F1696" s="11">
        <v>13764</v>
      </c>
      <c r="G1696" s="11">
        <v>27532</v>
      </c>
      <c r="H1696" s="11">
        <v>11187</v>
      </c>
    </row>
    <row r="1697" spans="1:8" x14ac:dyDescent="0.2">
      <c r="A1697" s="10">
        <v>62</v>
      </c>
      <c r="B1697" s="10" t="s">
        <v>2040</v>
      </c>
      <c r="C1697" s="10">
        <v>6278</v>
      </c>
      <c r="D1697" s="10" t="s">
        <v>2052</v>
      </c>
      <c r="E1697" s="11">
        <v>8616</v>
      </c>
      <c r="F1697" s="11">
        <v>8709</v>
      </c>
      <c r="G1697" s="11">
        <v>17325</v>
      </c>
      <c r="H1697" s="11">
        <v>6982</v>
      </c>
    </row>
    <row r="1698" spans="1:8" x14ac:dyDescent="0.2">
      <c r="A1698" s="10">
        <v>62</v>
      </c>
      <c r="B1698" s="10" t="s">
        <v>2040</v>
      </c>
      <c r="C1698" s="10">
        <v>6279</v>
      </c>
      <c r="D1698" s="10" t="s">
        <v>2053</v>
      </c>
      <c r="E1698" s="11">
        <v>3535</v>
      </c>
      <c r="F1698" s="11">
        <v>3535</v>
      </c>
      <c r="G1698" s="11">
        <v>7070</v>
      </c>
      <c r="H1698" s="11">
        <v>3056</v>
      </c>
    </row>
    <row r="1699" spans="1:8" x14ac:dyDescent="0.2">
      <c r="A1699" s="10">
        <v>62</v>
      </c>
      <c r="B1699" s="10" t="s">
        <v>2040</v>
      </c>
      <c r="C1699" s="10">
        <v>6280</v>
      </c>
      <c r="D1699" s="10" t="s">
        <v>2054</v>
      </c>
      <c r="E1699" s="11">
        <v>3497</v>
      </c>
      <c r="F1699" s="11">
        <v>3647</v>
      </c>
      <c r="G1699" s="11">
        <v>7144</v>
      </c>
      <c r="H1699" s="11">
        <v>3720</v>
      </c>
    </row>
    <row r="1700" spans="1:8" x14ac:dyDescent="0.2">
      <c r="A1700" s="10">
        <v>62</v>
      </c>
      <c r="B1700" s="10" t="s">
        <v>2040</v>
      </c>
      <c r="C1700" s="10">
        <v>6281</v>
      </c>
      <c r="D1700" s="10" t="s">
        <v>2055</v>
      </c>
      <c r="E1700" s="11">
        <v>2802</v>
      </c>
      <c r="F1700" s="11">
        <v>2947</v>
      </c>
      <c r="G1700" s="11">
        <v>5749</v>
      </c>
      <c r="H1700" s="11">
        <v>2322</v>
      </c>
    </row>
    <row r="1701" spans="1:8" x14ac:dyDescent="0.2">
      <c r="A1701" s="10">
        <v>62</v>
      </c>
      <c r="B1701" s="10" t="s">
        <v>2040</v>
      </c>
      <c r="C1701" s="10">
        <v>6282</v>
      </c>
      <c r="D1701" s="10" t="s">
        <v>2056</v>
      </c>
      <c r="E1701" s="11">
        <v>4416</v>
      </c>
      <c r="F1701" s="11">
        <v>4585</v>
      </c>
      <c r="G1701" s="11">
        <v>9001</v>
      </c>
      <c r="H1701" s="11">
        <v>3758</v>
      </c>
    </row>
    <row r="1702" spans="1:8" x14ac:dyDescent="0.2">
      <c r="A1702" s="10">
        <v>62</v>
      </c>
      <c r="B1702" s="10" t="s">
        <v>2040</v>
      </c>
      <c r="C1702" s="10">
        <v>6283</v>
      </c>
      <c r="D1702" s="10" t="s">
        <v>2057</v>
      </c>
      <c r="E1702" s="11">
        <v>2622</v>
      </c>
      <c r="F1702" s="11">
        <v>2730</v>
      </c>
      <c r="G1702" s="11">
        <v>5352</v>
      </c>
      <c r="H1702" s="11">
        <v>2170</v>
      </c>
    </row>
    <row r="1703" spans="1:8" x14ac:dyDescent="0.2">
      <c r="A1703" s="10">
        <v>62</v>
      </c>
      <c r="B1703" s="10" t="s">
        <v>2040</v>
      </c>
      <c r="C1703" s="10">
        <v>6284</v>
      </c>
      <c r="D1703" s="10" t="s">
        <v>2058</v>
      </c>
      <c r="E1703" s="11">
        <v>4133</v>
      </c>
      <c r="F1703" s="11">
        <v>4337</v>
      </c>
      <c r="G1703" s="11">
        <v>8470</v>
      </c>
      <c r="H1703" s="11">
        <v>3379</v>
      </c>
    </row>
    <row r="1704" spans="1:8" x14ac:dyDescent="0.2">
      <c r="A1704" s="10">
        <v>62</v>
      </c>
      <c r="B1704" s="10" t="s">
        <v>2040</v>
      </c>
      <c r="C1704" s="10">
        <v>6285</v>
      </c>
      <c r="D1704" s="10" t="s">
        <v>2059</v>
      </c>
      <c r="E1704" s="11">
        <v>9772</v>
      </c>
      <c r="F1704" s="11">
        <v>10350</v>
      </c>
      <c r="G1704" s="11">
        <v>20122</v>
      </c>
      <c r="H1704" s="11">
        <v>8895</v>
      </c>
    </row>
    <row r="1705" spans="1:8" x14ac:dyDescent="0.2">
      <c r="A1705" s="10">
        <v>62</v>
      </c>
      <c r="B1705" s="10" t="s">
        <v>2040</v>
      </c>
      <c r="C1705" s="10">
        <v>6286</v>
      </c>
      <c r="D1705" s="10" t="s">
        <v>2060</v>
      </c>
      <c r="E1705" s="11">
        <v>10809</v>
      </c>
      <c r="F1705" s="11">
        <v>11268</v>
      </c>
      <c r="G1705" s="11">
        <v>22077</v>
      </c>
      <c r="H1705" s="11">
        <v>8793</v>
      </c>
    </row>
    <row r="1706" spans="1:8" x14ac:dyDescent="0.2">
      <c r="A1706" s="10">
        <v>62</v>
      </c>
      <c r="B1706" s="10" t="s">
        <v>2040</v>
      </c>
      <c r="C1706" s="10">
        <v>6287</v>
      </c>
      <c r="D1706" s="10" t="s">
        <v>2061</v>
      </c>
      <c r="E1706" s="11">
        <v>2841</v>
      </c>
      <c r="F1706" s="11">
        <v>2854</v>
      </c>
      <c r="G1706" s="11">
        <v>5695</v>
      </c>
      <c r="H1706" s="11">
        <v>1837</v>
      </c>
    </row>
    <row r="1707" spans="1:8" x14ac:dyDescent="0.2">
      <c r="A1707" s="10">
        <v>62</v>
      </c>
      <c r="B1707" s="10" t="s">
        <v>2040</v>
      </c>
      <c r="C1707" s="10">
        <v>6288</v>
      </c>
      <c r="D1707" s="10" t="s">
        <v>2062</v>
      </c>
      <c r="E1707" s="11">
        <v>2119</v>
      </c>
      <c r="F1707" s="11">
        <v>2191</v>
      </c>
      <c r="G1707" s="11">
        <v>4310</v>
      </c>
      <c r="H1707" s="11">
        <v>2649</v>
      </c>
    </row>
    <row r="1708" spans="1:8" x14ac:dyDescent="0.2">
      <c r="A1708" s="10">
        <v>62</v>
      </c>
      <c r="B1708" s="10" t="s">
        <v>2040</v>
      </c>
      <c r="C1708" s="10">
        <v>6289</v>
      </c>
      <c r="D1708" s="10" t="s">
        <v>2063</v>
      </c>
      <c r="E1708" s="11">
        <v>3938</v>
      </c>
      <c r="F1708" s="11">
        <v>4307</v>
      </c>
      <c r="G1708" s="11">
        <v>8245</v>
      </c>
      <c r="H1708" s="11">
        <v>3782</v>
      </c>
    </row>
    <row r="1709" spans="1:8" x14ac:dyDescent="0.2">
      <c r="A1709" s="10">
        <v>62</v>
      </c>
      <c r="B1709" s="10" t="s">
        <v>2040</v>
      </c>
      <c r="C1709" s="10">
        <v>6290</v>
      </c>
      <c r="D1709" s="10" t="s">
        <v>2064</v>
      </c>
      <c r="E1709" s="11">
        <v>1769</v>
      </c>
      <c r="F1709" s="11">
        <v>1901</v>
      </c>
      <c r="G1709" s="11">
        <v>3670</v>
      </c>
      <c r="H1709" s="11">
        <v>2081</v>
      </c>
    </row>
    <row r="1710" spans="1:8" x14ac:dyDescent="0.2">
      <c r="A1710" s="10">
        <v>62</v>
      </c>
      <c r="B1710" s="10" t="s">
        <v>2040</v>
      </c>
      <c r="C1710" s="10">
        <v>6291</v>
      </c>
      <c r="D1710" s="10" t="s">
        <v>2065</v>
      </c>
      <c r="E1710" s="10">
        <v>718</v>
      </c>
      <c r="F1710" s="10">
        <v>749</v>
      </c>
      <c r="G1710" s="11">
        <v>1467</v>
      </c>
      <c r="H1710" s="10">
        <v>660</v>
      </c>
    </row>
    <row r="1711" spans="1:8" x14ac:dyDescent="0.2">
      <c r="A1711" s="10">
        <v>62</v>
      </c>
      <c r="B1711" s="10" t="s">
        <v>2040</v>
      </c>
      <c r="C1711" s="10">
        <v>6292</v>
      </c>
      <c r="D1711" s="10" t="s">
        <v>2066</v>
      </c>
      <c r="E1711" s="10">
        <v>935</v>
      </c>
      <c r="F1711" s="10">
        <v>960</v>
      </c>
      <c r="G1711" s="11">
        <v>1895</v>
      </c>
      <c r="H1711" s="11">
        <v>1040</v>
      </c>
    </row>
    <row r="1712" spans="1:8" x14ac:dyDescent="0.2">
      <c r="A1712" s="10">
        <v>62</v>
      </c>
      <c r="B1712" s="10" t="s">
        <v>2040</v>
      </c>
      <c r="C1712" s="10">
        <v>6293</v>
      </c>
      <c r="D1712" s="10" t="s">
        <v>2067</v>
      </c>
      <c r="E1712" s="11">
        <v>3729</v>
      </c>
      <c r="F1712" s="11">
        <v>4097</v>
      </c>
      <c r="G1712" s="11">
        <v>7826</v>
      </c>
      <c r="H1712" s="11">
        <v>4552</v>
      </c>
    </row>
    <row r="1713" spans="1:8" x14ac:dyDescent="0.2">
      <c r="A1713" s="10">
        <v>62</v>
      </c>
      <c r="B1713" s="10" t="s">
        <v>2040</v>
      </c>
      <c r="C1713" s="10">
        <v>6294</v>
      </c>
      <c r="D1713" s="10" t="s">
        <v>2068</v>
      </c>
      <c r="E1713" s="11">
        <v>3733</v>
      </c>
      <c r="F1713" s="11">
        <v>4004</v>
      </c>
      <c r="G1713" s="11">
        <v>7737</v>
      </c>
      <c r="H1713" s="11">
        <v>3539</v>
      </c>
    </row>
    <row r="1714" spans="1:8" x14ac:dyDescent="0.2">
      <c r="A1714" s="10">
        <v>62</v>
      </c>
      <c r="B1714" s="10" t="s">
        <v>2040</v>
      </c>
      <c r="C1714" s="10">
        <v>6295</v>
      </c>
      <c r="D1714" s="10" t="s">
        <v>2069</v>
      </c>
      <c r="E1714" s="11">
        <v>2319</v>
      </c>
      <c r="F1714" s="11">
        <v>2555</v>
      </c>
      <c r="G1714" s="11">
        <v>4874</v>
      </c>
      <c r="H1714" s="11">
        <v>2583</v>
      </c>
    </row>
    <row r="1715" spans="1:8" x14ac:dyDescent="0.2">
      <c r="A1715" s="10">
        <v>62</v>
      </c>
      <c r="B1715" s="10" t="s">
        <v>2040</v>
      </c>
      <c r="C1715" s="10">
        <v>6296</v>
      </c>
      <c r="D1715" s="10" t="s">
        <v>2070</v>
      </c>
      <c r="E1715" s="11">
        <v>1478</v>
      </c>
      <c r="F1715" s="11">
        <v>1619</v>
      </c>
      <c r="G1715" s="11">
        <v>3097</v>
      </c>
      <c r="H1715" s="11">
        <v>1365</v>
      </c>
    </row>
    <row r="1716" spans="1:8" x14ac:dyDescent="0.2">
      <c r="A1716" s="10">
        <v>62</v>
      </c>
      <c r="B1716" s="10" t="s">
        <v>2040</v>
      </c>
      <c r="C1716" s="10">
        <v>6297</v>
      </c>
      <c r="D1716" s="10" t="s">
        <v>2071</v>
      </c>
      <c r="E1716" s="11">
        <v>3106</v>
      </c>
      <c r="F1716" s="11">
        <v>3518</v>
      </c>
      <c r="G1716" s="11">
        <v>6624</v>
      </c>
      <c r="H1716" s="11">
        <v>3593</v>
      </c>
    </row>
    <row r="1717" spans="1:8" x14ac:dyDescent="0.2">
      <c r="A1717" s="10">
        <v>62</v>
      </c>
      <c r="B1717" s="10" t="s">
        <v>2040</v>
      </c>
      <c r="C1717" s="10">
        <v>6298</v>
      </c>
      <c r="D1717" s="10" t="s">
        <v>2072</v>
      </c>
      <c r="E1717" s="11">
        <v>2776</v>
      </c>
      <c r="F1717" s="11">
        <v>2923</v>
      </c>
      <c r="G1717" s="11">
        <v>5699</v>
      </c>
      <c r="H1717" s="11">
        <v>2533</v>
      </c>
    </row>
    <row r="1718" spans="1:8" x14ac:dyDescent="0.2">
      <c r="A1718" s="10">
        <v>62</v>
      </c>
      <c r="B1718" s="10" t="s">
        <v>2040</v>
      </c>
      <c r="C1718" s="10">
        <v>6299</v>
      </c>
      <c r="D1718" s="10" t="s">
        <v>2073</v>
      </c>
      <c r="E1718" s="11">
        <v>12781</v>
      </c>
      <c r="F1718" s="11">
        <v>14534</v>
      </c>
      <c r="G1718" s="11">
        <v>27315</v>
      </c>
      <c r="H1718" s="11">
        <v>16911</v>
      </c>
    </row>
    <row r="1719" spans="1:8" x14ac:dyDescent="0.2">
      <c r="A1719" s="10">
        <v>63</v>
      </c>
      <c r="B1719" s="10" t="s">
        <v>2074</v>
      </c>
      <c r="C1719" s="10">
        <v>6301</v>
      </c>
      <c r="D1719" s="10" t="s">
        <v>2075</v>
      </c>
      <c r="E1719" s="11">
        <v>36761</v>
      </c>
      <c r="F1719" s="11">
        <v>37458</v>
      </c>
      <c r="G1719" s="11">
        <v>74219</v>
      </c>
      <c r="H1719" s="11">
        <v>29973</v>
      </c>
    </row>
    <row r="1720" spans="1:8" x14ac:dyDescent="0.2">
      <c r="A1720" s="10">
        <v>63</v>
      </c>
      <c r="B1720" s="10" t="s">
        <v>2074</v>
      </c>
      <c r="C1720" s="10">
        <v>6302</v>
      </c>
      <c r="D1720" s="10" t="s">
        <v>2076</v>
      </c>
      <c r="E1720" s="11">
        <v>15192</v>
      </c>
      <c r="F1720" s="11">
        <v>15558</v>
      </c>
      <c r="G1720" s="11">
        <v>30750</v>
      </c>
      <c r="H1720" s="11">
        <v>11386</v>
      </c>
    </row>
    <row r="1721" spans="1:8" x14ac:dyDescent="0.2">
      <c r="A1721" s="10">
        <v>63</v>
      </c>
      <c r="B1721" s="10" t="s">
        <v>2074</v>
      </c>
      <c r="C1721" s="10">
        <v>6303</v>
      </c>
      <c r="D1721" s="10" t="s">
        <v>2077</v>
      </c>
      <c r="E1721" s="11">
        <v>12327</v>
      </c>
      <c r="F1721" s="11">
        <v>12661</v>
      </c>
      <c r="G1721" s="11">
        <v>24988</v>
      </c>
      <c r="H1721" s="11">
        <v>9820</v>
      </c>
    </row>
    <row r="1722" spans="1:8" x14ac:dyDescent="0.2">
      <c r="A1722" s="10">
        <v>63</v>
      </c>
      <c r="B1722" s="10" t="s">
        <v>2074</v>
      </c>
      <c r="C1722" s="10">
        <v>6304</v>
      </c>
      <c r="D1722" s="10" t="s">
        <v>2078</v>
      </c>
      <c r="E1722" s="11">
        <v>26265</v>
      </c>
      <c r="F1722" s="11">
        <v>24932</v>
      </c>
      <c r="G1722" s="11">
        <v>51197</v>
      </c>
      <c r="H1722" s="11">
        <v>17900</v>
      </c>
    </row>
    <row r="1723" spans="1:8" x14ac:dyDescent="0.2">
      <c r="A1723" s="10">
        <v>63</v>
      </c>
      <c r="B1723" s="10" t="s">
        <v>2074</v>
      </c>
      <c r="C1723" s="10">
        <v>6305</v>
      </c>
      <c r="D1723" s="10" t="s">
        <v>2079</v>
      </c>
      <c r="E1723" s="11">
        <v>49437</v>
      </c>
      <c r="F1723" s="11">
        <v>46717</v>
      </c>
      <c r="G1723" s="11">
        <v>96154</v>
      </c>
      <c r="H1723" s="11">
        <v>25740</v>
      </c>
    </row>
    <row r="1724" spans="1:8" x14ac:dyDescent="0.2">
      <c r="A1724" s="10">
        <v>63</v>
      </c>
      <c r="B1724" s="10" t="s">
        <v>2074</v>
      </c>
      <c r="C1724" s="10">
        <v>6306</v>
      </c>
      <c r="D1724" s="10" t="s">
        <v>2080</v>
      </c>
      <c r="E1724" s="11">
        <v>53030</v>
      </c>
      <c r="F1724" s="11">
        <v>51965</v>
      </c>
      <c r="G1724" s="11">
        <v>104995</v>
      </c>
      <c r="H1724" s="11">
        <v>40494</v>
      </c>
    </row>
    <row r="1725" spans="1:8" x14ac:dyDescent="0.2">
      <c r="A1725" s="10">
        <v>63</v>
      </c>
      <c r="B1725" s="10" t="s">
        <v>2074</v>
      </c>
      <c r="C1725" s="10">
        <v>6307</v>
      </c>
      <c r="D1725" s="10" t="s">
        <v>2081</v>
      </c>
      <c r="E1725" s="11">
        <v>47042</v>
      </c>
      <c r="F1725" s="11">
        <v>45272</v>
      </c>
      <c r="G1725" s="11">
        <v>92314</v>
      </c>
      <c r="H1725" s="11">
        <v>22051</v>
      </c>
    </row>
    <row r="1726" spans="1:8" x14ac:dyDescent="0.2">
      <c r="A1726" s="10">
        <v>63</v>
      </c>
      <c r="B1726" s="10" t="s">
        <v>2074</v>
      </c>
      <c r="C1726" s="10">
        <v>6308</v>
      </c>
      <c r="D1726" s="10" t="s">
        <v>2082</v>
      </c>
      <c r="E1726" s="11">
        <v>24541</v>
      </c>
      <c r="F1726" s="11">
        <v>22687</v>
      </c>
      <c r="G1726" s="11">
        <v>47228</v>
      </c>
      <c r="H1726" s="11">
        <v>12341</v>
      </c>
    </row>
    <row r="1727" spans="1:8" x14ac:dyDescent="0.2">
      <c r="A1727" s="10">
        <v>63</v>
      </c>
      <c r="B1727" s="10" t="s">
        <v>2074</v>
      </c>
      <c r="C1727" s="10">
        <v>6309</v>
      </c>
      <c r="D1727" s="10" t="s">
        <v>2083</v>
      </c>
      <c r="E1727" s="11">
        <v>15328</v>
      </c>
      <c r="F1727" s="11">
        <v>15221</v>
      </c>
      <c r="G1727" s="11">
        <v>30549</v>
      </c>
      <c r="H1727" s="11">
        <v>9746</v>
      </c>
    </row>
    <row r="1728" spans="1:8" x14ac:dyDescent="0.2">
      <c r="A1728" s="10">
        <v>63</v>
      </c>
      <c r="B1728" s="10" t="s">
        <v>2074</v>
      </c>
      <c r="C1728" s="10">
        <v>6386</v>
      </c>
      <c r="D1728" s="10" t="s">
        <v>2084</v>
      </c>
      <c r="E1728" s="11">
        <v>6259</v>
      </c>
      <c r="F1728" s="11">
        <v>5190</v>
      </c>
      <c r="G1728" s="11">
        <v>11449</v>
      </c>
      <c r="H1728" s="11">
        <v>6594</v>
      </c>
    </row>
    <row r="1729" spans="1:8" x14ac:dyDescent="0.2">
      <c r="A1729" s="10">
        <v>63</v>
      </c>
      <c r="B1729" s="10" t="s">
        <v>2074</v>
      </c>
      <c r="C1729" s="10">
        <v>6387</v>
      </c>
      <c r="D1729" s="10" t="s">
        <v>2085</v>
      </c>
      <c r="E1729" s="11">
        <v>2090</v>
      </c>
      <c r="F1729" s="11">
        <v>2086</v>
      </c>
      <c r="G1729" s="11">
        <v>4176</v>
      </c>
      <c r="H1729" s="11">
        <v>2012</v>
      </c>
    </row>
    <row r="1730" spans="1:8" x14ac:dyDescent="0.2">
      <c r="A1730" s="10">
        <v>63</v>
      </c>
      <c r="B1730" s="10" t="s">
        <v>2074</v>
      </c>
      <c r="C1730" s="10">
        <v>6388</v>
      </c>
      <c r="D1730" s="10" t="s">
        <v>2086</v>
      </c>
      <c r="E1730" s="11">
        <v>2573</v>
      </c>
      <c r="F1730" s="11">
        <v>2405</v>
      </c>
      <c r="G1730" s="11">
        <v>4978</v>
      </c>
      <c r="H1730" s="10">
        <v>950</v>
      </c>
    </row>
    <row r="1731" spans="1:8" x14ac:dyDescent="0.2">
      <c r="A1731" s="10">
        <v>63</v>
      </c>
      <c r="B1731" s="10" t="s">
        <v>2074</v>
      </c>
      <c r="C1731" s="10">
        <v>6389</v>
      </c>
      <c r="D1731" s="10" t="s">
        <v>2087</v>
      </c>
      <c r="E1731" s="11">
        <v>3668</v>
      </c>
      <c r="F1731" s="11">
        <v>3468</v>
      </c>
      <c r="G1731" s="11">
        <v>7136</v>
      </c>
      <c r="H1731" s="11">
        <v>3002</v>
      </c>
    </row>
    <row r="1732" spans="1:8" x14ac:dyDescent="0.2">
      <c r="A1732" s="10">
        <v>63</v>
      </c>
      <c r="B1732" s="10" t="s">
        <v>2074</v>
      </c>
      <c r="C1732" s="10">
        <v>6390</v>
      </c>
      <c r="D1732" s="10" t="s">
        <v>2088</v>
      </c>
      <c r="E1732" s="11">
        <v>3244</v>
      </c>
      <c r="F1732" s="11">
        <v>3399</v>
      </c>
      <c r="G1732" s="11">
        <v>6643</v>
      </c>
      <c r="H1732" s="11">
        <v>3269</v>
      </c>
    </row>
    <row r="1733" spans="1:8" x14ac:dyDescent="0.2">
      <c r="A1733" s="10">
        <v>63</v>
      </c>
      <c r="B1733" s="10" t="s">
        <v>2074</v>
      </c>
      <c r="C1733" s="10">
        <v>6391</v>
      </c>
      <c r="D1733" s="10" t="s">
        <v>2089</v>
      </c>
      <c r="E1733" s="11">
        <v>12320</v>
      </c>
      <c r="F1733" s="11">
        <v>11635</v>
      </c>
      <c r="G1733" s="11">
        <v>23955</v>
      </c>
      <c r="H1733" s="11">
        <v>5075</v>
      </c>
    </row>
    <row r="1734" spans="1:8" x14ac:dyDescent="0.2">
      <c r="A1734" s="10">
        <v>63</v>
      </c>
      <c r="B1734" s="10" t="s">
        <v>2074</v>
      </c>
      <c r="C1734" s="10">
        <v>6392</v>
      </c>
      <c r="D1734" s="10" t="s">
        <v>2090</v>
      </c>
      <c r="E1734" s="11">
        <v>2276</v>
      </c>
      <c r="F1734" s="11">
        <v>2333</v>
      </c>
      <c r="G1734" s="11">
        <v>4609</v>
      </c>
      <c r="H1734" s="11">
        <v>1467</v>
      </c>
    </row>
    <row r="1735" spans="1:8" x14ac:dyDescent="0.2">
      <c r="A1735" s="10">
        <v>63</v>
      </c>
      <c r="B1735" s="10" t="s">
        <v>2074</v>
      </c>
      <c r="C1735" s="10">
        <v>6393</v>
      </c>
      <c r="D1735" s="10" t="s">
        <v>2091</v>
      </c>
      <c r="E1735" s="11">
        <v>1896</v>
      </c>
      <c r="F1735" s="11">
        <v>1928</v>
      </c>
      <c r="G1735" s="11">
        <v>3824</v>
      </c>
      <c r="H1735" s="11">
        <v>1912</v>
      </c>
    </row>
    <row r="1736" spans="1:8" x14ac:dyDescent="0.2">
      <c r="A1736" s="10">
        <v>63</v>
      </c>
      <c r="B1736" s="10" t="s">
        <v>2074</v>
      </c>
      <c r="C1736" s="10">
        <v>6394</v>
      </c>
      <c r="D1736" s="10" t="s">
        <v>2092</v>
      </c>
      <c r="E1736" s="11">
        <v>2442</v>
      </c>
      <c r="F1736" s="11">
        <v>2596</v>
      </c>
      <c r="G1736" s="11">
        <v>5038</v>
      </c>
      <c r="H1736" s="11">
        <v>2206</v>
      </c>
    </row>
    <row r="1737" spans="1:8" x14ac:dyDescent="0.2">
      <c r="A1737" s="10">
        <v>63</v>
      </c>
      <c r="B1737" s="10" t="s">
        <v>2074</v>
      </c>
      <c r="C1737" s="10">
        <v>6395</v>
      </c>
      <c r="D1737" s="10" t="s">
        <v>2093</v>
      </c>
      <c r="E1737" s="11">
        <v>2067</v>
      </c>
      <c r="F1737" s="11">
        <v>2292</v>
      </c>
      <c r="G1737" s="11">
        <v>4359</v>
      </c>
      <c r="H1737" s="11">
        <v>2223</v>
      </c>
    </row>
    <row r="1738" spans="1:8" x14ac:dyDescent="0.2">
      <c r="A1738" s="10">
        <v>63</v>
      </c>
      <c r="B1738" s="10" t="s">
        <v>2074</v>
      </c>
      <c r="C1738" s="10">
        <v>6396</v>
      </c>
      <c r="D1738" s="10" t="s">
        <v>2094</v>
      </c>
      <c r="E1738" s="11">
        <v>2859</v>
      </c>
      <c r="F1738" s="11">
        <v>3379</v>
      </c>
      <c r="G1738" s="11">
        <v>6238</v>
      </c>
      <c r="H1738" s="11">
        <v>2772</v>
      </c>
    </row>
    <row r="1739" spans="1:8" x14ac:dyDescent="0.2">
      <c r="A1739" s="10">
        <v>63</v>
      </c>
      <c r="B1739" s="10" t="s">
        <v>2074</v>
      </c>
      <c r="C1739" s="10">
        <v>6397</v>
      </c>
      <c r="D1739" s="10" t="s">
        <v>2095</v>
      </c>
      <c r="E1739" s="11">
        <v>2902</v>
      </c>
      <c r="F1739" s="11">
        <v>2964</v>
      </c>
      <c r="G1739" s="11">
        <v>5866</v>
      </c>
      <c r="H1739" s="11">
        <v>2183</v>
      </c>
    </row>
    <row r="1740" spans="1:8" x14ac:dyDescent="0.2">
      <c r="A1740" s="10">
        <v>63</v>
      </c>
      <c r="B1740" s="10" t="s">
        <v>2074</v>
      </c>
      <c r="C1740" s="10">
        <v>6398</v>
      </c>
      <c r="D1740" s="10" t="s">
        <v>2096</v>
      </c>
      <c r="E1740" s="11">
        <v>21349</v>
      </c>
      <c r="F1740" s="11">
        <v>21525</v>
      </c>
      <c r="G1740" s="11">
        <v>42874</v>
      </c>
      <c r="H1740" s="11">
        <v>20802</v>
      </c>
    </row>
    <row r="1741" spans="1:8" x14ac:dyDescent="0.2">
      <c r="A1741" s="10">
        <v>63</v>
      </c>
      <c r="B1741" s="10" t="s">
        <v>2074</v>
      </c>
      <c r="C1741" s="10">
        <v>6399</v>
      </c>
      <c r="D1741" s="10" t="s">
        <v>2097</v>
      </c>
      <c r="E1741" s="11">
        <v>7065</v>
      </c>
      <c r="F1741" s="11">
        <v>7993</v>
      </c>
      <c r="G1741" s="11">
        <v>15058</v>
      </c>
      <c r="H1741" s="11">
        <v>7599</v>
      </c>
    </row>
    <row r="1742" spans="1:8" x14ac:dyDescent="0.2">
      <c r="A1742" s="10">
        <v>64</v>
      </c>
      <c r="B1742" s="10" t="s">
        <v>2098</v>
      </c>
      <c r="C1742" s="10">
        <v>6401</v>
      </c>
      <c r="D1742" s="10" t="s">
        <v>2099</v>
      </c>
      <c r="E1742" s="11">
        <v>28840</v>
      </c>
      <c r="F1742" s="11">
        <v>31136</v>
      </c>
      <c r="G1742" s="11">
        <v>59976</v>
      </c>
      <c r="H1742" s="11">
        <v>23787</v>
      </c>
    </row>
    <row r="1743" spans="1:8" x14ac:dyDescent="0.2">
      <c r="A1743" s="10">
        <v>64</v>
      </c>
      <c r="B1743" s="10" t="s">
        <v>2098</v>
      </c>
      <c r="C1743" s="10">
        <v>6402</v>
      </c>
      <c r="D1743" s="10" t="s">
        <v>2100</v>
      </c>
      <c r="E1743" s="11">
        <v>21876</v>
      </c>
      <c r="F1743" s="11">
        <v>22173</v>
      </c>
      <c r="G1743" s="11">
        <v>44049</v>
      </c>
      <c r="H1743" s="11">
        <v>15097</v>
      </c>
    </row>
    <row r="1744" spans="1:8" x14ac:dyDescent="0.2">
      <c r="A1744" s="10">
        <v>64</v>
      </c>
      <c r="B1744" s="10" t="s">
        <v>2098</v>
      </c>
      <c r="C1744" s="10">
        <v>6403</v>
      </c>
      <c r="D1744" s="10" t="s">
        <v>2101</v>
      </c>
      <c r="E1744" s="11">
        <v>22494</v>
      </c>
      <c r="F1744" s="11">
        <v>23070</v>
      </c>
      <c r="G1744" s="11">
        <v>45564</v>
      </c>
      <c r="H1744" s="11">
        <v>14916</v>
      </c>
    </row>
    <row r="1745" spans="1:8" x14ac:dyDescent="0.2">
      <c r="A1745" s="10">
        <v>64</v>
      </c>
      <c r="B1745" s="10" t="s">
        <v>2098</v>
      </c>
      <c r="C1745" s="10">
        <v>6404</v>
      </c>
      <c r="D1745" s="10" t="s">
        <v>2102</v>
      </c>
      <c r="E1745" s="11">
        <v>28261</v>
      </c>
      <c r="F1745" s="11">
        <v>29822</v>
      </c>
      <c r="G1745" s="11">
        <v>58083</v>
      </c>
      <c r="H1745" s="11">
        <v>21194</v>
      </c>
    </row>
    <row r="1746" spans="1:8" x14ac:dyDescent="0.2">
      <c r="A1746" s="10">
        <v>64</v>
      </c>
      <c r="B1746" s="10" t="s">
        <v>2098</v>
      </c>
      <c r="C1746" s="10">
        <v>6405</v>
      </c>
      <c r="D1746" s="10" t="s">
        <v>2103</v>
      </c>
      <c r="E1746" s="11">
        <v>33764</v>
      </c>
      <c r="F1746" s="11">
        <v>35097</v>
      </c>
      <c r="G1746" s="11">
        <v>68861</v>
      </c>
      <c r="H1746" s="11">
        <v>27910</v>
      </c>
    </row>
    <row r="1747" spans="1:8" x14ac:dyDescent="0.2">
      <c r="A1747" s="10">
        <v>64</v>
      </c>
      <c r="B1747" s="10" t="s">
        <v>2098</v>
      </c>
      <c r="C1747" s="10">
        <v>6406</v>
      </c>
      <c r="D1747" s="10" t="s">
        <v>2104</v>
      </c>
      <c r="E1747" s="11">
        <v>28734</v>
      </c>
      <c r="F1747" s="11">
        <v>31204</v>
      </c>
      <c r="G1747" s="11">
        <v>59938</v>
      </c>
      <c r="H1747" s="11">
        <v>23244</v>
      </c>
    </row>
    <row r="1748" spans="1:8" x14ac:dyDescent="0.2">
      <c r="A1748" s="10">
        <v>64</v>
      </c>
      <c r="B1748" s="10" t="s">
        <v>2098</v>
      </c>
      <c r="C1748" s="10">
        <v>6407</v>
      </c>
      <c r="D1748" s="10" t="s">
        <v>2105</v>
      </c>
      <c r="E1748" s="11">
        <v>23522</v>
      </c>
      <c r="F1748" s="11">
        <v>25651</v>
      </c>
      <c r="G1748" s="11">
        <v>49173</v>
      </c>
      <c r="H1748" s="11">
        <v>20740</v>
      </c>
    </row>
    <row r="1749" spans="1:8" x14ac:dyDescent="0.2">
      <c r="A1749" s="10">
        <v>64</v>
      </c>
      <c r="B1749" s="10" t="s">
        <v>2098</v>
      </c>
      <c r="C1749" s="10">
        <v>6408</v>
      </c>
      <c r="D1749" s="10" t="s">
        <v>2106</v>
      </c>
      <c r="E1749" s="11">
        <v>10601</v>
      </c>
      <c r="F1749" s="11">
        <v>11306</v>
      </c>
      <c r="G1749" s="11">
        <v>21907</v>
      </c>
      <c r="H1749" s="11">
        <v>8404</v>
      </c>
    </row>
    <row r="1750" spans="1:8" x14ac:dyDescent="0.2">
      <c r="A1750" s="10">
        <v>64</v>
      </c>
      <c r="B1750" s="10" t="s">
        <v>2098</v>
      </c>
      <c r="C1750" s="10">
        <v>6409</v>
      </c>
      <c r="D1750" s="10" t="s">
        <v>2107</v>
      </c>
      <c r="E1750" s="11">
        <v>20175</v>
      </c>
      <c r="F1750" s="11">
        <v>20797</v>
      </c>
      <c r="G1750" s="11">
        <v>40972</v>
      </c>
      <c r="H1750" s="11">
        <v>15441</v>
      </c>
    </row>
    <row r="1751" spans="1:8" x14ac:dyDescent="0.2">
      <c r="A1751" s="10">
        <v>64</v>
      </c>
      <c r="B1751" s="10" t="s">
        <v>2098</v>
      </c>
      <c r="C1751" s="10">
        <v>6484</v>
      </c>
      <c r="D1751" s="10" t="s">
        <v>1829</v>
      </c>
      <c r="E1751" s="11">
        <v>3946</v>
      </c>
      <c r="F1751" s="11">
        <v>4136</v>
      </c>
      <c r="G1751" s="11">
        <v>8082</v>
      </c>
      <c r="H1751" s="11">
        <v>3514</v>
      </c>
    </row>
    <row r="1752" spans="1:8" x14ac:dyDescent="0.2">
      <c r="A1752" s="10">
        <v>64</v>
      </c>
      <c r="B1752" s="10" t="s">
        <v>2098</v>
      </c>
      <c r="C1752" s="10">
        <v>6485</v>
      </c>
      <c r="D1752" s="10" t="s">
        <v>2108</v>
      </c>
      <c r="E1752" s="11">
        <v>3627</v>
      </c>
      <c r="F1752" s="11">
        <v>3902</v>
      </c>
      <c r="G1752" s="11">
        <v>7529</v>
      </c>
      <c r="H1752" s="11">
        <v>2861</v>
      </c>
    </row>
    <row r="1753" spans="1:8" x14ac:dyDescent="0.2">
      <c r="A1753" s="10">
        <v>64</v>
      </c>
      <c r="B1753" s="10" t="s">
        <v>2098</v>
      </c>
      <c r="C1753" s="10">
        <v>6486</v>
      </c>
      <c r="D1753" s="10" t="s">
        <v>589</v>
      </c>
      <c r="E1753" s="11">
        <v>7396</v>
      </c>
      <c r="F1753" s="11">
        <v>8346</v>
      </c>
      <c r="G1753" s="11">
        <v>15742</v>
      </c>
      <c r="H1753" s="11">
        <v>7465</v>
      </c>
    </row>
    <row r="1754" spans="1:8" x14ac:dyDescent="0.2">
      <c r="A1754" s="10">
        <v>64</v>
      </c>
      <c r="B1754" s="10" t="s">
        <v>2098</v>
      </c>
      <c r="C1754" s="10">
        <v>6487</v>
      </c>
      <c r="D1754" s="10" t="s">
        <v>2109</v>
      </c>
      <c r="E1754" s="11">
        <v>3334</v>
      </c>
      <c r="F1754" s="11">
        <v>3687</v>
      </c>
      <c r="G1754" s="11">
        <v>7021</v>
      </c>
      <c r="H1754" s="11">
        <v>3106</v>
      </c>
    </row>
    <row r="1755" spans="1:8" x14ac:dyDescent="0.2">
      <c r="A1755" s="10">
        <v>64</v>
      </c>
      <c r="B1755" s="10" t="s">
        <v>2098</v>
      </c>
      <c r="C1755" s="10">
        <v>6488</v>
      </c>
      <c r="D1755" s="10" t="s">
        <v>2110</v>
      </c>
      <c r="E1755" s="11">
        <v>1383</v>
      </c>
      <c r="F1755" s="11">
        <v>1591</v>
      </c>
      <c r="G1755" s="11">
        <v>2974</v>
      </c>
      <c r="H1755" s="11">
        <v>1724</v>
      </c>
    </row>
    <row r="1756" spans="1:8" x14ac:dyDescent="0.2">
      <c r="A1756" s="10">
        <v>64</v>
      </c>
      <c r="B1756" s="10" t="s">
        <v>2098</v>
      </c>
      <c r="C1756" s="10">
        <v>6489</v>
      </c>
      <c r="D1756" s="10" t="s">
        <v>2111</v>
      </c>
      <c r="E1756" s="11">
        <v>3280</v>
      </c>
      <c r="F1756" s="11">
        <v>3802</v>
      </c>
      <c r="G1756" s="11">
        <v>7082</v>
      </c>
      <c r="H1756" s="11">
        <v>3614</v>
      </c>
    </row>
    <row r="1757" spans="1:8" x14ac:dyDescent="0.2">
      <c r="A1757" s="10">
        <v>64</v>
      </c>
      <c r="B1757" s="10" t="s">
        <v>2098</v>
      </c>
      <c r="C1757" s="10">
        <v>6490</v>
      </c>
      <c r="D1757" s="10" t="s">
        <v>2112</v>
      </c>
      <c r="E1757" s="11">
        <v>2955</v>
      </c>
      <c r="F1757" s="11">
        <v>3335</v>
      </c>
      <c r="G1757" s="11">
        <v>6290</v>
      </c>
      <c r="H1757" s="11">
        <v>3722</v>
      </c>
    </row>
    <row r="1758" spans="1:8" x14ac:dyDescent="0.2">
      <c r="A1758" s="10">
        <v>64</v>
      </c>
      <c r="B1758" s="10" t="s">
        <v>2098</v>
      </c>
      <c r="C1758" s="10">
        <v>6491</v>
      </c>
      <c r="D1758" s="10" t="s">
        <v>2113</v>
      </c>
      <c r="E1758" s="11">
        <v>6961</v>
      </c>
      <c r="F1758" s="11">
        <v>7619</v>
      </c>
      <c r="G1758" s="11">
        <v>14580</v>
      </c>
      <c r="H1758" s="11">
        <v>5984</v>
      </c>
    </row>
    <row r="1759" spans="1:8" x14ac:dyDescent="0.2">
      <c r="A1759" s="10">
        <v>64</v>
      </c>
      <c r="B1759" s="10" t="s">
        <v>2098</v>
      </c>
      <c r="C1759" s="10">
        <v>6492</v>
      </c>
      <c r="D1759" s="10" t="s">
        <v>2114</v>
      </c>
      <c r="E1759" s="11">
        <v>1877</v>
      </c>
      <c r="F1759" s="11">
        <v>2088</v>
      </c>
      <c r="G1759" s="11">
        <v>3965</v>
      </c>
      <c r="H1759" s="11">
        <v>2090</v>
      </c>
    </row>
    <row r="1760" spans="1:8" x14ac:dyDescent="0.2">
      <c r="A1760" s="10">
        <v>64</v>
      </c>
      <c r="B1760" s="10" t="s">
        <v>2098</v>
      </c>
      <c r="C1760" s="10">
        <v>6493</v>
      </c>
      <c r="D1760" s="10" t="s">
        <v>2115</v>
      </c>
      <c r="E1760" s="11">
        <v>1375</v>
      </c>
      <c r="F1760" s="11">
        <v>1551</v>
      </c>
      <c r="G1760" s="11">
        <v>2926</v>
      </c>
      <c r="H1760" s="11">
        <v>1685</v>
      </c>
    </row>
    <row r="1761" spans="1:8" x14ac:dyDescent="0.2">
      <c r="A1761" s="10">
        <v>64</v>
      </c>
      <c r="B1761" s="10" t="s">
        <v>2098</v>
      </c>
      <c r="C1761" s="10">
        <v>6494</v>
      </c>
      <c r="D1761" s="10" t="s">
        <v>2116</v>
      </c>
      <c r="E1761" s="11">
        <v>3277</v>
      </c>
      <c r="F1761" s="11">
        <v>3626</v>
      </c>
      <c r="G1761" s="11">
        <v>6903</v>
      </c>
      <c r="H1761" s="11">
        <v>2472</v>
      </c>
    </row>
    <row r="1762" spans="1:8" x14ac:dyDescent="0.2">
      <c r="A1762" s="10">
        <v>64</v>
      </c>
      <c r="B1762" s="10" t="s">
        <v>2098</v>
      </c>
      <c r="C1762" s="10">
        <v>6495</v>
      </c>
      <c r="D1762" s="10" t="s">
        <v>2117</v>
      </c>
      <c r="E1762" s="11">
        <v>1645</v>
      </c>
      <c r="F1762" s="11">
        <v>1792</v>
      </c>
      <c r="G1762" s="11">
        <v>3437</v>
      </c>
      <c r="H1762" s="11">
        <v>1761</v>
      </c>
    </row>
    <row r="1763" spans="1:8" x14ac:dyDescent="0.2">
      <c r="A1763" s="10">
        <v>64</v>
      </c>
      <c r="B1763" s="10" t="s">
        <v>2098</v>
      </c>
      <c r="C1763" s="10">
        <v>6496</v>
      </c>
      <c r="D1763" s="10" t="s">
        <v>833</v>
      </c>
      <c r="E1763" s="11">
        <v>3238</v>
      </c>
      <c r="F1763" s="11">
        <v>3783</v>
      </c>
      <c r="G1763" s="11">
        <v>7021</v>
      </c>
      <c r="H1763" s="11">
        <v>2721</v>
      </c>
    </row>
    <row r="1764" spans="1:8" x14ac:dyDescent="0.2">
      <c r="A1764" s="10">
        <v>64</v>
      </c>
      <c r="B1764" s="10" t="s">
        <v>2098</v>
      </c>
      <c r="C1764" s="10">
        <v>6497</v>
      </c>
      <c r="D1764" s="10" t="s">
        <v>2118</v>
      </c>
      <c r="E1764" s="11">
        <v>1927</v>
      </c>
      <c r="F1764" s="11">
        <v>2151</v>
      </c>
      <c r="G1764" s="11">
        <v>4078</v>
      </c>
      <c r="H1764" s="11">
        <v>1735</v>
      </c>
    </row>
    <row r="1765" spans="1:8" x14ac:dyDescent="0.2">
      <c r="A1765" s="10">
        <v>64</v>
      </c>
      <c r="B1765" s="10" t="s">
        <v>2098</v>
      </c>
      <c r="C1765" s="10">
        <v>6498</v>
      </c>
      <c r="D1765" s="10" t="s">
        <v>2119</v>
      </c>
      <c r="E1765" s="11">
        <v>6506</v>
      </c>
      <c r="F1765" s="11">
        <v>7398</v>
      </c>
      <c r="G1765" s="11">
        <v>13904</v>
      </c>
      <c r="H1765" s="11">
        <v>6855</v>
      </c>
    </row>
    <row r="1766" spans="1:8" x14ac:dyDescent="0.2">
      <c r="A1766" s="10">
        <v>64</v>
      </c>
      <c r="B1766" s="10" t="s">
        <v>2098</v>
      </c>
      <c r="C1766" s="10">
        <v>6499</v>
      </c>
      <c r="D1766" s="10" t="s">
        <v>2120</v>
      </c>
      <c r="E1766" s="11">
        <v>6185</v>
      </c>
      <c r="F1766" s="11">
        <v>7146</v>
      </c>
      <c r="G1766" s="11">
        <v>13331</v>
      </c>
      <c r="H1766" s="11">
        <v>7193</v>
      </c>
    </row>
    <row r="1767" spans="1:8" x14ac:dyDescent="0.2">
      <c r="A1767" s="10">
        <v>65</v>
      </c>
      <c r="B1767" s="10" t="s">
        <v>2121</v>
      </c>
      <c r="C1767" s="10">
        <v>6501</v>
      </c>
      <c r="D1767" s="10" t="s">
        <v>2122</v>
      </c>
      <c r="E1767" s="11">
        <v>87748</v>
      </c>
      <c r="F1767" s="11">
        <v>94344</v>
      </c>
      <c r="G1767" s="11">
        <v>182092</v>
      </c>
      <c r="H1767" s="11">
        <v>92279</v>
      </c>
    </row>
    <row r="1768" spans="1:8" x14ac:dyDescent="0.2">
      <c r="A1768" s="10">
        <v>65</v>
      </c>
      <c r="B1768" s="10" t="s">
        <v>2121</v>
      </c>
      <c r="C1768" s="10">
        <v>6502</v>
      </c>
      <c r="D1768" s="10" t="s">
        <v>2123</v>
      </c>
      <c r="E1768" s="11">
        <v>32799</v>
      </c>
      <c r="F1768" s="11">
        <v>33301</v>
      </c>
      <c r="G1768" s="11">
        <v>66100</v>
      </c>
      <c r="H1768" s="11">
        <v>24693</v>
      </c>
    </row>
    <row r="1769" spans="1:8" x14ac:dyDescent="0.2">
      <c r="A1769" s="10">
        <v>65</v>
      </c>
      <c r="B1769" s="10" t="s">
        <v>2121</v>
      </c>
      <c r="C1769" s="10">
        <v>6503</v>
      </c>
      <c r="D1769" s="10" t="s">
        <v>2124</v>
      </c>
      <c r="E1769" s="11">
        <v>18303</v>
      </c>
      <c r="F1769" s="11">
        <v>17984</v>
      </c>
      <c r="G1769" s="11">
        <v>36287</v>
      </c>
      <c r="H1769" s="11">
        <v>12891</v>
      </c>
    </row>
    <row r="1770" spans="1:8" x14ac:dyDescent="0.2">
      <c r="A1770" s="10">
        <v>65</v>
      </c>
      <c r="B1770" s="10" t="s">
        <v>2121</v>
      </c>
      <c r="C1770" s="10">
        <v>6504</v>
      </c>
      <c r="D1770" s="10" t="s">
        <v>2125</v>
      </c>
      <c r="E1770" s="11">
        <v>36094</v>
      </c>
      <c r="F1770" s="11">
        <v>37438</v>
      </c>
      <c r="G1770" s="11">
        <v>73532</v>
      </c>
      <c r="H1770" s="11">
        <v>27265</v>
      </c>
    </row>
    <row r="1771" spans="1:8" x14ac:dyDescent="0.2">
      <c r="A1771" s="10">
        <v>65</v>
      </c>
      <c r="B1771" s="10" t="s">
        <v>2121</v>
      </c>
      <c r="C1771" s="10">
        <v>6505</v>
      </c>
      <c r="D1771" s="10" t="s">
        <v>2126</v>
      </c>
      <c r="E1771" s="11">
        <v>15503</v>
      </c>
      <c r="F1771" s="11">
        <v>16434</v>
      </c>
      <c r="G1771" s="11">
        <v>31937</v>
      </c>
      <c r="H1771" s="11">
        <v>12352</v>
      </c>
    </row>
    <row r="1772" spans="1:8" x14ac:dyDescent="0.2">
      <c r="A1772" s="10">
        <v>65</v>
      </c>
      <c r="B1772" s="10" t="s">
        <v>2121</v>
      </c>
      <c r="C1772" s="10">
        <v>6506</v>
      </c>
      <c r="D1772" s="10" t="s">
        <v>2127</v>
      </c>
      <c r="E1772" s="11">
        <v>38585</v>
      </c>
      <c r="F1772" s="11">
        <v>40733</v>
      </c>
      <c r="G1772" s="11">
        <v>79318</v>
      </c>
      <c r="H1772" s="11">
        <v>31721</v>
      </c>
    </row>
    <row r="1773" spans="1:8" x14ac:dyDescent="0.2">
      <c r="A1773" s="10">
        <v>65</v>
      </c>
      <c r="B1773" s="10" t="s">
        <v>2121</v>
      </c>
      <c r="C1773" s="10">
        <v>6507</v>
      </c>
      <c r="D1773" s="10" t="s">
        <v>2128</v>
      </c>
      <c r="E1773" s="11">
        <v>14342</v>
      </c>
      <c r="F1773" s="11">
        <v>14685</v>
      </c>
      <c r="G1773" s="11">
        <v>29027</v>
      </c>
      <c r="H1773" s="11">
        <v>11675</v>
      </c>
    </row>
    <row r="1774" spans="1:8" x14ac:dyDescent="0.2">
      <c r="A1774" s="10">
        <v>65</v>
      </c>
      <c r="B1774" s="10" t="s">
        <v>2121</v>
      </c>
      <c r="C1774" s="10">
        <v>6508</v>
      </c>
      <c r="D1774" s="10" t="s">
        <v>2129</v>
      </c>
      <c r="E1774" s="11">
        <v>55920</v>
      </c>
      <c r="F1774" s="11">
        <v>57530</v>
      </c>
      <c r="G1774" s="11">
        <v>113450</v>
      </c>
      <c r="H1774" s="11">
        <v>45986</v>
      </c>
    </row>
    <row r="1775" spans="1:8" x14ac:dyDescent="0.2">
      <c r="A1775" s="10">
        <v>65</v>
      </c>
      <c r="B1775" s="10" t="s">
        <v>2121</v>
      </c>
      <c r="C1775" s="10">
        <v>6509</v>
      </c>
      <c r="D1775" s="10" t="s">
        <v>2130</v>
      </c>
      <c r="E1775" s="11">
        <v>18860</v>
      </c>
      <c r="F1775" s="11">
        <v>19082</v>
      </c>
      <c r="G1775" s="11">
        <v>37942</v>
      </c>
      <c r="H1775" s="11">
        <v>15431</v>
      </c>
    </row>
    <row r="1776" spans="1:8" x14ac:dyDescent="0.2">
      <c r="A1776" s="10">
        <v>65</v>
      </c>
      <c r="B1776" s="10" t="s">
        <v>2121</v>
      </c>
      <c r="C1776" s="10">
        <v>6580</v>
      </c>
      <c r="D1776" s="10" t="s">
        <v>2131</v>
      </c>
      <c r="E1776" s="11">
        <v>15918</v>
      </c>
      <c r="F1776" s="11">
        <v>13364</v>
      </c>
      <c r="G1776" s="11">
        <v>29282</v>
      </c>
      <c r="H1776" s="11">
        <v>14707</v>
      </c>
    </row>
    <row r="1777" spans="1:8" x14ac:dyDescent="0.2">
      <c r="A1777" s="10">
        <v>65</v>
      </c>
      <c r="B1777" s="10" t="s">
        <v>2121</v>
      </c>
      <c r="C1777" s="10">
        <v>6581</v>
      </c>
      <c r="D1777" s="10" t="s">
        <v>2132</v>
      </c>
      <c r="E1777" s="11">
        <v>3395</v>
      </c>
      <c r="F1777" s="11">
        <v>3447</v>
      </c>
      <c r="G1777" s="11">
        <v>6842</v>
      </c>
      <c r="H1777" s="11">
        <v>2773</v>
      </c>
    </row>
    <row r="1778" spans="1:8" x14ac:dyDescent="0.2">
      <c r="A1778" s="10">
        <v>65</v>
      </c>
      <c r="B1778" s="10" t="s">
        <v>2121</v>
      </c>
      <c r="C1778" s="10">
        <v>6582</v>
      </c>
      <c r="D1778" s="10" t="s">
        <v>2133</v>
      </c>
      <c r="E1778" s="11">
        <v>2115</v>
      </c>
      <c r="F1778" s="11">
        <v>2259</v>
      </c>
      <c r="G1778" s="11">
        <v>4374</v>
      </c>
      <c r="H1778" s="11">
        <v>1733</v>
      </c>
    </row>
    <row r="1779" spans="1:8" x14ac:dyDescent="0.2">
      <c r="A1779" s="10">
        <v>65</v>
      </c>
      <c r="B1779" s="10" t="s">
        <v>2121</v>
      </c>
      <c r="C1779" s="10">
        <v>6583</v>
      </c>
      <c r="D1779" s="10" t="s">
        <v>2134</v>
      </c>
      <c r="E1779" s="11">
        <v>3796</v>
      </c>
      <c r="F1779" s="11">
        <v>4276</v>
      </c>
      <c r="G1779" s="11">
        <v>8072</v>
      </c>
      <c r="H1779" s="11">
        <v>4608</v>
      </c>
    </row>
    <row r="1780" spans="1:8" x14ac:dyDescent="0.2">
      <c r="A1780" s="10">
        <v>65</v>
      </c>
      <c r="B1780" s="10" t="s">
        <v>2121</v>
      </c>
      <c r="C1780" s="10">
        <v>6584</v>
      </c>
      <c r="D1780" s="10" t="s">
        <v>2135</v>
      </c>
      <c r="E1780" s="11">
        <v>2955</v>
      </c>
      <c r="F1780" s="11">
        <v>3023</v>
      </c>
      <c r="G1780" s="11">
        <v>5978</v>
      </c>
      <c r="H1780" s="11">
        <v>2159</v>
      </c>
    </row>
    <row r="1781" spans="1:8" x14ac:dyDescent="0.2">
      <c r="A1781" s="10">
        <v>65</v>
      </c>
      <c r="B1781" s="10" t="s">
        <v>2121</v>
      </c>
      <c r="C1781" s="10">
        <v>6585</v>
      </c>
      <c r="D1781" s="10" t="s">
        <v>2136</v>
      </c>
      <c r="E1781" s="11">
        <v>4089</v>
      </c>
      <c r="F1781" s="11">
        <v>4213</v>
      </c>
      <c r="G1781" s="11">
        <v>8302</v>
      </c>
      <c r="H1781" s="11">
        <v>3282</v>
      </c>
    </row>
    <row r="1782" spans="1:8" x14ac:dyDescent="0.2">
      <c r="A1782" s="10">
        <v>65</v>
      </c>
      <c r="B1782" s="10" t="s">
        <v>2121</v>
      </c>
      <c r="C1782" s="10">
        <v>6586</v>
      </c>
      <c r="D1782" s="10" t="s">
        <v>2137</v>
      </c>
      <c r="E1782" s="11">
        <v>5130</v>
      </c>
      <c r="F1782" s="11">
        <v>5002</v>
      </c>
      <c r="G1782" s="11">
        <v>10132</v>
      </c>
      <c r="H1782" s="11">
        <v>4971</v>
      </c>
    </row>
    <row r="1783" spans="1:8" x14ac:dyDescent="0.2">
      <c r="A1783" s="10">
        <v>65</v>
      </c>
      <c r="B1783" s="10" t="s">
        <v>2121</v>
      </c>
      <c r="C1783" s="10">
        <v>6587</v>
      </c>
      <c r="D1783" s="10" t="s">
        <v>2138</v>
      </c>
      <c r="E1783" s="11">
        <v>1620</v>
      </c>
      <c r="F1783" s="11">
        <v>1778</v>
      </c>
      <c r="G1783" s="11">
        <v>3398</v>
      </c>
      <c r="H1783" s="11">
        <v>1704</v>
      </c>
    </row>
    <row r="1784" spans="1:8" x14ac:dyDescent="0.2">
      <c r="A1784" s="10">
        <v>65</v>
      </c>
      <c r="B1784" s="10" t="s">
        <v>2121</v>
      </c>
      <c r="C1784" s="10">
        <v>6588</v>
      </c>
      <c r="D1784" s="10" t="s">
        <v>2139</v>
      </c>
      <c r="E1784" s="11">
        <v>1852</v>
      </c>
      <c r="F1784" s="11">
        <v>2139</v>
      </c>
      <c r="G1784" s="11">
        <v>3991</v>
      </c>
      <c r="H1784" s="11">
        <v>1751</v>
      </c>
    </row>
    <row r="1785" spans="1:8" x14ac:dyDescent="0.2">
      <c r="A1785" s="10">
        <v>65</v>
      </c>
      <c r="B1785" s="10" t="s">
        <v>2121</v>
      </c>
      <c r="C1785" s="10">
        <v>6589</v>
      </c>
      <c r="D1785" s="10" t="s">
        <v>2140</v>
      </c>
      <c r="E1785" s="11">
        <v>3688</v>
      </c>
      <c r="F1785" s="11">
        <v>4138</v>
      </c>
      <c r="G1785" s="11">
        <v>7826</v>
      </c>
      <c r="H1785" s="11">
        <v>4216</v>
      </c>
    </row>
    <row r="1786" spans="1:8" x14ac:dyDescent="0.2">
      <c r="A1786" s="10">
        <v>65</v>
      </c>
      <c r="B1786" s="10" t="s">
        <v>2121</v>
      </c>
      <c r="C1786" s="10">
        <v>6590</v>
      </c>
      <c r="D1786" s="10" t="s">
        <v>2141</v>
      </c>
      <c r="E1786" s="11">
        <v>1472</v>
      </c>
      <c r="F1786" s="11">
        <v>1534</v>
      </c>
      <c r="G1786" s="11">
        <v>3006</v>
      </c>
      <c r="H1786" s="11">
        <v>1600</v>
      </c>
    </row>
    <row r="1787" spans="1:8" x14ac:dyDescent="0.2">
      <c r="A1787" s="10">
        <v>65</v>
      </c>
      <c r="B1787" s="10" t="s">
        <v>2121</v>
      </c>
      <c r="C1787" s="10">
        <v>6591</v>
      </c>
      <c r="D1787" s="10" t="s">
        <v>2142</v>
      </c>
      <c r="E1787" s="10">
        <v>500</v>
      </c>
      <c r="F1787" s="10">
        <v>603</v>
      </c>
      <c r="G1787" s="11">
        <v>1103</v>
      </c>
      <c r="H1787" s="10">
        <v>556</v>
      </c>
    </row>
    <row r="1788" spans="1:8" x14ac:dyDescent="0.2">
      <c r="A1788" s="10">
        <v>65</v>
      </c>
      <c r="B1788" s="10" t="s">
        <v>2121</v>
      </c>
      <c r="C1788" s="10">
        <v>6592</v>
      </c>
      <c r="D1788" s="10" t="s">
        <v>2143</v>
      </c>
      <c r="E1788" s="10">
        <v>747</v>
      </c>
      <c r="F1788" s="10">
        <v>770</v>
      </c>
      <c r="G1788" s="11">
        <v>1517</v>
      </c>
      <c r="H1788" s="10">
        <v>625</v>
      </c>
    </row>
    <row r="1789" spans="1:8" x14ac:dyDescent="0.2">
      <c r="A1789" s="10">
        <v>65</v>
      </c>
      <c r="B1789" s="10" t="s">
        <v>2121</v>
      </c>
      <c r="C1789" s="10">
        <v>6593</v>
      </c>
      <c r="D1789" s="10" t="s">
        <v>2144</v>
      </c>
      <c r="E1789" s="11">
        <v>5591</v>
      </c>
      <c r="F1789" s="11">
        <v>5878</v>
      </c>
      <c r="G1789" s="11">
        <v>11469</v>
      </c>
      <c r="H1789" s="11">
        <v>4699</v>
      </c>
    </row>
    <row r="1790" spans="1:8" x14ac:dyDescent="0.2">
      <c r="A1790" s="10">
        <v>65</v>
      </c>
      <c r="B1790" s="10" t="s">
        <v>2121</v>
      </c>
      <c r="C1790" s="10">
        <v>6594</v>
      </c>
      <c r="D1790" s="10" t="s">
        <v>2145</v>
      </c>
      <c r="E1790" s="11">
        <v>1653</v>
      </c>
      <c r="F1790" s="11">
        <v>1813</v>
      </c>
      <c r="G1790" s="11">
        <v>3466</v>
      </c>
      <c r="H1790" s="11">
        <v>1361</v>
      </c>
    </row>
    <row r="1791" spans="1:8" x14ac:dyDescent="0.2">
      <c r="A1791" s="10">
        <v>65</v>
      </c>
      <c r="B1791" s="10" t="s">
        <v>2121</v>
      </c>
      <c r="C1791" s="10">
        <v>6595</v>
      </c>
      <c r="D1791" s="10" t="s">
        <v>2146</v>
      </c>
      <c r="E1791" s="11">
        <v>1891</v>
      </c>
      <c r="F1791" s="11">
        <v>2117</v>
      </c>
      <c r="G1791" s="11">
        <v>4008</v>
      </c>
      <c r="H1791" s="11">
        <v>2041</v>
      </c>
    </row>
    <row r="1792" spans="1:8" x14ac:dyDescent="0.2">
      <c r="A1792" s="10">
        <v>65</v>
      </c>
      <c r="B1792" s="10" t="s">
        <v>2121</v>
      </c>
      <c r="C1792" s="10">
        <v>6596</v>
      </c>
      <c r="D1792" s="10" t="s">
        <v>2147</v>
      </c>
      <c r="E1792" s="11">
        <v>2546</v>
      </c>
      <c r="F1792" s="11">
        <v>2712</v>
      </c>
      <c r="G1792" s="11">
        <v>5258</v>
      </c>
      <c r="H1792" s="11">
        <v>2690</v>
      </c>
    </row>
    <row r="1793" spans="1:8" x14ac:dyDescent="0.2">
      <c r="A1793" s="10">
        <v>65</v>
      </c>
      <c r="B1793" s="10" t="s">
        <v>2121</v>
      </c>
      <c r="C1793" s="10">
        <v>6597</v>
      </c>
      <c r="D1793" s="10" t="s">
        <v>2148</v>
      </c>
      <c r="E1793" s="11">
        <v>4195</v>
      </c>
      <c r="F1793" s="11">
        <v>4501</v>
      </c>
      <c r="G1793" s="11">
        <v>8696</v>
      </c>
      <c r="H1793" s="11">
        <v>4202</v>
      </c>
    </row>
    <row r="1794" spans="1:8" x14ac:dyDescent="0.2">
      <c r="A1794" s="10">
        <v>65</v>
      </c>
      <c r="B1794" s="10" t="s">
        <v>2121</v>
      </c>
      <c r="C1794" s="10">
        <v>6598</v>
      </c>
      <c r="D1794" s="10" t="s">
        <v>1800</v>
      </c>
      <c r="E1794" s="10">
        <v>894</v>
      </c>
      <c r="F1794" s="10">
        <v>990</v>
      </c>
      <c r="G1794" s="11">
        <v>1884</v>
      </c>
      <c r="H1794" s="10">
        <v>827</v>
      </c>
    </row>
    <row r="1795" spans="1:8" x14ac:dyDescent="0.2">
      <c r="A1795" s="10">
        <v>65</v>
      </c>
      <c r="B1795" s="10" t="s">
        <v>2121</v>
      </c>
      <c r="C1795" s="10">
        <v>6599</v>
      </c>
      <c r="D1795" s="10" t="s">
        <v>2149</v>
      </c>
      <c r="E1795" s="11">
        <v>27395</v>
      </c>
      <c r="F1795" s="11">
        <v>33432</v>
      </c>
      <c r="G1795" s="11">
        <v>60827</v>
      </c>
      <c r="H1795" s="11">
        <v>37942</v>
      </c>
    </row>
    <row r="1796" spans="1:8" x14ac:dyDescent="0.2">
      <c r="A1796" s="10">
        <v>66</v>
      </c>
      <c r="B1796" s="10" t="s">
        <v>2150</v>
      </c>
      <c r="C1796" s="10">
        <v>6601</v>
      </c>
      <c r="D1796" s="10" t="s">
        <v>2151</v>
      </c>
      <c r="E1796" s="11">
        <v>34873</v>
      </c>
      <c r="F1796" s="11">
        <v>37236</v>
      </c>
      <c r="G1796" s="11">
        <v>72109</v>
      </c>
      <c r="H1796" s="11">
        <v>27851</v>
      </c>
    </row>
    <row r="1797" spans="1:8" x14ac:dyDescent="0.2">
      <c r="A1797" s="10">
        <v>66</v>
      </c>
      <c r="B1797" s="10" t="s">
        <v>2150</v>
      </c>
      <c r="C1797" s="10">
        <v>6602</v>
      </c>
      <c r="D1797" s="10" t="s">
        <v>2152</v>
      </c>
      <c r="E1797" s="11">
        <v>8362</v>
      </c>
      <c r="F1797" s="11">
        <v>8635</v>
      </c>
      <c r="G1797" s="11">
        <v>16997</v>
      </c>
      <c r="H1797" s="11">
        <v>6110</v>
      </c>
    </row>
    <row r="1798" spans="1:8" x14ac:dyDescent="0.2">
      <c r="A1798" s="10">
        <v>66</v>
      </c>
      <c r="B1798" s="10" t="s">
        <v>2150</v>
      </c>
      <c r="C1798" s="10">
        <v>6603</v>
      </c>
      <c r="D1798" s="10" t="s">
        <v>2153</v>
      </c>
      <c r="E1798" s="11">
        <v>16603</v>
      </c>
      <c r="F1798" s="11">
        <v>17065</v>
      </c>
      <c r="G1798" s="11">
        <v>33668</v>
      </c>
      <c r="H1798" s="11">
        <v>12035</v>
      </c>
    </row>
    <row r="1799" spans="1:8" x14ac:dyDescent="0.2">
      <c r="A1799" s="10">
        <v>66</v>
      </c>
      <c r="B1799" s="10" t="s">
        <v>2150</v>
      </c>
      <c r="C1799" s="10">
        <v>6604</v>
      </c>
      <c r="D1799" s="10" t="s">
        <v>2154</v>
      </c>
      <c r="E1799" s="11">
        <v>21200</v>
      </c>
      <c r="F1799" s="11">
        <v>22435</v>
      </c>
      <c r="G1799" s="11">
        <v>43635</v>
      </c>
      <c r="H1799" s="11">
        <v>16534</v>
      </c>
    </row>
    <row r="1800" spans="1:8" x14ac:dyDescent="0.2">
      <c r="A1800" s="10">
        <v>66</v>
      </c>
      <c r="B1800" s="10" t="s">
        <v>2150</v>
      </c>
      <c r="C1800" s="10">
        <v>6605</v>
      </c>
      <c r="D1800" s="10" t="s">
        <v>2155</v>
      </c>
      <c r="E1800" s="11">
        <v>9561</v>
      </c>
      <c r="F1800" s="11">
        <v>10267</v>
      </c>
      <c r="G1800" s="11">
        <v>19828</v>
      </c>
      <c r="H1800" s="11">
        <v>8198</v>
      </c>
    </row>
    <row r="1801" spans="1:8" x14ac:dyDescent="0.2">
      <c r="A1801" s="10">
        <v>66</v>
      </c>
      <c r="B1801" s="10" t="s">
        <v>2150</v>
      </c>
      <c r="C1801" s="10">
        <v>6606</v>
      </c>
      <c r="D1801" s="10" t="s">
        <v>2156</v>
      </c>
      <c r="E1801" s="11">
        <v>26120</v>
      </c>
      <c r="F1801" s="11">
        <v>27296</v>
      </c>
      <c r="G1801" s="11">
        <v>53416</v>
      </c>
      <c r="H1801" s="11">
        <v>19461</v>
      </c>
    </row>
    <row r="1802" spans="1:8" x14ac:dyDescent="0.2">
      <c r="A1802" s="10">
        <v>66</v>
      </c>
      <c r="B1802" s="10" t="s">
        <v>2150</v>
      </c>
      <c r="C1802" s="10">
        <v>6607</v>
      </c>
      <c r="D1802" s="10" t="s">
        <v>2157</v>
      </c>
      <c r="E1802" s="11">
        <v>12436</v>
      </c>
      <c r="F1802" s="11">
        <v>12757</v>
      </c>
      <c r="G1802" s="11">
        <v>25193</v>
      </c>
      <c r="H1802" s="11">
        <v>9050</v>
      </c>
    </row>
    <row r="1803" spans="1:8" x14ac:dyDescent="0.2">
      <c r="A1803" s="10">
        <v>66</v>
      </c>
      <c r="B1803" s="10" t="s">
        <v>2150</v>
      </c>
      <c r="C1803" s="10">
        <v>6608</v>
      </c>
      <c r="D1803" s="10" t="s">
        <v>2158</v>
      </c>
      <c r="E1803" s="11">
        <v>16149</v>
      </c>
      <c r="F1803" s="11">
        <v>16770</v>
      </c>
      <c r="G1803" s="11">
        <v>32919</v>
      </c>
      <c r="H1803" s="11">
        <v>13175</v>
      </c>
    </row>
    <row r="1804" spans="1:8" x14ac:dyDescent="0.2">
      <c r="A1804" s="10">
        <v>66</v>
      </c>
      <c r="B1804" s="10" t="s">
        <v>2150</v>
      </c>
      <c r="C1804" s="10">
        <v>6609</v>
      </c>
      <c r="D1804" s="10" t="s">
        <v>2159</v>
      </c>
      <c r="E1804" s="11">
        <v>8724</v>
      </c>
      <c r="F1804" s="11">
        <v>8850</v>
      </c>
      <c r="G1804" s="11">
        <v>17574</v>
      </c>
      <c r="H1804" s="11">
        <v>6349</v>
      </c>
    </row>
    <row r="1805" spans="1:8" x14ac:dyDescent="0.2">
      <c r="A1805" s="10">
        <v>66</v>
      </c>
      <c r="B1805" s="10" t="s">
        <v>2150</v>
      </c>
      <c r="C1805" s="10">
        <v>6610</v>
      </c>
      <c r="D1805" s="10" t="s">
        <v>2160</v>
      </c>
      <c r="E1805" s="11">
        <v>13972</v>
      </c>
      <c r="F1805" s="11">
        <v>14588</v>
      </c>
      <c r="G1805" s="11">
        <v>28560</v>
      </c>
      <c r="H1805" s="11">
        <v>11128</v>
      </c>
    </row>
    <row r="1806" spans="1:8" x14ac:dyDescent="0.2">
      <c r="A1806" s="10">
        <v>66</v>
      </c>
      <c r="B1806" s="10" t="s">
        <v>2150</v>
      </c>
      <c r="C1806" s="10">
        <v>6611</v>
      </c>
      <c r="D1806" s="10" t="s">
        <v>2161</v>
      </c>
      <c r="E1806" s="11">
        <v>8248</v>
      </c>
      <c r="F1806" s="11">
        <v>8524</v>
      </c>
      <c r="G1806" s="11">
        <v>16772</v>
      </c>
      <c r="H1806" s="11">
        <v>6604</v>
      </c>
    </row>
    <row r="1807" spans="1:8" x14ac:dyDescent="0.2">
      <c r="A1807" s="10">
        <v>66</v>
      </c>
      <c r="B1807" s="10" t="s">
        <v>2150</v>
      </c>
      <c r="C1807" s="10">
        <v>6612</v>
      </c>
      <c r="D1807" s="10" t="s">
        <v>2162</v>
      </c>
      <c r="E1807" s="11">
        <v>15139</v>
      </c>
      <c r="F1807" s="11">
        <v>15524</v>
      </c>
      <c r="G1807" s="11">
        <v>30663</v>
      </c>
      <c r="H1807" s="11">
        <v>11520</v>
      </c>
    </row>
    <row r="1808" spans="1:8" x14ac:dyDescent="0.2">
      <c r="A1808" s="10">
        <v>66</v>
      </c>
      <c r="B1808" s="10" t="s">
        <v>2150</v>
      </c>
      <c r="C1808" s="10">
        <v>6676</v>
      </c>
      <c r="D1808" s="10" t="s">
        <v>2163</v>
      </c>
      <c r="E1808" s="11">
        <v>3280</v>
      </c>
      <c r="F1808" s="11">
        <v>3442</v>
      </c>
      <c r="G1808" s="11">
        <v>6722</v>
      </c>
      <c r="H1808" s="11">
        <v>2419</v>
      </c>
    </row>
    <row r="1809" spans="1:8" x14ac:dyDescent="0.2">
      <c r="A1809" s="10">
        <v>66</v>
      </c>
      <c r="B1809" s="10" t="s">
        <v>2150</v>
      </c>
      <c r="C1809" s="10">
        <v>6677</v>
      </c>
      <c r="D1809" s="10" t="s">
        <v>2164</v>
      </c>
      <c r="E1809" s="11">
        <v>1641</v>
      </c>
      <c r="F1809" s="11">
        <v>1694</v>
      </c>
      <c r="G1809" s="11">
        <v>3335</v>
      </c>
      <c r="H1809" s="11">
        <v>1192</v>
      </c>
    </row>
    <row r="1810" spans="1:8" x14ac:dyDescent="0.2">
      <c r="A1810" s="10">
        <v>66</v>
      </c>
      <c r="B1810" s="10" t="s">
        <v>2150</v>
      </c>
      <c r="C1810" s="10">
        <v>6678</v>
      </c>
      <c r="D1810" s="10" t="s">
        <v>2165</v>
      </c>
      <c r="E1810" s="11">
        <v>3173</v>
      </c>
      <c r="F1810" s="11">
        <v>3486</v>
      </c>
      <c r="G1810" s="11">
        <v>6659</v>
      </c>
      <c r="H1810" s="11">
        <v>3145</v>
      </c>
    </row>
    <row r="1811" spans="1:8" x14ac:dyDescent="0.2">
      <c r="A1811" s="10">
        <v>66</v>
      </c>
      <c r="B1811" s="10" t="s">
        <v>2150</v>
      </c>
      <c r="C1811" s="10">
        <v>6679</v>
      </c>
      <c r="D1811" s="10" t="s">
        <v>2166</v>
      </c>
      <c r="E1811" s="11">
        <v>2811</v>
      </c>
      <c r="F1811" s="11">
        <v>2991</v>
      </c>
      <c r="G1811" s="11">
        <v>5802</v>
      </c>
      <c r="H1811" s="11">
        <v>2787</v>
      </c>
    </row>
    <row r="1812" spans="1:8" x14ac:dyDescent="0.2">
      <c r="A1812" s="10">
        <v>66</v>
      </c>
      <c r="B1812" s="10" t="s">
        <v>2150</v>
      </c>
      <c r="C1812" s="10">
        <v>6680</v>
      </c>
      <c r="D1812" s="10" t="s">
        <v>2167</v>
      </c>
      <c r="E1812" s="11">
        <v>2281</v>
      </c>
      <c r="F1812" s="11">
        <v>2372</v>
      </c>
      <c r="G1812" s="11">
        <v>4653</v>
      </c>
      <c r="H1812" s="11">
        <v>1656</v>
      </c>
    </row>
    <row r="1813" spans="1:8" x14ac:dyDescent="0.2">
      <c r="A1813" s="10">
        <v>66</v>
      </c>
      <c r="B1813" s="10" t="s">
        <v>2150</v>
      </c>
      <c r="C1813" s="10">
        <v>6681</v>
      </c>
      <c r="D1813" s="10" t="s">
        <v>2168</v>
      </c>
      <c r="E1813" s="11">
        <v>4458</v>
      </c>
      <c r="F1813" s="11">
        <v>4521</v>
      </c>
      <c r="G1813" s="11">
        <v>8979</v>
      </c>
      <c r="H1813" s="11">
        <v>3230</v>
      </c>
    </row>
    <row r="1814" spans="1:8" x14ac:dyDescent="0.2">
      <c r="A1814" s="10">
        <v>66</v>
      </c>
      <c r="B1814" s="10" t="s">
        <v>2150</v>
      </c>
      <c r="C1814" s="10">
        <v>6682</v>
      </c>
      <c r="D1814" s="10" t="s">
        <v>2169</v>
      </c>
      <c r="E1814" s="11">
        <v>1057</v>
      </c>
      <c r="F1814" s="11">
        <v>1069</v>
      </c>
      <c r="G1814" s="11">
        <v>2126</v>
      </c>
      <c r="H1814" s="10">
        <v>934</v>
      </c>
    </row>
    <row r="1815" spans="1:8" x14ac:dyDescent="0.2">
      <c r="A1815" s="10">
        <v>66</v>
      </c>
      <c r="B1815" s="10" t="s">
        <v>2150</v>
      </c>
      <c r="C1815" s="10">
        <v>6683</v>
      </c>
      <c r="D1815" s="10" t="s">
        <v>2170</v>
      </c>
      <c r="E1815" s="11">
        <v>2450</v>
      </c>
      <c r="F1815" s="11">
        <v>2700</v>
      </c>
      <c r="G1815" s="11">
        <v>5150</v>
      </c>
      <c r="H1815" s="11">
        <v>2464</v>
      </c>
    </row>
    <row r="1816" spans="1:8" x14ac:dyDescent="0.2">
      <c r="A1816" s="10">
        <v>66</v>
      </c>
      <c r="B1816" s="10" t="s">
        <v>2150</v>
      </c>
      <c r="C1816" s="10">
        <v>6684</v>
      </c>
      <c r="D1816" s="10" t="s">
        <v>2171</v>
      </c>
      <c r="E1816" s="11">
        <v>1931</v>
      </c>
      <c r="F1816" s="11">
        <v>2103</v>
      </c>
      <c r="G1816" s="11">
        <v>4034</v>
      </c>
      <c r="H1816" s="11">
        <v>1810</v>
      </c>
    </row>
    <row r="1817" spans="1:8" x14ac:dyDescent="0.2">
      <c r="A1817" s="10">
        <v>66</v>
      </c>
      <c r="B1817" s="10" t="s">
        <v>2150</v>
      </c>
      <c r="C1817" s="10">
        <v>6685</v>
      </c>
      <c r="D1817" s="10" t="s">
        <v>2172</v>
      </c>
      <c r="E1817" s="11">
        <v>2019</v>
      </c>
      <c r="F1817" s="11">
        <v>2072</v>
      </c>
      <c r="G1817" s="11">
        <v>4091</v>
      </c>
      <c r="H1817" s="11">
        <v>1945</v>
      </c>
    </row>
    <row r="1818" spans="1:8" x14ac:dyDescent="0.2">
      <c r="A1818" s="10">
        <v>66</v>
      </c>
      <c r="B1818" s="10" t="s">
        <v>2150</v>
      </c>
      <c r="C1818" s="10">
        <v>6686</v>
      </c>
      <c r="D1818" s="10" t="s">
        <v>2173</v>
      </c>
      <c r="E1818" s="11">
        <v>2115</v>
      </c>
      <c r="F1818" s="11">
        <v>2444</v>
      </c>
      <c r="G1818" s="11">
        <v>4559</v>
      </c>
      <c r="H1818" s="11">
        <v>2293</v>
      </c>
    </row>
    <row r="1819" spans="1:8" x14ac:dyDescent="0.2">
      <c r="A1819" s="10">
        <v>66</v>
      </c>
      <c r="B1819" s="10" t="s">
        <v>2150</v>
      </c>
      <c r="C1819" s="10">
        <v>6687</v>
      </c>
      <c r="D1819" s="10" t="s">
        <v>2174</v>
      </c>
      <c r="E1819" s="11">
        <v>1010</v>
      </c>
      <c r="F1819" s="11">
        <v>1097</v>
      </c>
      <c r="G1819" s="11">
        <v>2107</v>
      </c>
      <c r="H1819" s="10">
        <v>833</v>
      </c>
    </row>
    <row r="1820" spans="1:8" x14ac:dyDescent="0.2">
      <c r="A1820" s="10">
        <v>66</v>
      </c>
      <c r="B1820" s="10" t="s">
        <v>2150</v>
      </c>
      <c r="C1820" s="10">
        <v>6688</v>
      </c>
      <c r="D1820" s="10" t="s">
        <v>2175</v>
      </c>
      <c r="E1820" s="11">
        <v>1118</v>
      </c>
      <c r="F1820" s="11">
        <v>1200</v>
      </c>
      <c r="G1820" s="11">
        <v>2318</v>
      </c>
      <c r="H1820" s="11">
        <v>1041</v>
      </c>
    </row>
    <row r="1821" spans="1:8" x14ac:dyDescent="0.2">
      <c r="A1821" s="10">
        <v>66</v>
      </c>
      <c r="B1821" s="10" t="s">
        <v>2150</v>
      </c>
      <c r="C1821" s="10">
        <v>6689</v>
      </c>
      <c r="D1821" s="10" t="s">
        <v>1819</v>
      </c>
      <c r="E1821" s="10">
        <v>739</v>
      </c>
      <c r="F1821" s="10">
        <v>719</v>
      </c>
      <c r="G1821" s="11">
        <v>1458</v>
      </c>
      <c r="H1821" s="10">
        <v>538</v>
      </c>
    </row>
    <row r="1822" spans="1:8" x14ac:dyDescent="0.2">
      <c r="A1822" s="10">
        <v>66</v>
      </c>
      <c r="B1822" s="10" t="s">
        <v>2150</v>
      </c>
      <c r="C1822" s="10">
        <v>6690</v>
      </c>
      <c r="D1822" s="10" t="s">
        <v>2176</v>
      </c>
      <c r="E1822" s="10">
        <v>778</v>
      </c>
      <c r="F1822" s="10">
        <v>771</v>
      </c>
      <c r="G1822" s="11">
        <v>1549</v>
      </c>
      <c r="H1822" s="10">
        <v>660</v>
      </c>
    </row>
    <row r="1823" spans="1:8" x14ac:dyDescent="0.2">
      <c r="A1823" s="10">
        <v>66</v>
      </c>
      <c r="B1823" s="10" t="s">
        <v>2150</v>
      </c>
      <c r="C1823" s="10">
        <v>6691</v>
      </c>
      <c r="D1823" s="10" t="s">
        <v>2177</v>
      </c>
      <c r="E1823" s="10">
        <v>696</v>
      </c>
      <c r="F1823" s="10">
        <v>761</v>
      </c>
      <c r="G1823" s="11">
        <v>1457</v>
      </c>
      <c r="H1823" s="10">
        <v>651</v>
      </c>
    </row>
    <row r="1824" spans="1:8" x14ac:dyDescent="0.2">
      <c r="A1824" s="10">
        <v>66</v>
      </c>
      <c r="B1824" s="10" t="s">
        <v>2150</v>
      </c>
      <c r="C1824" s="10">
        <v>6692</v>
      </c>
      <c r="D1824" s="10" t="s">
        <v>2178</v>
      </c>
      <c r="E1824" s="11">
        <v>4288</v>
      </c>
      <c r="F1824" s="11">
        <v>4553</v>
      </c>
      <c r="G1824" s="11">
        <v>8841</v>
      </c>
      <c r="H1824" s="11">
        <v>3671</v>
      </c>
    </row>
    <row r="1825" spans="1:8" x14ac:dyDescent="0.2">
      <c r="A1825" s="10">
        <v>66</v>
      </c>
      <c r="B1825" s="10" t="s">
        <v>2150</v>
      </c>
      <c r="C1825" s="10">
        <v>6693</v>
      </c>
      <c r="D1825" s="10" t="s">
        <v>2179</v>
      </c>
      <c r="E1825" s="11">
        <v>1573</v>
      </c>
      <c r="F1825" s="11">
        <v>1629</v>
      </c>
      <c r="G1825" s="11">
        <v>3202</v>
      </c>
      <c r="H1825" s="11">
        <v>1303</v>
      </c>
    </row>
    <row r="1826" spans="1:8" x14ac:dyDescent="0.2">
      <c r="A1826" s="10">
        <v>66</v>
      </c>
      <c r="B1826" s="10" t="s">
        <v>2150</v>
      </c>
      <c r="C1826" s="10">
        <v>6694</v>
      </c>
      <c r="D1826" s="10" t="s">
        <v>1827</v>
      </c>
      <c r="E1826" s="11">
        <v>1432</v>
      </c>
      <c r="F1826" s="11">
        <v>1535</v>
      </c>
      <c r="G1826" s="11">
        <v>2967</v>
      </c>
      <c r="H1826" s="11">
        <v>1220</v>
      </c>
    </row>
    <row r="1827" spans="1:8" x14ac:dyDescent="0.2">
      <c r="A1827" s="10">
        <v>66</v>
      </c>
      <c r="B1827" s="10" t="s">
        <v>2150</v>
      </c>
      <c r="C1827" s="10">
        <v>6695</v>
      </c>
      <c r="D1827" s="10" t="s">
        <v>2180</v>
      </c>
      <c r="E1827" s="11">
        <v>1419</v>
      </c>
      <c r="F1827" s="11">
        <v>1462</v>
      </c>
      <c r="G1827" s="11">
        <v>2881</v>
      </c>
      <c r="H1827" s="11">
        <v>1077</v>
      </c>
    </row>
    <row r="1828" spans="1:8" x14ac:dyDescent="0.2">
      <c r="A1828" s="10">
        <v>66</v>
      </c>
      <c r="B1828" s="10" t="s">
        <v>2150</v>
      </c>
      <c r="C1828" s="10">
        <v>6696</v>
      </c>
      <c r="D1828" s="10" t="s">
        <v>2181</v>
      </c>
      <c r="E1828" s="11">
        <v>1489</v>
      </c>
      <c r="F1828" s="11">
        <v>1625</v>
      </c>
      <c r="G1828" s="11">
        <v>3114</v>
      </c>
      <c r="H1828" s="11">
        <v>1232</v>
      </c>
    </row>
    <row r="1829" spans="1:8" x14ac:dyDescent="0.2">
      <c r="A1829" s="10">
        <v>66</v>
      </c>
      <c r="B1829" s="10" t="s">
        <v>2150</v>
      </c>
      <c r="C1829" s="10">
        <v>6697</v>
      </c>
      <c r="D1829" s="10" t="s">
        <v>2182</v>
      </c>
      <c r="E1829" s="11">
        <v>3495</v>
      </c>
      <c r="F1829" s="11">
        <v>3924</v>
      </c>
      <c r="G1829" s="11">
        <v>7419</v>
      </c>
      <c r="H1829" s="11">
        <v>3736</v>
      </c>
    </row>
    <row r="1830" spans="1:8" x14ac:dyDescent="0.2">
      <c r="A1830" s="10">
        <v>66</v>
      </c>
      <c r="B1830" s="10" t="s">
        <v>2150</v>
      </c>
      <c r="C1830" s="10">
        <v>6698</v>
      </c>
      <c r="D1830" s="10" t="s">
        <v>2183</v>
      </c>
      <c r="E1830" s="11">
        <v>5767</v>
      </c>
      <c r="F1830" s="11">
        <v>6674</v>
      </c>
      <c r="G1830" s="11">
        <v>12441</v>
      </c>
      <c r="H1830" s="11">
        <v>6387</v>
      </c>
    </row>
    <row r="1831" spans="1:8" x14ac:dyDescent="0.2">
      <c r="A1831" s="10">
        <v>66</v>
      </c>
      <c r="B1831" s="10" t="s">
        <v>2150</v>
      </c>
      <c r="C1831" s="10">
        <v>6699</v>
      </c>
      <c r="D1831" s="10" t="s">
        <v>2184</v>
      </c>
      <c r="E1831" s="11">
        <v>9380</v>
      </c>
      <c r="F1831" s="11">
        <v>10730</v>
      </c>
      <c r="G1831" s="11">
        <v>20110</v>
      </c>
      <c r="H1831" s="11">
        <v>12727</v>
      </c>
    </row>
    <row r="1832" spans="1:8" x14ac:dyDescent="0.2">
      <c r="A1832" s="10">
        <v>67</v>
      </c>
      <c r="B1832" s="10" t="s">
        <v>2185</v>
      </c>
      <c r="C1832" s="10">
        <v>6701</v>
      </c>
      <c r="D1832" s="10" t="s">
        <v>2186</v>
      </c>
      <c r="E1832" s="11">
        <v>78298</v>
      </c>
      <c r="F1832" s="11">
        <v>78940</v>
      </c>
      <c r="G1832" s="11">
        <v>157238</v>
      </c>
      <c r="H1832" s="11">
        <v>65186</v>
      </c>
    </row>
    <row r="1833" spans="1:8" x14ac:dyDescent="0.2">
      <c r="A1833" s="10">
        <v>67</v>
      </c>
      <c r="B1833" s="10" t="s">
        <v>2185</v>
      </c>
      <c r="C1833" s="10">
        <v>6702</v>
      </c>
      <c r="D1833" s="10" t="s">
        <v>2187</v>
      </c>
      <c r="E1833" s="11">
        <v>33181</v>
      </c>
      <c r="F1833" s="11">
        <v>33447</v>
      </c>
      <c r="G1833" s="11">
        <v>66628</v>
      </c>
      <c r="H1833" s="11">
        <v>28853</v>
      </c>
    </row>
    <row r="1834" spans="1:8" x14ac:dyDescent="0.2">
      <c r="A1834" s="10">
        <v>67</v>
      </c>
      <c r="B1834" s="10" t="s">
        <v>2185</v>
      </c>
      <c r="C1834" s="10">
        <v>6703</v>
      </c>
      <c r="D1834" s="10" t="s">
        <v>2188</v>
      </c>
      <c r="E1834" s="11">
        <v>68898</v>
      </c>
      <c r="F1834" s="11">
        <v>72868</v>
      </c>
      <c r="G1834" s="11">
        <v>141766</v>
      </c>
      <c r="H1834" s="11">
        <v>51250</v>
      </c>
    </row>
    <row r="1835" spans="1:8" x14ac:dyDescent="0.2">
      <c r="A1835" s="10">
        <v>67</v>
      </c>
      <c r="B1835" s="10" t="s">
        <v>2185</v>
      </c>
      <c r="C1835" s="10">
        <v>6704</v>
      </c>
      <c r="D1835" s="10" t="s">
        <v>2189</v>
      </c>
      <c r="E1835" s="11">
        <v>28559</v>
      </c>
      <c r="F1835" s="11">
        <v>30087</v>
      </c>
      <c r="G1835" s="11">
        <v>58646</v>
      </c>
      <c r="H1835" s="11">
        <v>19775</v>
      </c>
    </row>
    <row r="1836" spans="1:8" x14ac:dyDescent="0.2">
      <c r="A1836" s="10">
        <v>67</v>
      </c>
      <c r="B1836" s="10" t="s">
        <v>2185</v>
      </c>
      <c r="C1836" s="10">
        <v>6705</v>
      </c>
      <c r="D1836" s="10" t="s">
        <v>2190</v>
      </c>
      <c r="E1836" s="11">
        <v>48551</v>
      </c>
      <c r="F1836" s="11">
        <v>49903</v>
      </c>
      <c r="G1836" s="11">
        <v>98454</v>
      </c>
      <c r="H1836" s="11">
        <v>34906</v>
      </c>
    </row>
    <row r="1837" spans="1:8" x14ac:dyDescent="0.2">
      <c r="A1837" s="10">
        <v>67</v>
      </c>
      <c r="B1837" s="10" t="s">
        <v>2185</v>
      </c>
      <c r="C1837" s="10">
        <v>6706</v>
      </c>
      <c r="D1837" s="10" t="s">
        <v>2191</v>
      </c>
      <c r="E1837" s="11">
        <v>27699</v>
      </c>
      <c r="F1837" s="11">
        <v>28225</v>
      </c>
      <c r="G1837" s="11">
        <v>55924</v>
      </c>
      <c r="H1837" s="11">
        <v>20467</v>
      </c>
    </row>
    <row r="1838" spans="1:8" x14ac:dyDescent="0.2">
      <c r="A1838" s="10">
        <v>67</v>
      </c>
      <c r="B1838" s="10" t="s">
        <v>2185</v>
      </c>
      <c r="C1838" s="10">
        <v>6707</v>
      </c>
      <c r="D1838" s="10" t="s">
        <v>2192</v>
      </c>
      <c r="E1838" s="11">
        <v>36867</v>
      </c>
      <c r="F1838" s="11">
        <v>37520</v>
      </c>
      <c r="G1838" s="11">
        <v>74387</v>
      </c>
      <c r="H1838" s="11">
        <v>26138</v>
      </c>
    </row>
    <row r="1839" spans="1:8" x14ac:dyDescent="0.2">
      <c r="A1839" s="10">
        <v>67</v>
      </c>
      <c r="B1839" s="10" t="s">
        <v>2185</v>
      </c>
      <c r="C1839" s="10">
        <v>6708</v>
      </c>
      <c r="D1839" s="10" t="s">
        <v>2193</v>
      </c>
      <c r="E1839" s="11">
        <v>30585</v>
      </c>
      <c r="F1839" s="11">
        <v>31299</v>
      </c>
      <c r="G1839" s="11">
        <v>61884</v>
      </c>
      <c r="H1839" s="11">
        <v>26852</v>
      </c>
    </row>
    <row r="1840" spans="1:8" x14ac:dyDescent="0.2">
      <c r="A1840" s="10">
        <v>67</v>
      </c>
      <c r="B1840" s="10" t="s">
        <v>2185</v>
      </c>
      <c r="C1840" s="10">
        <v>6709</v>
      </c>
      <c r="D1840" s="10" t="s">
        <v>2194</v>
      </c>
      <c r="E1840" s="11">
        <v>9472</v>
      </c>
      <c r="F1840" s="11">
        <v>9136</v>
      </c>
      <c r="G1840" s="11">
        <v>18608</v>
      </c>
      <c r="H1840" s="11">
        <v>7610</v>
      </c>
    </row>
    <row r="1841" spans="1:8" x14ac:dyDescent="0.2">
      <c r="A1841" s="10">
        <v>67</v>
      </c>
      <c r="B1841" s="10" t="s">
        <v>2185</v>
      </c>
      <c r="C1841" s="10">
        <v>6710</v>
      </c>
      <c r="D1841" s="10" t="s">
        <v>2195</v>
      </c>
      <c r="E1841" s="11">
        <v>13723</v>
      </c>
      <c r="F1841" s="11">
        <v>14042</v>
      </c>
      <c r="G1841" s="11">
        <v>27765</v>
      </c>
      <c r="H1841" s="11">
        <v>9636</v>
      </c>
    </row>
    <row r="1842" spans="1:8" x14ac:dyDescent="0.2">
      <c r="A1842" s="10">
        <v>67</v>
      </c>
      <c r="B1842" s="10" t="s">
        <v>2185</v>
      </c>
      <c r="C1842" s="10">
        <v>6711</v>
      </c>
      <c r="D1842" s="10" t="s">
        <v>2196</v>
      </c>
      <c r="E1842" s="11">
        <v>18245</v>
      </c>
      <c r="F1842" s="11">
        <v>18203</v>
      </c>
      <c r="G1842" s="11">
        <v>36448</v>
      </c>
      <c r="H1842" s="11">
        <v>13251</v>
      </c>
    </row>
    <row r="1843" spans="1:8" x14ac:dyDescent="0.2">
      <c r="A1843" s="10">
        <v>67</v>
      </c>
      <c r="B1843" s="10" t="s">
        <v>2185</v>
      </c>
      <c r="C1843" s="10">
        <v>6778</v>
      </c>
      <c r="D1843" s="10" t="s">
        <v>2197</v>
      </c>
      <c r="E1843" s="11">
        <v>2565</v>
      </c>
      <c r="F1843" s="11">
        <v>2792</v>
      </c>
      <c r="G1843" s="11">
        <v>5357</v>
      </c>
      <c r="H1843" s="11">
        <v>3336</v>
      </c>
    </row>
    <row r="1844" spans="1:8" x14ac:dyDescent="0.2">
      <c r="A1844" s="10">
        <v>67</v>
      </c>
      <c r="B1844" s="10" t="s">
        <v>2185</v>
      </c>
      <c r="C1844" s="10">
        <v>6779</v>
      </c>
      <c r="D1844" s="10" t="s">
        <v>2198</v>
      </c>
      <c r="E1844" s="11">
        <v>3172</v>
      </c>
      <c r="F1844" s="11">
        <v>3222</v>
      </c>
      <c r="G1844" s="11">
        <v>6394</v>
      </c>
      <c r="H1844" s="11">
        <v>2250</v>
      </c>
    </row>
    <row r="1845" spans="1:8" x14ac:dyDescent="0.2">
      <c r="A1845" s="10">
        <v>67</v>
      </c>
      <c r="B1845" s="10" t="s">
        <v>2185</v>
      </c>
      <c r="C1845" s="10">
        <v>6780</v>
      </c>
      <c r="D1845" s="10" t="s">
        <v>2199</v>
      </c>
      <c r="E1845" s="11">
        <v>2874</v>
      </c>
      <c r="F1845" s="11">
        <v>2867</v>
      </c>
      <c r="G1845" s="11">
        <v>5741</v>
      </c>
      <c r="H1845" s="11">
        <v>1955</v>
      </c>
    </row>
    <row r="1846" spans="1:8" x14ac:dyDescent="0.2">
      <c r="A1846" s="10">
        <v>67</v>
      </c>
      <c r="B1846" s="10" t="s">
        <v>2185</v>
      </c>
      <c r="C1846" s="10">
        <v>6781</v>
      </c>
      <c r="D1846" s="10" t="s">
        <v>2200</v>
      </c>
      <c r="E1846" s="11">
        <v>4614</v>
      </c>
      <c r="F1846" s="11">
        <v>4798</v>
      </c>
      <c r="G1846" s="11">
        <v>9412</v>
      </c>
      <c r="H1846" s="11">
        <v>3126</v>
      </c>
    </row>
    <row r="1847" spans="1:8" x14ac:dyDescent="0.2">
      <c r="A1847" s="10">
        <v>67</v>
      </c>
      <c r="B1847" s="10" t="s">
        <v>2185</v>
      </c>
      <c r="C1847" s="10">
        <v>6782</v>
      </c>
      <c r="D1847" s="10" t="s">
        <v>2201</v>
      </c>
      <c r="E1847" s="11">
        <v>5971</v>
      </c>
      <c r="F1847" s="11">
        <v>6711</v>
      </c>
      <c r="G1847" s="11">
        <v>12682</v>
      </c>
      <c r="H1847" s="11">
        <v>5901</v>
      </c>
    </row>
    <row r="1848" spans="1:8" x14ac:dyDescent="0.2">
      <c r="A1848" s="10">
        <v>67</v>
      </c>
      <c r="B1848" s="10" t="s">
        <v>2185</v>
      </c>
      <c r="C1848" s="10">
        <v>6783</v>
      </c>
      <c r="D1848" s="10" t="s">
        <v>2202</v>
      </c>
      <c r="E1848" s="11">
        <v>3636</v>
      </c>
      <c r="F1848" s="11">
        <v>3693</v>
      </c>
      <c r="G1848" s="11">
        <v>7329</v>
      </c>
      <c r="H1848" s="11">
        <v>2659</v>
      </c>
    </row>
    <row r="1849" spans="1:8" x14ac:dyDescent="0.2">
      <c r="A1849" s="10">
        <v>67</v>
      </c>
      <c r="B1849" s="10" t="s">
        <v>2185</v>
      </c>
      <c r="C1849" s="10">
        <v>6784</v>
      </c>
      <c r="D1849" s="10" t="s">
        <v>2203</v>
      </c>
      <c r="E1849" s="11">
        <v>1769</v>
      </c>
      <c r="F1849" s="11">
        <v>1992</v>
      </c>
      <c r="G1849" s="11">
        <v>3761</v>
      </c>
      <c r="H1849" s="11">
        <v>1570</v>
      </c>
    </row>
    <row r="1850" spans="1:8" x14ac:dyDescent="0.2">
      <c r="A1850" s="10">
        <v>67</v>
      </c>
      <c r="B1850" s="10" t="s">
        <v>2185</v>
      </c>
      <c r="C1850" s="10">
        <v>6785</v>
      </c>
      <c r="D1850" s="10" t="s">
        <v>2204</v>
      </c>
      <c r="E1850" s="11">
        <v>1565</v>
      </c>
      <c r="F1850" s="11">
        <v>1698</v>
      </c>
      <c r="G1850" s="11">
        <v>3263</v>
      </c>
      <c r="H1850" s="11">
        <v>1108</v>
      </c>
    </row>
    <row r="1851" spans="1:8" x14ac:dyDescent="0.2">
      <c r="A1851" s="10">
        <v>67</v>
      </c>
      <c r="B1851" s="10" t="s">
        <v>2185</v>
      </c>
      <c r="C1851" s="10">
        <v>6786</v>
      </c>
      <c r="D1851" s="10" t="s">
        <v>2205</v>
      </c>
      <c r="E1851" s="11">
        <v>3996</v>
      </c>
      <c r="F1851" s="11">
        <v>4242</v>
      </c>
      <c r="G1851" s="11">
        <v>8238</v>
      </c>
      <c r="H1851" s="11">
        <v>5186</v>
      </c>
    </row>
    <row r="1852" spans="1:8" x14ac:dyDescent="0.2">
      <c r="A1852" s="10">
        <v>67</v>
      </c>
      <c r="B1852" s="10" t="s">
        <v>2185</v>
      </c>
      <c r="C1852" s="10">
        <v>6787</v>
      </c>
      <c r="D1852" s="10" t="s">
        <v>1369</v>
      </c>
      <c r="E1852" s="11">
        <v>3284</v>
      </c>
      <c r="F1852" s="11">
        <v>3656</v>
      </c>
      <c r="G1852" s="11">
        <v>6940</v>
      </c>
      <c r="H1852" s="11">
        <v>3906</v>
      </c>
    </row>
    <row r="1853" spans="1:8" x14ac:dyDescent="0.2">
      <c r="A1853" s="10">
        <v>67</v>
      </c>
      <c r="B1853" s="10" t="s">
        <v>2185</v>
      </c>
      <c r="C1853" s="10">
        <v>6788</v>
      </c>
      <c r="D1853" s="10" t="s">
        <v>2206</v>
      </c>
      <c r="E1853" s="11">
        <v>1897</v>
      </c>
      <c r="F1853" s="11">
        <v>2137</v>
      </c>
      <c r="G1853" s="11">
        <v>4034</v>
      </c>
      <c r="H1853" s="11">
        <v>1781</v>
      </c>
    </row>
    <row r="1854" spans="1:8" x14ac:dyDescent="0.2">
      <c r="A1854" s="10">
        <v>67</v>
      </c>
      <c r="B1854" s="10" t="s">
        <v>2185</v>
      </c>
      <c r="C1854" s="10">
        <v>6789</v>
      </c>
      <c r="D1854" s="10" t="s">
        <v>2207</v>
      </c>
      <c r="E1854" s="11">
        <v>3016</v>
      </c>
      <c r="F1854" s="11">
        <v>3331</v>
      </c>
      <c r="G1854" s="11">
        <v>6347</v>
      </c>
      <c r="H1854" s="11">
        <v>3004</v>
      </c>
    </row>
    <row r="1855" spans="1:8" x14ac:dyDescent="0.2">
      <c r="A1855" s="10">
        <v>67</v>
      </c>
      <c r="B1855" s="10" t="s">
        <v>2185</v>
      </c>
      <c r="C1855" s="10">
        <v>6790</v>
      </c>
      <c r="D1855" s="10" t="s">
        <v>2208</v>
      </c>
      <c r="E1855" s="11">
        <v>10253</v>
      </c>
      <c r="F1855" s="11">
        <v>11339</v>
      </c>
      <c r="G1855" s="11">
        <v>21592</v>
      </c>
      <c r="H1855" s="11">
        <v>9093</v>
      </c>
    </row>
    <row r="1856" spans="1:8" x14ac:dyDescent="0.2">
      <c r="A1856" s="10">
        <v>67</v>
      </c>
      <c r="B1856" s="10" t="s">
        <v>2185</v>
      </c>
      <c r="C1856" s="10">
        <v>6791</v>
      </c>
      <c r="D1856" s="10" t="s">
        <v>2209</v>
      </c>
      <c r="E1856" s="11">
        <v>3426</v>
      </c>
      <c r="F1856" s="11">
        <v>3580</v>
      </c>
      <c r="G1856" s="11">
        <v>7006</v>
      </c>
      <c r="H1856" s="11">
        <v>3080</v>
      </c>
    </row>
    <row r="1857" spans="1:8" x14ac:dyDescent="0.2">
      <c r="A1857" s="10">
        <v>67</v>
      </c>
      <c r="B1857" s="10" t="s">
        <v>2185</v>
      </c>
      <c r="C1857" s="10">
        <v>6792</v>
      </c>
      <c r="D1857" s="10" t="s">
        <v>2210</v>
      </c>
      <c r="E1857" s="11">
        <v>2589</v>
      </c>
      <c r="F1857" s="11">
        <v>2919</v>
      </c>
      <c r="G1857" s="11">
        <v>5508</v>
      </c>
      <c r="H1857" s="11">
        <v>2697</v>
      </c>
    </row>
    <row r="1858" spans="1:8" x14ac:dyDescent="0.2">
      <c r="A1858" s="10">
        <v>67</v>
      </c>
      <c r="B1858" s="10" t="s">
        <v>2185</v>
      </c>
      <c r="C1858" s="10">
        <v>6793</v>
      </c>
      <c r="D1858" s="10" t="s">
        <v>809</v>
      </c>
      <c r="E1858" s="11">
        <v>1192</v>
      </c>
      <c r="F1858" s="11">
        <v>1188</v>
      </c>
      <c r="G1858" s="11">
        <v>2380</v>
      </c>
      <c r="H1858" s="11">
        <v>1001</v>
      </c>
    </row>
    <row r="1859" spans="1:8" x14ac:dyDescent="0.2">
      <c r="A1859" s="10">
        <v>67</v>
      </c>
      <c r="B1859" s="10" t="s">
        <v>2185</v>
      </c>
      <c r="C1859" s="10">
        <v>6794</v>
      </c>
      <c r="D1859" s="10" t="s">
        <v>2211</v>
      </c>
      <c r="E1859" s="11">
        <v>1146</v>
      </c>
      <c r="F1859" s="11">
        <v>1288</v>
      </c>
      <c r="G1859" s="11">
        <v>2434</v>
      </c>
      <c r="H1859" s="11">
        <v>1087</v>
      </c>
    </row>
    <row r="1860" spans="1:8" x14ac:dyDescent="0.2">
      <c r="A1860" s="10">
        <v>67</v>
      </c>
      <c r="B1860" s="10" t="s">
        <v>2185</v>
      </c>
      <c r="C1860" s="10">
        <v>6795</v>
      </c>
      <c r="D1860" s="10" t="s">
        <v>2212</v>
      </c>
      <c r="E1860" s="11">
        <v>1727</v>
      </c>
      <c r="F1860" s="11">
        <v>1649</v>
      </c>
      <c r="G1860" s="11">
        <v>3376</v>
      </c>
      <c r="H1860" s="11">
        <v>1867</v>
      </c>
    </row>
    <row r="1861" spans="1:8" x14ac:dyDescent="0.2">
      <c r="A1861" s="10">
        <v>67</v>
      </c>
      <c r="B1861" s="10" t="s">
        <v>2185</v>
      </c>
      <c r="C1861" s="10">
        <v>6796</v>
      </c>
      <c r="D1861" s="10" t="s">
        <v>2213</v>
      </c>
      <c r="E1861" s="11">
        <v>1536</v>
      </c>
      <c r="F1861" s="11">
        <v>1760</v>
      </c>
      <c r="G1861" s="11">
        <v>3296</v>
      </c>
      <c r="H1861" s="11">
        <v>1355</v>
      </c>
    </row>
    <row r="1862" spans="1:8" x14ac:dyDescent="0.2">
      <c r="A1862" s="10">
        <v>67</v>
      </c>
      <c r="B1862" s="10" t="s">
        <v>2185</v>
      </c>
      <c r="C1862" s="10">
        <v>6797</v>
      </c>
      <c r="D1862" s="10" t="s">
        <v>2214</v>
      </c>
      <c r="E1862" s="11">
        <v>3501</v>
      </c>
      <c r="F1862" s="11">
        <v>3858</v>
      </c>
      <c r="G1862" s="11">
        <v>7359</v>
      </c>
      <c r="H1862" s="11">
        <v>2653</v>
      </c>
    </row>
    <row r="1863" spans="1:8" x14ac:dyDescent="0.2">
      <c r="A1863" s="10">
        <v>67</v>
      </c>
      <c r="B1863" s="10" t="s">
        <v>2185</v>
      </c>
      <c r="C1863" s="10">
        <v>6798</v>
      </c>
      <c r="D1863" s="10" t="s">
        <v>2215</v>
      </c>
      <c r="E1863" s="11">
        <v>5153</v>
      </c>
      <c r="F1863" s="11">
        <v>5783</v>
      </c>
      <c r="G1863" s="11">
        <v>10936</v>
      </c>
      <c r="H1863" s="11">
        <v>6740</v>
      </c>
    </row>
    <row r="1864" spans="1:8" x14ac:dyDescent="0.2">
      <c r="A1864" s="10">
        <v>67</v>
      </c>
      <c r="B1864" s="10" t="s">
        <v>2185</v>
      </c>
      <c r="C1864" s="10">
        <v>6799</v>
      </c>
      <c r="D1864" s="10" t="s">
        <v>2216</v>
      </c>
      <c r="E1864" s="11">
        <v>9107</v>
      </c>
      <c r="F1864" s="11">
        <v>10478</v>
      </c>
      <c r="G1864" s="11">
        <v>19585</v>
      </c>
      <c r="H1864" s="11">
        <v>12945</v>
      </c>
    </row>
    <row r="1865" spans="1:8" x14ac:dyDescent="0.2">
      <c r="A1865" s="10">
        <v>70</v>
      </c>
      <c r="B1865" s="10" t="s">
        <v>2217</v>
      </c>
      <c r="C1865" s="10">
        <v>7001</v>
      </c>
      <c r="D1865" s="10" t="s">
        <v>2218</v>
      </c>
      <c r="E1865" s="11">
        <v>60153</v>
      </c>
      <c r="F1865" s="11">
        <v>63962</v>
      </c>
      <c r="G1865" s="11">
        <v>124115</v>
      </c>
      <c r="H1865" s="11">
        <v>52162</v>
      </c>
    </row>
    <row r="1866" spans="1:8" x14ac:dyDescent="0.2">
      <c r="A1866" s="10">
        <v>70</v>
      </c>
      <c r="B1866" s="10" t="s">
        <v>2217</v>
      </c>
      <c r="C1866" s="10">
        <v>7002</v>
      </c>
      <c r="D1866" s="10" t="s">
        <v>2219</v>
      </c>
      <c r="E1866" s="11">
        <v>28696</v>
      </c>
      <c r="F1866" s="11">
        <v>29645</v>
      </c>
      <c r="G1866" s="11">
        <v>58341</v>
      </c>
      <c r="H1866" s="11">
        <v>20865</v>
      </c>
    </row>
    <row r="1867" spans="1:8" x14ac:dyDescent="0.2">
      <c r="A1867" s="10">
        <v>70</v>
      </c>
      <c r="B1867" s="10" t="s">
        <v>2217</v>
      </c>
      <c r="C1867" s="10">
        <v>7003</v>
      </c>
      <c r="D1867" s="10" t="s">
        <v>2220</v>
      </c>
      <c r="E1867" s="11">
        <v>25022</v>
      </c>
      <c r="F1867" s="11">
        <v>23126</v>
      </c>
      <c r="G1867" s="11">
        <v>48148</v>
      </c>
      <c r="H1867" s="11">
        <v>15578</v>
      </c>
    </row>
    <row r="1868" spans="1:8" x14ac:dyDescent="0.2">
      <c r="A1868" s="10">
        <v>70</v>
      </c>
      <c r="B1868" s="10" t="s">
        <v>2217</v>
      </c>
      <c r="C1868" s="10">
        <v>7004</v>
      </c>
      <c r="D1868" s="10" t="s">
        <v>2221</v>
      </c>
      <c r="E1868" s="11">
        <v>34870</v>
      </c>
      <c r="F1868" s="11">
        <v>37345</v>
      </c>
      <c r="G1868" s="11">
        <v>72215</v>
      </c>
      <c r="H1868" s="11">
        <v>24547</v>
      </c>
    </row>
    <row r="1869" spans="1:8" x14ac:dyDescent="0.2">
      <c r="A1869" s="10">
        <v>70</v>
      </c>
      <c r="B1869" s="10" t="s">
        <v>2217</v>
      </c>
      <c r="C1869" s="10">
        <v>7005</v>
      </c>
      <c r="D1869" s="10" t="s">
        <v>2222</v>
      </c>
      <c r="E1869" s="11">
        <v>46318</v>
      </c>
      <c r="F1869" s="11">
        <v>50415</v>
      </c>
      <c r="G1869" s="11">
        <v>96733</v>
      </c>
      <c r="H1869" s="11">
        <v>39680</v>
      </c>
    </row>
    <row r="1870" spans="1:8" x14ac:dyDescent="0.2">
      <c r="A1870" s="10">
        <v>70</v>
      </c>
      <c r="B1870" s="10" t="s">
        <v>2217</v>
      </c>
      <c r="C1870" s="10">
        <v>7006</v>
      </c>
      <c r="D1870" s="10" t="s">
        <v>2223</v>
      </c>
      <c r="E1870" s="11">
        <v>8438</v>
      </c>
      <c r="F1870" s="11">
        <v>9222</v>
      </c>
      <c r="G1870" s="11">
        <v>17660</v>
      </c>
      <c r="H1870" s="11">
        <v>6927</v>
      </c>
    </row>
    <row r="1871" spans="1:8" x14ac:dyDescent="0.2">
      <c r="A1871" s="10">
        <v>70</v>
      </c>
      <c r="B1871" s="10" t="s">
        <v>2217</v>
      </c>
      <c r="C1871" s="10">
        <v>7007</v>
      </c>
      <c r="D1871" s="10" t="s">
        <v>2224</v>
      </c>
      <c r="E1871" s="11">
        <v>34461</v>
      </c>
      <c r="F1871" s="11">
        <v>36798</v>
      </c>
      <c r="G1871" s="11">
        <v>71259</v>
      </c>
      <c r="H1871" s="11">
        <v>27161</v>
      </c>
    </row>
    <row r="1872" spans="1:8" x14ac:dyDescent="0.2">
      <c r="A1872" s="10">
        <v>70</v>
      </c>
      <c r="B1872" s="10" t="s">
        <v>2217</v>
      </c>
      <c r="C1872" s="10">
        <v>7008</v>
      </c>
      <c r="D1872" s="10" t="s">
        <v>2225</v>
      </c>
      <c r="E1872" s="11">
        <v>25565</v>
      </c>
      <c r="F1872" s="11">
        <v>26158</v>
      </c>
      <c r="G1872" s="11">
        <v>51723</v>
      </c>
      <c r="H1872" s="11">
        <v>19939</v>
      </c>
    </row>
    <row r="1873" spans="1:8" x14ac:dyDescent="0.2">
      <c r="A1873" s="10">
        <v>70</v>
      </c>
      <c r="B1873" s="10" t="s">
        <v>2217</v>
      </c>
      <c r="C1873" s="10">
        <v>7009</v>
      </c>
      <c r="D1873" s="10" t="s">
        <v>2226</v>
      </c>
      <c r="E1873" s="11">
        <v>5071</v>
      </c>
      <c r="F1873" s="11">
        <v>5598</v>
      </c>
      <c r="G1873" s="11">
        <v>10669</v>
      </c>
      <c r="H1873" s="11">
        <v>3836</v>
      </c>
    </row>
    <row r="1874" spans="1:8" x14ac:dyDescent="0.2">
      <c r="A1874" s="10">
        <v>70</v>
      </c>
      <c r="B1874" s="10" t="s">
        <v>2217</v>
      </c>
      <c r="C1874" s="10">
        <v>7010</v>
      </c>
      <c r="D1874" s="10" t="s">
        <v>2227</v>
      </c>
      <c r="E1874" s="11">
        <v>12777</v>
      </c>
      <c r="F1874" s="11">
        <v>12288</v>
      </c>
      <c r="G1874" s="11">
        <v>25065</v>
      </c>
      <c r="H1874" s="11">
        <v>10157</v>
      </c>
    </row>
    <row r="1875" spans="1:8" x14ac:dyDescent="0.2">
      <c r="A1875" s="10">
        <v>70</v>
      </c>
      <c r="B1875" s="10" t="s">
        <v>2217</v>
      </c>
      <c r="C1875" s="10">
        <v>7070</v>
      </c>
      <c r="D1875" s="10" t="s">
        <v>2228</v>
      </c>
      <c r="E1875" s="11">
        <v>3322</v>
      </c>
      <c r="F1875" s="11">
        <v>3706</v>
      </c>
      <c r="G1875" s="11">
        <v>7028</v>
      </c>
      <c r="H1875" s="11">
        <v>3366</v>
      </c>
    </row>
    <row r="1876" spans="1:8" x14ac:dyDescent="0.2">
      <c r="A1876" s="10">
        <v>70</v>
      </c>
      <c r="B1876" s="10" t="s">
        <v>2217</v>
      </c>
      <c r="C1876" s="10">
        <v>7071</v>
      </c>
      <c r="D1876" s="10" t="s">
        <v>2229</v>
      </c>
      <c r="E1876" s="11">
        <v>2534</v>
      </c>
      <c r="F1876" s="11">
        <v>2675</v>
      </c>
      <c r="G1876" s="11">
        <v>5209</v>
      </c>
      <c r="H1876" s="11">
        <v>2007</v>
      </c>
    </row>
    <row r="1877" spans="1:8" x14ac:dyDescent="0.2">
      <c r="A1877" s="10">
        <v>70</v>
      </c>
      <c r="B1877" s="10" t="s">
        <v>2217</v>
      </c>
      <c r="C1877" s="10">
        <v>7072</v>
      </c>
      <c r="D1877" s="10" t="s">
        <v>2230</v>
      </c>
      <c r="E1877" s="11">
        <v>7654</v>
      </c>
      <c r="F1877" s="11">
        <v>8712</v>
      </c>
      <c r="G1877" s="11">
        <v>16366</v>
      </c>
      <c r="H1877" s="11">
        <v>7156</v>
      </c>
    </row>
    <row r="1878" spans="1:8" x14ac:dyDescent="0.2">
      <c r="A1878" s="10">
        <v>70</v>
      </c>
      <c r="B1878" s="10" t="s">
        <v>2217</v>
      </c>
      <c r="C1878" s="10">
        <v>7073</v>
      </c>
      <c r="D1878" s="10" t="s">
        <v>2116</v>
      </c>
      <c r="E1878" s="11">
        <v>6903</v>
      </c>
      <c r="F1878" s="11">
        <v>7043</v>
      </c>
      <c r="G1878" s="11">
        <v>13946</v>
      </c>
      <c r="H1878" s="11">
        <v>4712</v>
      </c>
    </row>
    <row r="1879" spans="1:8" x14ac:dyDescent="0.2">
      <c r="A1879" s="10">
        <v>70</v>
      </c>
      <c r="B1879" s="10" t="s">
        <v>2217</v>
      </c>
      <c r="C1879" s="10">
        <v>7074</v>
      </c>
      <c r="D1879" s="10" t="s">
        <v>2231</v>
      </c>
      <c r="E1879" s="11">
        <v>4122</v>
      </c>
      <c r="F1879" s="11">
        <v>4646</v>
      </c>
      <c r="G1879" s="11">
        <v>8768</v>
      </c>
      <c r="H1879" s="11">
        <v>3860</v>
      </c>
    </row>
    <row r="1880" spans="1:8" x14ac:dyDescent="0.2">
      <c r="A1880" s="10">
        <v>70</v>
      </c>
      <c r="B1880" s="10" t="s">
        <v>2217</v>
      </c>
      <c r="C1880" s="10">
        <v>7075</v>
      </c>
      <c r="D1880" s="10" t="s">
        <v>2232</v>
      </c>
      <c r="E1880" s="11">
        <v>6154</v>
      </c>
      <c r="F1880" s="11">
        <v>6710</v>
      </c>
      <c r="G1880" s="11">
        <v>12864</v>
      </c>
      <c r="H1880" s="11">
        <v>4138</v>
      </c>
    </row>
    <row r="1881" spans="1:8" x14ac:dyDescent="0.2">
      <c r="A1881" s="10">
        <v>70</v>
      </c>
      <c r="B1881" s="10" t="s">
        <v>2217</v>
      </c>
      <c r="C1881" s="10">
        <v>7076</v>
      </c>
      <c r="D1881" s="10" t="s">
        <v>2233</v>
      </c>
      <c r="E1881" s="11">
        <v>5694</v>
      </c>
      <c r="F1881" s="11">
        <v>6309</v>
      </c>
      <c r="G1881" s="11">
        <v>12003</v>
      </c>
      <c r="H1881" s="11">
        <v>4825</v>
      </c>
    </row>
    <row r="1882" spans="1:8" x14ac:dyDescent="0.2">
      <c r="A1882" s="10">
        <v>70</v>
      </c>
      <c r="B1882" s="10" t="s">
        <v>2217</v>
      </c>
      <c r="C1882" s="10">
        <v>7077</v>
      </c>
      <c r="D1882" s="10" t="s">
        <v>2234</v>
      </c>
      <c r="E1882" s="10">
        <v>633</v>
      </c>
      <c r="F1882" s="10">
        <v>704</v>
      </c>
      <c r="G1882" s="11">
        <v>1337</v>
      </c>
      <c r="H1882" s="10">
        <v>569</v>
      </c>
    </row>
    <row r="1883" spans="1:8" x14ac:dyDescent="0.2">
      <c r="A1883" s="10">
        <v>70</v>
      </c>
      <c r="B1883" s="10" t="s">
        <v>2217</v>
      </c>
      <c r="C1883" s="10">
        <v>7078</v>
      </c>
      <c r="D1883" s="10" t="s">
        <v>2235</v>
      </c>
      <c r="E1883" s="11">
        <v>1305</v>
      </c>
      <c r="F1883" s="11">
        <v>1394</v>
      </c>
      <c r="G1883" s="11">
        <v>2699</v>
      </c>
      <c r="H1883" s="11">
        <v>1449</v>
      </c>
    </row>
    <row r="1884" spans="1:8" x14ac:dyDescent="0.2">
      <c r="A1884" s="10">
        <v>70</v>
      </c>
      <c r="B1884" s="10" t="s">
        <v>2217</v>
      </c>
      <c r="C1884" s="10">
        <v>7079</v>
      </c>
      <c r="D1884" s="10" t="s">
        <v>2236</v>
      </c>
      <c r="E1884" s="11">
        <v>1740</v>
      </c>
      <c r="F1884" s="11">
        <v>2025</v>
      </c>
      <c r="G1884" s="11">
        <v>3765</v>
      </c>
      <c r="H1884" s="11">
        <v>2282</v>
      </c>
    </row>
    <row r="1885" spans="1:8" x14ac:dyDescent="0.2">
      <c r="A1885" s="10">
        <v>70</v>
      </c>
      <c r="B1885" s="10" t="s">
        <v>2217</v>
      </c>
      <c r="C1885" s="10">
        <v>7080</v>
      </c>
      <c r="D1885" s="10" t="s">
        <v>2237</v>
      </c>
      <c r="E1885" s="11">
        <v>5287</v>
      </c>
      <c r="F1885" s="11">
        <v>5840</v>
      </c>
      <c r="G1885" s="11">
        <v>11127</v>
      </c>
      <c r="H1885" s="11">
        <v>5599</v>
      </c>
    </row>
    <row r="1886" spans="1:8" x14ac:dyDescent="0.2">
      <c r="A1886" s="10">
        <v>70</v>
      </c>
      <c r="B1886" s="10" t="s">
        <v>2217</v>
      </c>
      <c r="C1886" s="10">
        <v>7081</v>
      </c>
      <c r="D1886" s="10" t="s">
        <v>2238</v>
      </c>
      <c r="E1886" s="11">
        <v>2752</v>
      </c>
      <c r="F1886" s="11">
        <v>3044</v>
      </c>
      <c r="G1886" s="11">
        <v>5796</v>
      </c>
      <c r="H1886" s="11">
        <v>2484</v>
      </c>
    </row>
    <row r="1887" spans="1:8" x14ac:dyDescent="0.2">
      <c r="A1887" s="10">
        <v>70</v>
      </c>
      <c r="B1887" s="10" t="s">
        <v>2217</v>
      </c>
      <c r="C1887" s="10">
        <v>7082</v>
      </c>
      <c r="D1887" s="10" t="s">
        <v>2239</v>
      </c>
      <c r="E1887" s="11">
        <v>3528</v>
      </c>
      <c r="F1887" s="11">
        <v>3763</v>
      </c>
      <c r="G1887" s="11">
        <v>7291</v>
      </c>
      <c r="H1887" s="11">
        <v>2763</v>
      </c>
    </row>
    <row r="1888" spans="1:8" x14ac:dyDescent="0.2">
      <c r="A1888" s="10">
        <v>70</v>
      </c>
      <c r="B1888" s="10" t="s">
        <v>2217</v>
      </c>
      <c r="C1888" s="10">
        <v>7083</v>
      </c>
      <c r="D1888" s="10" t="s">
        <v>2240</v>
      </c>
      <c r="E1888" s="11">
        <v>5028</v>
      </c>
      <c r="F1888" s="11">
        <v>5360</v>
      </c>
      <c r="G1888" s="11">
        <v>10388</v>
      </c>
      <c r="H1888" s="11">
        <v>3893</v>
      </c>
    </row>
    <row r="1889" spans="1:8" x14ac:dyDescent="0.2">
      <c r="A1889" s="10">
        <v>70</v>
      </c>
      <c r="B1889" s="10" t="s">
        <v>2217</v>
      </c>
      <c r="C1889" s="10">
        <v>7084</v>
      </c>
      <c r="D1889" s="10" t="s">
        <v>2241</v>
      </c>
      <c r="E1889" s="11">
        <v>7546</v>
      </c>
      <c r="F1889" s="11">
        <v>8316</v>
      </c>
      <c r="G1889" s="11">
        <v>15862</v>
      </c>
      <c r="H1889" s="11">
        <v>6970</v>
      </c>
    </row>
    <row r="1890" spans="1:8" x14ac:dyDescent="0.2">
      <c r="A1890" s="10">
        <v>70</v>
      </c>
      <c r="B1890" s="10" t="s">
        <v>2217</v>
      </c>
      <c r="C1890" s="10">
        <v>7085</v>
      </c>
      <c r="D1890" s="10" t="s">
        <v>2242</v>
      </c>
      <c r="E1890" s="10">
        <v>781</v>
      </c>
      <c r="F1890" s="10">
        <v>814</v>
      </c>
      <c r="G1890" s="11">
        <v>1595</v>
      </c>
      <c r="H1890" s="10">
        <v>750</v>
      </c>
    </row>
    <row r="1891" spans="1:8" x14ac:dyDescent="0.2">
      <c r="A1891" s="10">
        <v>70</v>
      </c>
      <c r="B1891" s="10" t="s">
        <v>2217</v>
      </c>
      <c r="C1891" s="10">
        <v>7086</v>
      </c>
      <c r="D1891" s="10" t="s">
        <v>2243</v>
      </c>
      <c r="E1891" s="11">
        <v>9616</v>
      </c>
      <c r="F1891" s="11">
        <v>10326</v>
      </c>
      <c r="G1891" s="11">
        <v>19942</v>
      </c>
      <c r="H1891" s="11">
        <v>8822</v>
      </c>
    </row>
    <row r="1892" spans="1:8" x14ac:dyDescent="0.2">
      <c r="A1892" s="10">
        <v>70</v>
      </c>
      <c r="B1892" s="10" t="s">
        <v>2217</v>
      </c>
      <c r="C1892" s="10">
        <v>7087</v>
      </c>
      <c r="D1892" s="10" t="s">
        <v>2244</v>
      </c>
      <c r="E1892" s="11">
        <v>3695</v>
      </c>
      <c r="F1892" s="11">
        <v>4087</v>
      </c>
      <c r="G1892" s="11">
        <v>7782</v>
      </c>
      <c r="H1892" s="11">
        <v>4028</v>
      </c>
    </row>
    <row r="1893" spans="1:8" x14ac:dyDescent="0.2">
      <c r="A1893" s="10">
        <v>70</v>
      </c>
      <c r="B1893" s="10" t="s">
        <v>2217</v>
      </c>
      <c r="C1893" s="10">
        <v>7088</v>
      </c>
      <c r="D1893" s="10" t="s">
        <v>2245</v>
      </c>
      <c r="E1893" s="11">
        <v>4870</v>
      </c>
      <c r="F1893" s="11">
        <v>5400</v>
      </c>
      <c r="G1893" s="11">
        <v>10270</v>
      </c>
      <c r="H1893" s="11">
        <v>3637</v>
      </c>
    </row>
    <row r="1894" spans="1:8" x14ac:dyDescent="0.2">
      <c r="A1894" s="10">
        <v>70</v>
      </c>
      <c r="B1894" s="10" t="s">
        <v>2217</v>
      </c>
      <c r="C1894" s="10">
        <v>7089</v>
      </c>
      <c r="D1894" s="10" t="s">
        <v>2246</v>
      </c>
      <c r="E1894" s="11">
        <v>3204</v>
      </c>
      <c r="F1894" s="11">
        <v>3670</v>
      </c>
      <c r="G1894" s="11">
        <v>6874</v>
      </c>
      <c r="H1894" s="11">
        <v>3361</v>
      </c>
    </row>
    <row r="1895" spans="1:8" x14ac:dyDescent="0.2">
      <c r="A1895" s="10">
        <v>70</v>
      </c>
      <c r="B1895" s="10" t="s">
        <v>2217</v>
      </c>
      <c r="C1895" s="10">
        <v>7090</v>
      </c>
      <c r="D1895" s="10" t="s">
        <v>2247</v>
      </c>
      <c r="E1895" s="11">
        <v>1733</v>
      </c>
      <c r="F1895" s="11">
        <v>1730</v>
      </c>
      <c r="G1895" s="11">
        <v>3463</v>
      </c>
      <c r="H1895" s="11">
        <v>1934</v>
      </c>
    </row>
    <row r="1896" spans="1:8" x14ac:dyDescent="0.2">
      <c r="A1896" s="10">
        <v>70</v>
      </c>
      <c r="B1896" s="10" t="s">
        <v>2217</v>
      </c>
      <c r="C1896" s="10">
        <v>7091</v>
      </c>
      <c r="D1896" s="10" t="s">
        <v>2248</v>
      </c>
      <c r="E1896" s="11">
        <v>1897</v>
      </c>
      <c r="F1896" s="11">
        <v>1901</v>
      </c>
      <c r="G1896" s="11">
        <v>3798</v>
      </c>
      <c r="H1896" s="11">
        <v>2012</v>
      </c>
    </row>
    <row r="1897" spans="1:8" x14ac:dyDescent="0.2">
      <c r="A1897" s="10">
        <v>70</v>
      </c>
      <c r="B1897" s="10" t="s">
        <v>2217</v>
      </c>
      <c r="C1897" s="10">
        <v>7092</v>
      </c>
      <c r="D1897" s="10" t="s">
        <v>2249</v>
      </c>
      <c r="E1897" s="11">
        <v>1249</v>
      </c>
      <c r="F1897" s="11">
        <v>1223</v>
      </c>
      <c r="G1897" s="11">
        <v>2472</v>
      </c>
      <c r="H1897" s="10">
        <v>862</v>
      </c>
    </row>
    <row r="1898" spans="1:8" x14ac:dyDescent="0.2">
      <c r="A1898" s="10">
        <v>70</v>
      </c>
      <c r="B1898" s="10" t="s">
        <v>2217</v>
      </c>
      <c r="C1898" s="10">
        <v>7093</v>
      </c>
      <c r="D1898" s="10" t="s">
        <v>2250</v>
      </c>
      <c r="E1898" s="11">
        <v>2207</v>
      </c>
      <c r="F1898" s="11">
        <v>2536</v>
      </c>
      <c r="G1898" s="11">
        <v>4743</v>
      </c>
      <c r="H1898" s="11">
        <v>3798</v>
      </c>
    </row>
    <row r="1899" spans="1:8" x14ac:dyDescent="0.2">
      <c r="A1899" s="10">
        <v>70</v>
      </c>
      <c r="B1899" s="10" t="s">
        <v>2217</v>
      </c>
      <c r="C1899" s="10">
        <v>7094</v>
      </c>
      <c r="D1899" s="10" t="s">
        <v>2251</v>
      </c>
      <c r="E1899" s="11">
        <v>5301</v>
      </c>
      <c r="F1899" s="11">
        <v>5761</v>
      </c>
      <c r="G1899" s="11">
        <v>11062</v>
      </c>
      <c r="H1899" s="11">
        <v>4694</v>
      </c>
    </row>
    <row r="1900" spans="1:8" x14ac:dyDescent="0.2">
      <c r="A1900" s="10">
        <v>70</v>
      </c>
      <c r="B1900" s="10" t="s">
        <v>2217</v>
      </c>
      <c r="C1900" s="10">
        <v>7095</v>
      </c>
      <c r="D1900" s="10" t="s">
        <v>2252</v>
      </c>
      <c r="E1900" s="11">
        <v>8940</v>
      </c>
      <c r="F1900" s="11">
        <v>8092</v>
      </c>
      <c r="G1900" s="11">
        <v>17032</v>
      </c>
      <c r="H1900" s="11">
        <v>7609</v>
      </c>
    </row>
    <row r="1901" spans="1:8" x14ac:dyDescent="0.2">
      <c r="A1901" s="10">
        <v>70</v>
      </c>
      <c r="B1901" s="10" t="s">
        <v>2217</v>
      </c>
      <c r="C1901" s="10">
        <v>7096</v>
      </c>
      <c r="D1901" s="10" t="s">
        <v>2253</v>
      </c>
      <c r="E1901" s="11">
        <v>4401</v>
      </c>
      <c r="F1901" s="11">
        <v>4930</v>
      </c>
      <c r="G1901" s="11">
        <v>9331</v>
      </c>
      <c r="H1901" s="11">
        <v>3450</v>
      </c>
    </row>
    <row r="1902" spans="1:8" x14ac:dyDescent="0.2">
      <c r="A1902" s="10">
        <v>70</v>
      </c>
      <c r="B1902" s="10" t="s">
        <v>2217</v>
      </c>
      <c r="C1902" s="10">
        <v>7097</v>
      </c>
      <c r="D1902" s="10" t="s">
        <v>2254</v>
      </c>
      <c r="E1902" s="11">
        <v>3770</v>
      </c>
      <c r="F1902" s="11">
        <v>4178</v>
      </c>
      <c r="G1902" s="11">
        <v>7948</v>
      </c>
      <c r="H1902" s="11">
        <v>3801</v>
      </c>
    </row>
    <row r="1903" spans="1:8" x14ac:dyDescent="0.2">
      <c r="A1903" s="10">
        <v>70</v>
      </c>
      <c r="B1903" s="10" t="s">
        <v>2217</v>
      </c>
      <c r="C1903" s="10">
        <v>7098</v>
      </c>
      <c r="D1903" s="10" t="s">
        <v>2255</v>
      </c>
      <c r="E1903" s="11">
        <v>6807</v>
      </c>
      <c r="F1903" s="11">
        <v>7837</v>
      </c>
      <c r="G1903" s="11">
        <v>14644</v>
      </c>
      <c r="H1903" s="11">
        <v>8367</v>
      </c>
    </row>
    <row r="1904" spans="1:8" x14ac:dyDescent="0.2">
      <c r="A1904" s="10">
        <v>70</v>
      </c>
      <c r="B1904" s="10" t="s">
        <v>2217</v>
      </c>
      <c r="C1904" s="10">
        <v>7099</v>
      </c>
      <c r="D1904" s="10" t="s">
        <v>2256</v>
      </c>
      <c r="E1904" s="11">
        <v>14903</v>
      </c>
      <c r="F1904" s="11">
        <v>17801</v>
      </c>
      <c r="G1904" s="11">
        <v>32704</v>
      </c>
      <c r="H1904" s="11">
        <v>16668</v>
      </c>
    </row>
    <row r="1905" spans="1:8" x14ac:dyDescent="0.2">
      <c r="A1905" s="10">
        <v>71</v>
      </c>
      <c r="B1905" s="10" t="s">
        <v>2257</v>
      </c>
      <c r="C1905" s="10">
        <v>7101</v>
      </c>
      <c r="D1905" s="10" t="s">
        <v>2258</v>
      </c>
      <c r="E1905" s="11">
        <v>53705</v>
      </c>
      <c r="F1905" s="11">
        <v>43933</v>
      </c>
      <c r="G1905" s="11">
        <v>97638</v>
      </c>
      <c r="H1905" s="11">
        <v>41020</v>
      </c>
    </row>
    <row r="1906" spans="1:8" x14ac:dyDescent="0.2">
      <c r="A1906" s="10">
        <v>71</v>
      </c>
      <c r="B1906" s="10" t="s">
        <v>2257</v>
      </c>
      <c r="C1906" s="10">
        <v>7102</v>
      </c>
      <c r="D1906" s="10" t="s">
        <v>2259</v>
      </c>
      <c r="E1906" s="11">
        <v>31203</v>
      </c>
      <c r="F1906" s="11">
        <v>29496</v>
      </c>
      <c r="G1906" s="11">
        <v>60699</v>
      </c>
      <c r="H1906" s="11">
        <v>21755</v>
      </c>
    </row>
    <row r="1907" spans="1:8" x14ac:dyDescent="0.2">
      <c r="A1907" s="10">
        <v>71</v>
      </c>
      <c r="B1907" s="10" t="s">
        <v>2257</v>
      </c>
      <c r="C1907" s="10">
        <v>7103</v>
      </c>
      <c r="D1907" s="10" t="s">
        <v>2260</v>
      </c>
      <c r="E1907" s="11">
        <v>24053</v>
      </c>
      <c r="F1907" s="11">
        <v>24276</v>
      </c>
      <c r="G1907" s="11">
        <v>48329</v>
      </c>
      <c r="H1907" s="11">
        <v>19491</v>
      </c>
    </row>
    <row r="1908" spans="1:8" x14ac:dyDescent="0.2">
      <c r="A1908" s="10">
        <v>71</v>
      </c>
      <c r="B1908" s="10" t="s">
        <v>2257</v>
      </c>
      <c r="C1908" s="10">
        <v>7104</v>
      </c>
      <c r="D1908" s="10" t="s">
        <v>2261</v>
      </c>
      <c r="E1908" s="11">
        <v>13294</v>
      </c>
      <c r="F1908" s="11">
        <v>12550</v>
      </c>
      <c r="G1908" s="11">
        <v>25844</v>
      </c>
      <c r="H1908" s="11">
        <v>10672</v>
      </c>
    </row>
    <row r="1909" spans="1:8" x14ac:dyDescent="0.2">
      <c r="A1909" s="10">
        <v>71</v>
      </c>
      <c r="B1909" s="10" t="s">
        <v>2257</v>
      </c>
      <c r="C1909" s="10">
        <v>7105</v>
      </c>
      <c r="D1909" s="10" t="s">
        <v>2262</v>
      </c>
      <c r="E1909" s="11">
        <v>43866</v>
      </c>
      <c r="F1909" s="11">
        <v>46774</v>
      </c>
      <c r="G1909" s="11">
        <v>90640</v>
      </c>
      <c r="H1909" s="11">
        <v>33417</v>
      </c>
    </row>
    <row r="1910" spans="1:8" x14ac:dyDescent="0.2">
      <c r="A1910" s="10">
        <v>71</v>
      </c>
      <c r="B1910" s="10" t="s">
        <v>2257</v>
      </c>
      <c r="C1910" s="10">
        <v>7106</v>
      </c>
      <c r="D1910" s="10" t="s">
        <v>2263</v>
      </c>
      <c r="E1910" s="11">
        <v>28199</v>
      </c>
      <c r="F1910" s="11">
        <v>30128</v>
      </c>
      <c r="G1910" s="11">
        <v>58327</v>
      </c>
      <c r="H1910" s="11">
        <v>25626</v>
      </c>
    </row>
    <row r="1911" spans="1:8" x14ac:dyDescent="0.2">
      <c r="A1911" s="10">
        <v>71</v>
      </c>
      <c r="B1911" s="10" t="s">
        <v>2257</v>
      </c>
      <c r="C1911" s="10">
        <v>7107</v>
      </c>
      <c r="D1911" s="10" t="s">
        <v>2264</v>
      </c>
      <c r="E1911" s="11">
        <v>35360</v>
      </c>
      <c r="F1911" s="11">
        <v>32903</v>
      </c>
      <c r="G1911" s="11">
        <v>68263</v>
      </c>
      <c r="H1911" s="11">
        <v>28793</v>
      </c>
    </row>
    <row r="1912" spans="1:8" x14ac:dyDescent="0.2">
      <c r="A1912" s="10">
        <v>71</v>
      </c>
      <c r="B1912" s="10" t="s">
        <v>2257</v>
      </c>
      <c r="C1912" s="10">
        <v>7108</v>
      </c>
      <c r="D1912" s="10" t="s">
        <v>2265</v>
      </c>
      <c r="E1912" s="11">
        <v>23025</v>
      </c>
      <c r="F1912" s="11">
        <v>21665</v>
      </c>
      <c r="G1912" s="11">
        <v>44690</v>
      </c>
      <c r="H1912" s="11">
        <v>12951</v>
      </c>
    </row>
    <row r="1913" spans="1:8" x14ac:dyDescent="0.2">
      <c r="A1913" s="10">
        <v>71</v>
      </c>
      <c r="B1913" s="10" t="s">
        <v>2257</v>
      </c>
      <c r="C1913" s="10">
        <v>7109</v>
      </c>
      <c r="D1913" s="10" t="s">
        <v>2266</v>
      </c>
      <c r="E1913" s="11">
        <v>15680</v>
      </c>
      <c r="F1913" s="11">
        <v>16736</v>
      </c>
      <c r="G1913" s="11">
        <v>32416</v>
      </c>
      <c r="H1913" s="11">
        <v>11959</v>
      </c>
    </row>
    <row r="1914" spans="1:8" x14ac:dyDescent="0.2">
      <c r="A1914" s="10">
        <v>71</v>
      </c>
      <c r="B1914" s="10" t="s">
        <v>2257</v>
      </c>
      <c r="C1914" s="10">
        <v>7110</v>
      </c>
      <c r="D1914" s="10" t="s">
        <v>2267</v>
      </c>
      <c r="E1914" s="11">
        <v>26726</v>
      </c>
      <c r="F1914" s="11">
        <v>27010</v>
      </c>
      <c r="G1914" s="11">
        <v>53736</v>
      </c>
      <c r="H1914" s="11">
        <v>19798</v>
      </c>
    </row>
    <row r="1915" spans="1:8" x14ac:dyDescent="0.2">
      <c r="A1915" s="10">
        <v>71</v>
      </c>
      <c r="B1915" s="10" t="s">
        <v>2257</v>
      </c>
      <c r="C1915" s="10">
        <v>7111</v>
      </c>
      <c r="D1915" s="10" t="s">
        <v>2268</v>
      </c>
      <c r="E1915" s="11">
        <v>15566</v>
      </c>
      <c r="F1915" s="11">
        <v>15737</v>
      </c>
      <c r="G1915" s="11">
        <v>31303</v>
      </c>
      <c r="H1915" s="11">
        <v>11387</v>
      </c>
    </row>
    <row r="1916" spans="1:8" x14ac:dyDescent="0.2">
      <c r="A1916" s="10">
        <v>71</v>
      </c>
      <c r="B1916" s="10" t="s">
        <v>2257</v>
      </c>
      <c r="C1916" s="10">
        <v>7112</v>
      </c>
      <c r="D1916" s="10" t="s">
        <v>2269</v>
      </c>
      <c r="E1916" s="11">
        <v>13847</v>
      </c>
      <c r="F1916" s="11">
        <v>13510</v>
      </c>
      <c r="G1916" s="11">
        <v>27357</v>
      </c>
      <c r="H1916" s="11">
        <v>10106</v>
      </c>
    </row>
    <row r="1917" spans="1:8" x14ac:dyDescent="0.2">
      <c r="A1917" s="10">
        <v>71</v>
      </c>
      <c r="B1917" s="10" t="s">
        <v>2257</v>
      </c>
      <c r="C1917" s="10">
        <v>7113</v>
      </c>
      <c r="D1917" s="10" t="s">
        <v>2270</v>
      </c>
      <c r="E1917" s="11">
        <v>16684</v>
      </c>
      <c r="F1917" s="11">
        <v>17414</v>
      </c>
      <c r="G1917" s="11">
        <v>34098</v>
      </c>
      <c r="H1917" s="11">
        <v>12599</v>
      </c>
    </row>
    <row r="1918" spans="1:8" x14ac:dyDescent="0.2">
      <c r="A1918" s="10">
        <v>71</v>
      </c>
      <c r="B1918" s="10" t="s">
        <v>2257</v>
      </c>
      <c r="C1918" s="10">
        <v>7167</v>
      </c>
      <c r="D1918" s="10" t="s">
        <v>2271</v>
      </c>
      <c r="E1918" s="11">
        <v>3576</v>
      </c>
      <c r="F1918" s="11">
        <v>3593</v>
      </c>
      <c r="G1918" s="11">
        <v>7169</v>
      </c>
      <c r="H1918" s="11">
        <v>2701</v>
      </c>
    </row>
    <row r="1919" spans="1:8" x14ac:dyDescent="0.2">
      <c r="A1919" s="10">
        <v>71</v>
      </c>
      <c r="B1919" s="10" t="s">
        <v>2257</v>
      </c>
      <c r="C1919" s="10">
        <v>7168</v>
      </c>
      <c r="D1919" s="10" t="s">
        <v>2272</v>
      </c>
      <c r="E1919" s="11">
        <v>1727</v>
      </c>
      <c r="F1919" s="11">
        <v>1940</v>
      </c>
      <c r="G1919" s="11">
        <v>3667</v>
      </c>
      <c r="H1919" s="11">
        <v>1261</v>
      </c>
    </row>
    <row r="1920" spans="1:8" x14ac:dyDescent="0.2">
      <c r="A1920" s="10">
        <v>71</v>
      </c>
      <c r="B1920" s="10" t="s">
        <v>2257</v>
      </c>
      <c r="C1920" s="10">
        <v>7169</v>
      </c>
      <c r="D1920" s="10" t="s">
        <v>2273</v>
      </c>
      <c r="E1920" s="11">
        <v>13488</v>
      </c>
      <c r="F1920" s="11">
        <v>15102</v>
      </c>
      <c r="G1920" s="11">
        <v>28590</v>
      </c>
      <c r="H1920" s="11">
        <v>17024</v>
      </c>
    </row>
    <row r="1921" spans="1:8" x14ac:dyDescent="0.2">
      <c r="A1921" s="10">
        <v>71</v>
      </c>
      <c r="B1921" s="10" t="s">
        <v>2257</v>
      </c>
      <c r="C1921" s="10">
        <v>7170</v>
      </c>
      <c r="D1921" s="10" t="s">
        <v>2274</v>
      </c>
      <c r="E1921" s="11">
        <v>5707</v>
      </c>
      <c r="F1921" s="11">
        <v>6074</v>
      </c>
      <c r="G1921" s="11">
        <v>11781</v>
      </c>
      <c r="H1921" s="11">
        <v>5465</v>
      </c>
    </row>
    <row r="1922" spans="1:8" x14ac:dyDescent="0.2">
      <c r="A1922" s="10">
        <v>71</v>
      </c>
      <c r="B1922" s="10" t="s">
        <v>2257</v>
      </c>
      <c r="C1922" s="10">
        <v>7171</v>
      </c>
      <c r="D1922" s="10" t="s">
        <v>2275</v>
      </c>
      <c r="E1922" s="11">
        <v>4357</v>
      </c>
      <c r="F1922" s="11">
        <v>4873</v>
      </c>
      <c r="G1922" s="11">
        <v>9230</v>
      </c>
      <c r="H1922" s="11">
        <v>4148</v>
      </c>
    </row>
    <row r="1923" spans="1:8" x14ac:dyDescent="0.2">
      <c r="A1923" s="10">
        <v>71</v>
      </c>
      <c r="B1923" s="10" t="s">
        <v>2257</v>
      </c>
      <c r="C1923" s="10">
        <v>7172</v>
      </c>
      <c r="D1923" s="10" t="s">
        <v>2276</v>
      </c>
      <c r="E1923" s="11">
        <v>4399</v>
      </c>
      <c r="F1923" s="11">
        <v>4932</v>
      </c>
      <c r="G1923" s="11">
        <v>9331</v>
      </c>
      <c r="H1923" s="11">
        <v>4092</v>
      </c>
    </row>
    <row r="1924" spans="1:8" x14ac:dyDescent="0.2">
      <c r="A1924" s="10">
        <v>71</v>
      </c>
      <c r="B1924" s="10" t="s">
        <v>2257</v>
      </c>
      <c r="C1924" s="10">
        <v>7173</v>
      </c>
      <c r="D1924" s="10" t="s">
        <v>2277</v>
      </c>
      <c r="E1924" s="11">
        <v>2107</v>
      </c>
      <c r="F1924" s="11">
        <v>2268</v>
      </c>
      <c r="G1924" s="11">
        <v>4375</v>
      </c>
      <c r="H1924" s="11">
        <v>1899</v>
      </c>
    </row>
    <row r="1925" spans="1:8" x14ac:dyDescent="0.2">
      <c r="A1925" s="10">
        <v>71</v>
      </c>
      <c r="B1925" s="10" t="s">
        <v>2257</v>
      </c>
      <c r="C1925" s="10">
        <v>7174</v>
      </c>
      <c r="D1925" s="10" t="s">
        <v>2278</v>
      </c>
      <c r="E1925" s="11">
        <v>1185</v>
      </c>
      <c r="F1925" s="11">
        <v>1248</v>
      </c>
      <c r="G1925" s="11">
        <v>2433</v>
      </c>
      <c r="H1925" s="11">
        <v>1333</v>
      </c>
    </row>
    <row r="1926" spans="1:8" x14ac:dyDescent="0.2">
      <c r="A1926" s="10">
        <v>71</v>
      </c>
      <c r="B1926" s="10" t="s">
        <v>2257</v>
      </c>
      <c r="C1926" s="10">
        <v>7175</v>
      </c>
      <c r="D1926" s="10" t="s">
        <v>2279</v>
      </c>
      <c r="E1926" s="11">
        <v>1046</v>
      </c>
      <c r="F1926" s="11">
        <v>1157</v>
      </c>
      <c r="G1926" s="11">
        <v>2203</v>
      </c>
      <c r="H1926" s="10">
        <v>978</v>
      </c>
    </row>
    <row r="1927" spans="1:8" x14ac:dyDescent="0.2">
      <c r="A1927" s="10">
        <v>71</v>
      </c>
      <c r="B1927" s="10" t="s">
        <v>2257</v>
      </c>
      <c r="C1927" s="10">
        <v>7176</v>
      </c>
      <c r="D1927" s="10" t="s">
        <v>2280</v>
      </c>
      <c r="E1927" s="11">
        <v>1317</v>
      </c>
      <c r="F1927" s="11">
        <v>1331</v>
      </c>
      <c r="G1927" s="11">
        <v>2648</v>
      </c>
      <c r="H1927" s="11">
        <v>1409</v>
      </c>
    </row>
    <row r="1928" spans="1:8" x14ac:dyDescent="0.2">
      <c r="A1928" s="10">
        <v>71</v>
      </c>
      <c r="B1928" s="10" t="s">
        <v>2257</v>
      </c>
      <c r="C1928" s="10">
        <v>7177</v>
      </c>
      <c r="D1928" s="10" t="s">
        <v>2281</v>
      </c>
      <c r="E1928" s="11">
        <v>1872</v>
      </c>
      <c r="F1928" s="11">
        <v>2113</v>
      </c>
      <c r="G1928" s="11">
        <v>3985</v>
      </c>
      <c r="H1928" s="11">
        <v>1879</v>
      </c>
    </row>
    <row r="1929" spans="1:8" x14ac:dyDescent="0.2">
      <c r="A1929" s="10">
        <v>71</v>
      </c>
      <c r="B1929" s="10" t="s">
        <v>2257</v>
      </c>
      <c r="C1929" s="10">
        <v>7178</v>
      </c>
      <c r="D1929" s="10" t="s">
        <v>2282</v>
      </c>
      <c r="E1929" s="11">
        <v>2389</v>
      </c>
      <c r="F1929" s="11">
        <v>2693</v>
      </c>
      <c r="G1929" s="11">
        <v>5082</v>
      </c>
      <c r="H1929" s="11">
        <v>2286</v>
      </c>
    </row>
    <row r="1930" spans="1:8" x14ac:dyDescent="0.2">
      <c r="A1930" s="10">
        <v>71</v>
      </c>
      <c r="B1930" s="10" t="s">
        <v>2257</v>
      </c>
      <c r="C1930" s="10">
        <v>7179</v>
      </c>
      <c r="D1930" s="10" t="s">
        <v>2283</v>
      </c>
      <c r="E1930" s="11">
        <v>4974</v>
      </c>
      <c r="F1930" s="11">
        <v>4795</v>
      </c>
      <c r="G1930" s="11">
        <v>9769</v>
      </c>
      <c r="H1930" s="11">
        <v>2731</v>
      </c>
    </row>
    <row r="1931" spans="1:8" x14ac:dyDescent="0.2">
      <c r="A1931" s="10">
        <v>71</v>
      </c>
      <c r="B1931" s="10" t="s">
        <v>2257</v>
      </c>
      <c r="C1931" s="10">
        <v>7180</v>
      </c>
      <c r="D1931" s="10" t="s">
        <v>2284</v>
      </c>
      <c r="E1931" s="11">
        <v>1547</v>
      </c>
      <c r="F1931" s="11">
        <v>1505</v>
      </c>
      <c r="G1931" s="11">
        <v>3052</v>
      </c>
      <c r="H1931" s="11">
        <v>1633</v>
      </c>
    </row>
    <row r="1932" spans="1:8" x14ac:dyDescent="0.2">
      <c r="A1932" s="10">
        <v>71</v>
      </c>
      <c r="B1932" s="10" t="s">
        <v>2257</v>
      </c>
      <c r="C1932" s="10">
        <v>7181</v>
      </c>
      <c r="D1932" s="10" t="s">
        <v>2285</v>
      </c>
      <c r="E1932" s="11">
        <v>1488</v>
      </c>
      <c r="F1932" s="11">
        <v>1557</v>
      </c>
      <c r="G1932" s="11">
        <v>3045</v>
      </c>
      <c r="H1932" s="11">
        <v>1015</v>
      </c>
    </row>
    <row r="1933" spans="1:8" x14ac:dyDescent="0.2">
      <c r="A1933" s="10">
        <v>71</v>
      </c>
      <c r="B1933" s="10" t="s">
        <v>2257</v>
      </c>
      <c r="C1933" s="10">
        <v>7182</v>
      </c>
      <c r="D1933" s="10" t="s">
        <v>2286</v>
      </c>
      <c r="E1933" s="11">
        <v>2297</v>
      </c>
      <c r="F1933" s="11">
        <v>2560</v>
      </c>
      <c r="G1933" s="11">
        <v>4857</v>
      </c>
      <c r="H1933" s="11">
        <v>1637</v>
      </c>
    </row>
    <row r="1934" spans="1:8" x14ac:dyDescent="0.2">
      <c r="A1934" s="10">
        <v>71</v>
      </c>
      <c r="B1934" s="10" t="s">
        <v>2257</v>
      </c>
      <c r="C1934" s="10">
        <v>7183</v>
      </c>
      <c r="D1934" s="10" t="s">
        <v>2287</v>
      </c>
      <c r="E1934" s="10">
        <v>872</v>
      </c>
      <c r="F1934" s="10">
        <v>906</v>
      </c>
      <c r="G1934" s="11">
        <v>1778</v>
      </c>
      <c r="H1934" s="10">
        <v>669</v>
      </c>
    </row>
    <row r="1935" spans="1:8" x14ac:dyDescent="0.2">
      <c r="A1935" s="10">
        <v>71</v>
      </c>
      <c r="B1935" s="10" t="s">
        <v>2257</v>
      </c>
      <c r="C1935" s="10">
        <v>7184</v>
      </c>
      <c r="D1935" s="10" t="s">
        <v>2288</v>
      </c>
      <c r="E1935" s="11">
        <v>4305</v>
      </c>
      <c r="F1935" s="11">
        <v>5046</v>
      </c>
      <c r="G1935" s="11">
        <v>9351</v>
      </c>
      <c r="H1935" s="11">
        <v>5595</v>
      </c>
    </row>
    <row r="1936" spans="1:8" x14ac:dyDescent="0.2">
      <c r="A1936" s="10">
        <v>71</v>
      </c>
      <c r="B1936" s="10" t="s">
        <v>2257</v>
      </c>
      <c r="C1936" s="10">
        <v>7185</v>
      </c>
      <c r="D1936" s="10" t="s">
        <v>2289</v>
      </c>
      <c r="E1936" s="11">
        <v>2116</v>
      </c>
      <c r="F1936" s="11">
        <v>2273</v>
      </c>
      <c r="G1936" s="11">
        <v>4389</v>
      </c>
      <c r="H1936" s="11">
        <v>2056</v>
      </c>
    </row>
    <row r="1937" spans="1:8" x14ac:dyDescent="0.2">
      <c r="A1937" s="10">
        <v>71</v>
      </c>
      <c r="B1937" s="10" t="s">
        <v>2257</v>
      </c>
      <c r="C1937" s="10">
        <v>7186</v>
      </c>
      <c r="D1937" s="10" t="s">
        <v>2290</v>
      </c>
      <c r="E1937" s="11">
        <v>2949</v>
      </c>
      <c r="F1937" s="11">
        <v>3246</v>
      </c>
      <c r="G1937" s="11">
        <v>6195</v>
      </c>
      <c r="H1937" s="11">
        <v>2327</v>
      </c>
    </row>
    <row r="1938" spans="1:8" x14ac:dyDescent="0.2">
      <c r="A1938" s="10">
        <v>71</v>
      </c>
      <c r="B1938" s="10" t="s">
        <v>2257</v>
      </c>
      <c r="C1938" s="10">
        <v>7187</v>
      </c>
      <c r="D1938" s="10" t="s">
        <v>2291</v>
      </c>
      <c r="E1938" s="11">
        <v>4259</v>
      </c>
      <c r="F1938" s="11">
        <v>4625</v>
      </c>
      <c r="G1938" s="11">
        <v>8884</v>
      </c>
      <c r="H1938" s="11">
        <v>4014</v>
      </c>
    </row>
    <row r="1939" spans="1:8" x14ac:dyDescent="0.2">
      <c r="A1939" s="10">
        <v>71</v>
      </c>
      <c r="B1939" s="10" t="s">
        <v>2257</v>
      </c>
      <c r="C1939" s="10">
        <v>7188</v>
      </c>
      <c r="D1939" s="10" t="s">
        <v>2292</v>
      </c>
      <c r="E1939" s="11">
        <v>3713</v>
      </c>
      <c r="F1939" s="11">
        <v>4314</v>
      </c>
      <c r="G1939" s="11">
        <v>8027</v>
      </c>
      <c r="H1939" s="11">
        <v>4803</v>
      </c>
    </row>
    <row r="1940" spans="1:8" x14ac:dyDescent="0.2">
      <c r="A1940" s="10">
        <v>71</v>
      </c>
      <c r="B1940" s="10" t="s">
        <v>2257</v>
      </c>
      <c r="C1940" s="10">
        <v>7189</v>
      </c>
      <c r="D1940" s="10" t="s">
        <v>2293</v>
      </c>
      <c r="E1940" s="11">
        <v>1526</v>
      </c>
      <c r="F1940" s="11">
        <v>1779</v>
      </c>
      <c r="G1940" s="11">
        <v>3305</v>
      </c>
      <c r="H1940" s="11">
        <v>1530</v>
      </c>
    </row>
    <row r="1941" spans="1:8" x14ac:dyDescent="0.2">
      <c r="A1941" s="10">
        <v>71</v>
      </c>
      <c r="B1941" s="10" t="s">
        <v>2257</v>
      </c>
      <c r="C1941" s="10">
        <v>7190</v>
      </c>
      <c r="D1941" s="10" t="s">
        <v>2294</v>
      </c>
      <c r="E1941" s="10">
        <v>482</v>
      </c>
      <c r="F1941" s="10">
        <v>531</v>
      </c>
      <c r="G1941" s="11">
        <v>1013</v>
      </c>
      <c r="H1941" s="10">
        <v>727</v>
      </c>
    </row>
    <row r="1942" spans="1:8" x14ac:dyDescent="0.2">
      <c r="A1942" s="10">
        <v>71</v>
      </c>
      <c r="B1942" s="10" t="s">
        <v>2257</v>
      </c>
      <c r="C1942" s="10">
        <v>7191</v>
      </c>
      <c r="D1942" s="10" t="s">
        <v>2295</v>
      </c>
      <c r="E1942" s="11">
        <v>1042</v>
      </c>
      <c r="F1942" s="11">
        <v>1113</v>
      </c>
      <c r="G1942" s="11">
        <v>2155</v>
      </c>
      <c r="H1942" s="10">
        <v>856</v>
      </c>
    </row>
    <row r="1943" spans="1:8" x14ac:dyDescent="0.2">
      <c r="A1943" s="10">
        <v>71</v>
      </c>
      <c r="B1943" s="10" t="s">
        <v>2257</v>
      </c>
      <c r="C1943" s="10">
        <v>7192</v>
      </c>
      <c r="D1943" s="10" t="s">
        <v>774</v>
      </c>
      <c r="E1943" s="11">
        <v>3327</v>
      </c>
      <c r="F1943" s="11">
        <v>3365</v>
      </c>
      <c r="G1943" s="11">
        <v>6692</v>
      </c>
      <c r="H1943" s="11">
        <v>2844</v>
      </c>
    </row>
    <row r="1944" spans="1:8" x14ac:dyDescent="0.2">
      <c r="A1944" s="10">
        <v>71</v>
      </c>
      <c r="B1944" s="10" t="s">
        <v>2257</v>
      </c>
      <c r="C1944" s="10">
        <v>7193</v>
      </c>
      <c r="D1944" s="10" t="s">
        <v>2296</v>
      </c>
      <c r="E1944" s="11">
        <v>1069</v>
      </c>
      <c r="F1944" s="11">
        <v>1051</v>
      </c>
      <c r="G1944" s="11">
        <v>2120</v>
      </c>
      <c r="H1944" s="10">
        <v>925</v>
      </c>
    </row>
    <row r="1945" spans="1:8" x14ac:dyDescent="0.2">
      <c r="A1945" s="10">
        <v>71</v>
      </c>
      <c r="B1945" s="10" t="s">
        <v>2257</v>
      </c>
      <c r="C1945" s="10">
        <v>7194</v>
      </c>
      <c r="D1945" s="10" t="s">
        <v>2297</v>
      </c>
      <c r="E1945" s="11">
        <v>1933</v>
      </c>
      <c r="F1945" s="11">
        <v>1981</v>
      </c>
      <c r="G1945" s="11">
        <v>3914</v>
      </c>
      <c r="H1945" s="11">
        <v>1726</v>
      </c>
    </row>
    <row r="1946" spans="1:8" x14ac:dyDescent="0.2">
      <c r="A1946" s="10">
        <v>71</v>
      </c>
      <c r="B1946" s="10" t="s">
        <v>2257</v>
      </c>
      <c r="C1946" s="10">
        <v>7195</v>
      </c>
      <c r="D1946" s="10" t="s">
        <v>754</v>
      </c>
      <c r="E1946" s="11">
        <v>3355</v>
      </c>
      <c r="F1946" s="11">
        <v>3765</v>
      </c>
      <c r="G1946" s="11">
        <v>7120</v>
      </c>
      <c r="H1946" s="11">
        <v>3399</v>
      </c>
    </row>
    <row r="1947" spans="1:8" x14ac:dyDescent="0.2">
      <c r="A1947" s="10">
        <v>71</v>
      </c>
      <c r="B1947" s="10" t="s">
        <v>2257</v>
      </c>
      <c r="C1947" s="10">
        <v>7196</v>
      </c>
      <c r="D1947" s="10" t="s">
        <v>2298</v>
      </c>
      <c r="E1947" s="11">
        <v>2599</v>
      </c>
      <c r="F1947" s="11">
        <v>2814</v>
      </c>
      <c r="G1947" s="11">
        <v>5413</v>
      </c>
      <c r="H1947" s="11">
        <v>2480</v>
      </c>
    </row>
    <row r="1948" spans="1:8" x14ac:dyDescent="0.2">
      <c r="A1948" s="10">
        <v>71</v>
      </c>
      <c r="B1948" s="10" t="s">
        <v>2257</v>
      </c>
      <c r="C1948" s="10">
        <v>7197</v>
      </c>
      <c r="D1948" s="10" t="s">
        <v>2299</v>
      </c>
      <c r="E1948" s="11">
        <v>3029</v>
      </c>
      <c r="F1948" s="11">
        <v>3428</v>
      </c>
      <c r="G1948" s="11">
        <v>6457</v>
      </c>
      <c r="H1948" s="11">
        <v>3967</v>
      </c>
    </row>
    <row r="1949" spans="1:8" x14ac:dyDescent="0.2">
      <c r="A1949" s="10">
        <v>71</v>
      </c>
      <c r="B1949" s="10" t="s">
        <v>2257</v>
      </c>
      <c r="C1949" s="10">
        <v>7198</v>
      </c>
      <c r="D1949" s="10" t="s">
        <v>2300</v>
      </c>
      <c r="E1949" s="11">
        <v>4904</v>
      </c>
      <c r="F1949" s="11">
        <v>5453</v>
      </c>
      <c r="G1949" s="11">
        <v>10357</v>
      </c>
      <c r="H1949" s="11">
        <v>5177</v>
      </c>
    </row>
    <row r="1950" spans="1:8" x14ac:dyDescent="0.2">
      <c r="A1950" s="10">
        <v>71</v>
      </c>
      <c r="B1950" s="10" t="s">
        <v>2257</v>
      </c>
      <c r="C1950" s="10">
        <v>7199</v>
      </c>
      <c r="D1950" s="10" t="s">
        <v>2301</v>
      </c>
      <c r="E1950" s="11">
        <v>11489</v>
      </c>
      <c r="F1950" s="11">
        <v>13135</v>
      </c>
      <c r="G1950" s="11">
        <v>24624</v>
      </c>
      <c r="H1950" s="11">
        <v>16184</v>
      </c>
    </row>
    <row r="1951" spans="1:8" x14ac:dyDescent="0.2">
      <c r="A1951" s="10">
        <v>72</v>
      </c>
      <c r="B1951" s="10" t="s">
        <v>2302</v>
      </c>
      <c r="C1951" s="10">
        <v>7201</v>
      </c>
      <c r="D1951" s="10" t="s">
        <v>2303</v>
      </c>
      <c r="E1951" s="11">
        <v>50456</v>
      </c>
      <c r="F1951" s="11">
        <v>56290</v>
      </c>
      <c r="G1951" s="11">
        <v>106746</v>
      </c>
      <c r="H1951" s="11">
        <v>40705</v>
      </c>
    </row>
    <row r="1952" spans="1:8" x14ac:dyDescent="0.2">
      <c r="A1952" s="10">
        <v>72</v>
      </c>
      <c r="B1952" s="10" t="s">
        <v>2302</v>
      </c>
      <c r="C1952" s="10">
        <v>7202</v>
      </c>
      <c r="D1952" s="10" t="s">
        <v>2304</v>
      </c>
      <c r="E1952" s="11">
        <v>19559</v>
      </c>
      <c r="F1952" s="11">
        <v>20966</v>
      </c>
      <c r="G1952" s="11">
        <v>40525</v>
      </c>
      <c r="H1952" s="11">
        <v>15842</v>
      </c>
    </row>
    <row r="1953" spans="1:8" x14ac:dyDescent="0.2">
      <c r="A1953" s="10">
        <v>72</v>
      </c>
      <c r="B1953" s="10" t="s">
        <v>2302</v>
      </c>
      <c r="C1953" s="10">
        <v>7203</v>
      </c>
      <c r="D1953" s="10" t="s">
        <v>2305</v>
      </c>
      <c r="E1953" s="11">
        <v>30223</v>
      </c>
      <c r="F1953" s="11">
        <v>30947</v>
      </c>
      <c r="G1953" s="11">
        <v>61170</v>
      </c>
      <c r="H1953" s="11">
        <v>24388</v>
      </c>
    </row>
    <row r="1954" spans="1:8" x14ac:dyDescent="0.2">
      <c r="A1954" s="10">
        <v>72</v>
      </c>
      <c r="B1954" s="10" t="s">
        <v>2302</v>
      </c>
      <c r="C1954" s="10">
        <v>7204</v>
      </c>
      <c r="D1954" s="10" t="s">
        <v>2306</v>
      </c>
      <c r="E1954" s="11">
        <v>27813</v>
      </c>
      <c r="F1954" s="11">
        <v>29197</v>
      </c>
      <c r="G1954" s="11">
        <v>57010</v>
      </c>
      <c r="H1954" s="11">
        <v>20334</v>
      </c>
    </row>
    <row r="1955" spans="1:8" x14ac:dyDescent="0.2">
      <c r="A1955" s="10">
        <v>72</v>
      </c>
      <c r="B1955" s="10" t="s">
        <v>2302</v>
      </c>
      <c r="C1955" s="10">
        <v>7205</v>
      </c>
      <c r="D1955" s="10" t="s">
        <v>2307</v>
      </c>
      <c r="E1955" s="11">
        <v>18804</v>
      </c>
      <c r="F1955" s="11">
        <v>20602</v>
      </c>
      <c r="G1955" s="11">
        <v>39406</v>
      </c>
      <c r="H1955" s="11">
        <v>15689</v>
      </c>
    </row>
    <row r="1956" spans="1:8" x14ac:dyDescent="0.2">
      <c r="A1956" s="10">
        <v>72</v>
      </c>
      <c r="B1956" s="10" t="s">
        <v>2302</v>
      </c>
      <c r="C1956" s="10">
        <v>7206</v>
      </c>
      <c r="D1956" s="10" t="s">
        <v>2308</v>
      </c>
      <c r="E1956" s="11">
        <v>19315</v>
      </c>
      <c r="F1956" s="11">
        <v>20878</v>
      </c>
      <c r="G1956" s="11">
        <v>40193</v>
      </c>
      <c r="H1956" s="11">
        <v>15607</v>
      </c>
    </row>
    <row r="1957" spans="1:8" x14ac:dyDescent="0.2">
      <c r="A1957" s="10">
        <v>72</v>
      </c>
      <c r="B1957" s="10" t="s">
        <v>2302</v>
      </c>
      <c r="C1957" s="10">
        <v>7207</v>
      </c>
      <c r="D1957" s="10" t="s">
        <v>2309</v>
      </c>
      <c r="E1957" s="11">
        <v>53361</v>
      </c>
      <c r="F1957" s="11">
        <v>55629</v>
      </c>
      <c r="G1957" s="11">
        <v>108990</v>
      </c>
      <c r="H1957" s="11">
        <v>37714</v>
      </c>
    </row>
    <row r="1958" spans="1:8" x14ac:dyDescent="0.2">
      <c r="A1958" s="10">
        <v>72</v>
      </c>
      <c r="B1958" s="10" t="s">
        <v>2302</v>
      </c>
      <c r="C1958" s="10">
        <v>7208</v>
      </c>
      <c r="D1958" s="10" t="s">
        <v>2310</v>
      </c>
      <c r="E1958" s="11">
        <v>18647</v>
      </c>
      <c r="F1958" s="11">
        <v>20253</v>
      </c>
      <c r="G1958" s="11">
        <v>38900</v>
      </c>
      <c r="H1958" s="11">
        <v>15603</v>
      </c>
    </row>
    <row r="1959" spans="1:8" x14ac:dyDescent="0.2">
      <c r="A1959" s="10">
        <v>72</v>
      </c>
      <c r="B1959" s="10" t="s">
        <v>2302</v>
      </c>
      <c r="C1959" s="10">
        <v>7209</v>
      </c>
      <c r="D1959" s="10" t="s">
        <v>2311</v>
      </c>
      <c r="E1959" s="11">
        <v>31338</v>
      </c>
      <c r="F1959" s="11">
        <v>33245</v>
      </c>
      <c r="G1959" s="11">
        <v>64583</v>
      </c>
      <c r="H1959" s="11">
        <v>22947</v>
      </c>
    </row>
    <row r="1960" spans="1:8" x14ac:dyDescent="0.2">
      <c r="A1960" s="10">
        <v>72</v>
      </c>
      <c r="B1960" s="10" t="s">
        <v>2302</v>
      </c>
      <c r="C1960" s="10">
        <v>7210</v>
      </c>
      <c r="D1960" s="10" t="s">
        <v>2312</v>
      </c>
      <c r="E1960" s="11">
        <v>22593</v>
      </c>
      <c r="F1960" s="11">
        <v>23740</v>
      </c>
      <c r="G1960" s="11">
        <v>46333</v>
      </c>
      <c r="H1960" s="11">
        <v>17555</v>
      </c>
    </row>
    <row r="1961" spans="1:8" x14ac:dyDescent="0.2">
      <c r="A1961" s="10">
        <v>72</v>
      </c>
      <c r="B1961" s="10" t="s">
        <v>2302</v>
      </c>
      <c r="C1961" s="10">
        <v>7265</v>
      </c>
      <c r="D1961" s="10" t="s">
        <v>814</v>
      </c>
      <c r="E1961" s="11">
        <v>2099</v>
      </c>
      <c r="F1961" s="11">
        <v>2302</v>
      </c>
      <c r="G1961" s="11">
        <v>4401</v>
      </c>
      <c r="H1961" s="11">
        <v>1828</v>
      </c>
    </row>
    <row r="1962" spans="1:8" x14ac:dyDescent="0.2">
      <c r="A1962" s="10">
        <v>72</v>
      </c>
      <c r="B1962" s="10" t="s">
        <v>2302</v>
      </c>
      <c r="C1962" s="10">
        <v>7266</v>
      </c>
      <c r="D1962" s="10" t="s">
        <v>2313</v>
      </c>
      <c r="E1962" s="11">
        <v>7595</v>
      </c>
      <c r="F1962" s="11">
        <v>8031</v>
      </c>
      <c r="G1962" s="11">
        <v>15626</v>
      </c>
      <c r="H1962" s="11">
        <v>6169</v>
      </c>
    </row>
    <row r="1963" spans="1:8" x14ac:dyDescent="0.2">
      <c r="A1963" s="10">
        <v>72</v>
      </c>
      <c r="B1963" s="10" t="s">
        <v>2302</v>
      </c>
      <c r="C1963" s="10">
        <v>7267</v>
      </c>
      <c r="D1963" s="10" t="s">
        <v>2314</v>
      </c>
      <c r="E1963" s="11">
        <v>3568</v>
      </c>
      <c r="F1963" s="11">
        <v>3733</v>
      </c>
      <c r="G1963" s="11">
        <v>7301</v>
      </c>
      <c r="H1963" s="11">
        <v>2042</v>
      </c>
    </row>
    <row r="1964" spans="1:8" x14ac:dyDescent="0.2">
      <c r="A1964" s="10">
        <v>72</v>
      </c>
      <c r="B1964" s="10" t="s">
        <v>2302</v>
      </c>
      <c r="C1964" s="10">
        <v>7268</v>
      </c>
      <c r="D1964" s="10" t="s">
        <v>2315</v>
      </c>
      <c r="E1964" s="11">
        <v>4428</v>
      </c>
      <c r="F1964" s="11">
        <v>4535</v>
      </c>
      <c r="G1964" s="11">
        <v>8963</v>
      </c>
      <c r="H1964" s="11">
        <v>3526</v>
      </c>
    </row>
    <row r="1965" spans="1:8" x14ac:dyDescent="0.2">
      <c r="A1965" s="10">
        <v>72</v>
      </c>
      <c r="B1965" s="10" t="s">
        <v>2302</v>
      </c>
      <c r="C1965" s="10">
        <v>7269</v>
      </c>
      <c r="D1965" s="10" t="s">
        <v>2316</v>
      </c>
      <c r="E1965" s="11">
        <v>3097</v>
      </c>
      <c r="F1965" s="11">
        <v>3544</v>
      </c>
      <c r="G1965" s="11">
        <v>6641</v>
      </c>
      <c r="H1965" s="11">
        <v>2939</v>
      </c>
    </row>
    <row r="1966" spans="1:8" x14ac:dyDescent="0.2">
      <c r="A1966" s="10">
        <v>72</v>
      </c>
      <c r="B1966" s="10" t="s">
        <v>2302</v>
      </c>
      <c r="C1966" s="10">
        <v>7270</v>
      </c>
      <c r="D1966" s="10" t="s">
        <v>2317</v>
      </c>
      <c r="E1966" s="10">
        <v>900</v>
      </c>
      <c r="F1966" s="10">
        <v>961</v>
      </c>
      <c r="G1966" s="11">
        <v>1861</v>
      </c>
      <c r="H1966" s="10">
        <v>599</v>
      </c>
    </row>
    <row r="1967" spans="1:8" x14ac:dyDescent="0.2">
      <c r="A1967" s="10">
        <v>72</v>
      </c>
      <c r="B1967" s="10" t="s">
        <v>2302</v>
      </c>
      <c r="C1967" s="10">
        <v>7271</v>
      </c>
      <c r="D1967" s="10" t="s">
        <v>2318</v>
      </c>
      <c r="E1967" s="11">
        <v>4251</v>
      </c>
      <c r="F1967" s="11">
        <v>5046</v>
      </c>
      <c r="G1967" s="11">
        <v>9297</v>
      </c>
      <c r="H1967" s="11">
        <v>5656</v>
      </c>
    </row>
    <row r="1968" spans="1:8" x14ac:dyDescent="0.2">
      <c r="A1968" s="10">
        <v>72</v>
      </c>
      <c r="B1968" s="10" t="s">
        <v>2302</v>
      </c>
      <c r="C1968" s="10">
        <v>7272</v>
      </c>
      <c r="D1968" s="10" t="s">
        <v>2319</v>
      </c>
      <c r="E1968" s="11">
        <v>2600</v>
      </c>
      <c r="F1968" s="11">
        <v>2798</v>
      </c>
      <c r="G1968" s="11">
        <v>5398</v>
      </c>
      <c r="H1968" s="11">
        <v>1981</v>
      </c>
    </row>
    <row r="1969" spans="1:8" x14ac:dyDescent="0.2">
      <c r="A1969" s="10">
        <v>72</v>
      </c>
      <c r="B1969" s="10" t="s">
        <v>2302</v>
      </c>
      <c r="C1969" s="10">
        <v>7273</v>
      </c>
      <c r="D1969" s="10" t="s">
        <v>2320</v>
      </c>
      <c r="E1969" s="11">
        <v>3612</v>
      </c>
      <c r="F1969" s="11">
        <v>3847</v>
      </c>
      <c r="G1969" s="11">
        <v>7459</v>
      </c>
      <c r="H1969" s="11">
        <v>2116</v>
      </c>
    </row>
    <row r="1970" spans="1:8" x14ac:dyDescent="0.2">
      <c r="A1970" s="10">
        <v>72</v>
      </c>
      <c r="B1970" s="10" t="s">
        <v>2302</v>
      </c>
      <c r="C1970" s="10">
        <v>7274</v>
      </c>
      <c r="D1970" s="10" t="s">
        <v>2321</v>
      </c>
      <c r="E1970" s="11">
        <v>2532</v>
      </c>
      <c r="F1970" s="11">
        <v>2756</v>
      </c>
      <c r="G1970" s="11">
        <v>5288</v>
      </c>
      <c r="H1970" s="11">
        <v>2107</v>
      </c>
    </row>
    <row r="1971" spans="1:8" x14ac:dyDescent="0.2">
      <c r="A1971" s="10">
        <v>72</v>
      </c>
      <c r="B1971" s="10" t="s">
        <v>2302</v>
      </c>
      <c r="C1971" s="10">
        <v>7275</v>
      </c>
      <c r="D1971" s="10" t="s">
        <v>2322</v>
      </c>
      <c r="E1971" s="11">
        <v>3878</v>
      </c>
      <c r="F1971" s="11">
        <v>4244</v>
      </c>
      <c r="G1971" s="11">
        <v>8122</v>
      </c>
      <c r="H1971" s="11">
        <v>2994</v>
      </c>
    </row>
    <row r="1972" spans="1:8" x14ac:dyDescent="0.2">
      <c r="A1972" s="10">
        <v>72</v>
      </c>
      <c r="B1972" s="10" t="s">
        <v>2302</v>
      </c>
      <c r="C1972" s="10">
        <v>7276</v>
      </c>
      <c r="D1972" s="10" t="s">
        <v>2323</v>
      </c>
      <c r="E1972" s="11">
        <v>2617</v>
      </c>
      <c r="F1972" s="11">
        <v>2662</v>
      </c>
      <c r="G1972" s="11">
        <v>5279</v>
      </c>
      <c r="H1972" s="11">
        <v>1991</v>
      </c>
    </row>
    <row r="1973" spans="1:8" x14ac:dyDescent="0.2">
      <c r="A1973" s="10">
        <v>72</v>
      </c>
      <c r="B1973" s="10" t="s">
        <v>2302</v>
      </c>
      <c r="C1973" s="10">
        <v>7277</v>
      </c>
      <c r="D1973" s="10" t="s">
        <v>2057</v>
      </c>
      <c r="E1973" s="11">
        <v>3209</v>
      </c>
      <c r="F1973" s="11">
        <v>3568</v>
      </c>
      <c r="G1973" s="11">
        <v>6777</v>
      </c>
      <c r="H1973" s="11">
        <v>2877</v>
      </c>
    </row>
    <row r="1974" spans="1:8" x14ac:dyDescent="0.2">
      <c r="A1974" s="10">
        <v>72</v>
      </c>
      <c r="B1974" s="10" t="s">
        <v>2302</v>
      </c>
      <c r="C1974" s="10">
        <v>7278</v>
      </c>
      <c r="D1974" s="10" t="s">
        <v>2324</v>
      </c>
      <c r="E1974" s="11">
        <v>2896</v>
      </c>
      <c r="F1974" s="11">
        <v>3082</v>
      </c>
      <c r="G1974" s="11">
        <v>5978</v>
      </c>
      <c r="H1974" s="11">
        <v>2140</v>
      </c>
    </row>
    <row r="1975" spans="1:8" x14ac:dyDescent="0.2">
      <c r="A1975" s="10">
        <v>72</v>
      </c>
      <c r="B1975" s="10" t="s">
        <v>2302</v>
      </c>
      <c r="C1975" s="10">
        <v>7279</v>
      </c>
      <c r="D1975" s="10" t="s">
        <v>2325</v>
      </c>
      <c r="E1975" s="11">
        <v>1103</v>
      </c>
      <c r="F1975" s="11">
        <v>1257</v>
      </c>
      <c r="G1975" s="11">
        <v>2360</v>
      </c>
      <c r="H1975" s="11">
        <v>1166</v>
      </c>
    </row>
    <row r="1976" spans="1:8" x14ac:dyDescent="0.2">
      <c r="A1976" s="10">
        <v>72</v>
      </c>
      <c r="B1976" s="10" t="s">
        <v>2302</v>
      </c>
      <c r="C1976" s="10">
        <v>7280</v>
      </c>
      <c r="D1976" s="10" t="s">
        <v>2326</v>
      </c>
      <c r="E1976" s="11">
        <v>3414</v>
      </c>
      <c r="F1976" s="11">
        <v>3839</v>
      </c>
      <c r="G1976" s="11">
        <v>7253</v>
      </c>
      <c r="H1976" s="11">
        <v>3699</v>
      </c>
    </row>
    <row r="1977" spans="1:8" x14ac:dyDescent="0.2">
      <c r="A1977" s="10">
        <v>72</v>
      </c>
      <c r="B1977" s="10" t="s">
        <v>2302</v>
      </c>
      <c r="C1977" s="10">
        <v>7281</v>
      </c>
      <c r="D1977" s="10" t="s">
        <v>2327</v>
      </c>
      <c r="E1977" s="11">
        <v>1280</v>
      </c>
      <c r="F1977" s="11">
        <v>1440</v>
      </c>
      <c r="G1977" s="11">
        <v>2720</v>
      </c>
      <c r="H1977" s="11">
        <v>1083</v>
      </c>
    </row>
    <row r="1978" spans="1:8" x14ac:dyDescent="0.2">
      <c r="A1978" s="10">
        <v>72</v>
      </c>
      <c r="B1978" s="10" t="s">
        <v>2302</v>
      </c>
      <c r="C1978" s="10">
        <v>7282</v>
      </c>
      <c r="D1978" s="10" t="s">
        <v>2328</v>
      </c>
      <c r="E1978" s="11">
        <v>5723</v>
      </c>
      <c r="F1978" s="11">
        <v>6521</v>
      </c>
      <c r="G1978" s="11">
        <v>12244</v>
      </c>
      <c r="H1978" s="11">
        <v>6947</v>
      </c>
    </row>
    <row r="1979" spans="1:8" x14ac:dyDescent="0.2">
      <c r="A1979" s="10">
        <v>72</v>
      </c>
      <c r="B1979" s="10" t="s">
        <v>2302</v>
      </c>
      <c r="C1979" s="10">
        <v>7283</v>
      </c>
      <c r="D1979" s="10" t="s">
        <v>2329</v>
      </c>
      <c r="E1979" s="11">
        <v>1507</v>
      </c>
      <c r="F1979" s="11">
        <v>1770</v>
      </c>
      <c r="G1979" s="11">
        <v>3277</v>
      </c>
      <c r="H1979" s="11">
        <v>1336</v>
      </c>
    </row>
    <row r="1980" spans="1:8" x14ac:dyDescent="0.2">
      <c r="A1980" s="10">
        <v>72</v>
      </c>
      <c r="B1980" s="10" t="s">
        <v>2302</v>
      </c>
      <c r="C1980" s="10">
        <v>7284</v>
      </c>
      <c r="D1980" s="10" t="s">
        <v>2330</v>
      </c>
      <c r="E1980" s="11">
        <v>1187</v>
      </c>
      <c r="F1980" s="11">
        <v>1160</v>
      </c>
      <c r="G1980" s="11">
        <v>2347</v>
      </c>
      <c r="H1980" s="11">
        <v>1074</v>
      </c>
    </row>
    <row r="1981" spans="1:8" x14ac:dyDescent="0.2">
      <c r="A1981" s="10">
        <v>72</v>
      </c>
      <c r="B1981" s="10" t="s">
        <v>2302</v>
      </c>
      <c r="C1981" s="10">
        <v>7285</v>
      </c>
      <c r="D1981" s="10" t="s">
        <v>2331</v>
      </c>
      <c r="E1981" s="11">
        <v>1370</v>
      </c>
      <c r="F1981" s="11">
        <v>1487</v>
      </c>
      <c r="G1981" s="11">
        <v>2857</v>
      </c>
      <c r="H1981" s="11">
        <v>1425</v>
      </c>
    </row>
    <row r="1982" spans="1:8" x14ac:dyDescent="0.2">
      <c r="A1982" s="10">
        <v>72</v>
      </c>
      <c r="B1982" s="10" t="s">
        <v>2302</v>
      </c>
      <c r="C1982" s="10">
        <v>7286</v>
      </c>
      <c r="D1982" s="10" t="s">
        <v>2332</v>
      </c>
      <c r="E1982" s="11">
        <v>2557</v>
      </c>
      <c r="F1982" s="11">
        <v>2878</v>
      </c>
      <c r="G1982" s="11">
        <v>5435</v>
      </c>
      <c r="H1982" s="11">
        <v>2699</v>
      </c>
    </row>
    <row r="1983" spans="1:8" x14ac:dyDescent="0.2">
      <c r="A1983" s="10">
        <v>72</v>
      </c>
      <c r="B1983" s="10" t="s">
        <v>2302</v>
      </c>
      <c r="C1983" s="10">
        <v>7287</v>
      </c>
      <c r="D1983" s="10" t="s">
        <v>2333</v>
      </c>
      <c r="E1983" s="10">
        <v>808</v>
      </c>
      <c r="F1983" s="10">
        <v>861</v>
      </c>
      <c r="G1983" s="11">
        <v>1669</v>
      </c>
      <c r="H1983" s="10">
        <v>619</v>
      </c>
    </row>
    <row r="1984" spans="1:8" x14ac:dyDescent="0.2">
      <c r="A1984" s="10">
        <v>72</v>
      </c>
      <c r="B1984" s="10" t="s">
        <v>2302</v>
      </c>
      <c r="C1984" s="10">
        <v>7288</v>
      </c>
      <c r="D1984" s="10" t="s">
        <v>2334</v>
      </c>
      <c r="E1984" s="10">
        <v>571</v>
      </c>
      <c r="F1984" s="10">
        <v>569</v>
      </c>
      <c r="G1984" s="11">
        <v>1140</v>
      </c>
      <c r="H1984" s="10">
        <v>461</v>
      </c>
    </row>
    <row r="1985" spans="1:8" x14ac:dyDescent="0.2">
      <c r="A1985" s="10">
        <v>72</v>
      </c>
      <c r="B1985" s="10" t="s">
        <v>2302</v>
      </c>
      <c r="C1985" s="10">
        <v>7289</v>
      </c>
      <c r="D1985" s="10" t="s">
        <v>2335</v>
      </c>
      <c r="E1985" s="10">
        <v>880</v>
      </c>
      <c r="F1985" s="10">
        <v>913</v>
      </c>
      <c r="G1985" s="11">
        <v>1793</v>
      </c>
      <c r="H1985" s="10">
        <v>693</v>
      </c>
    </row>
    <row r="1986" spans="1:8" x14ac:dyDescent="0.2">
      <c r="A1986" s="10">
        <v>72</v>
      </c>
      <c r="B1986" s="10" t="s">
        <v>2302</v>
      </c>
      <c r="C1986" s="10">
        <v>7290</v>
      </c>
      <c r="D1986" s="10" t="s">
        <v>2336</v>
      </c>
      <c r="E1986" s="10">
        <v>709</v>
      </c>
      <c r="F1986" s="10">
        <v>758</v>
      </c>
      <c r="G1986" s="11">
        <v>1467</v>
      </c>
      <c r="H1986" s="10">
        <v>902</v>
      </c>
    </row>
    <row r="1987" spans="1:8" x14ac:dyDescent="0.2">
      <c r="A1987" s="10">
        <v>72</v>
      </c>
      <c r="B1987" s="10" t="s">
        <v>2302</v>
      </c>
      <c r="C1987" s="10">
        <v>7291</v>
      </c>
      <c r="D1987" s="10" t="s">
        <v>2337</v>
      </c>
      <c r="E1987" s="11">
        <v>2592</v>
      </c>
      <c r="F1987" s="11">
        <v>2956</v>
      </c>
      <c r="G1987" s="11">
        <v>5548</v>
      </c>
      <c r="H1987" s="11">
        <v>3456</v>
      </c>
    </row>
    <row r="1988" spans="1:8" x14ac:dyDescent="0.2">
      <c r="A1988" s="10">
        <v>72</v>
      </c>
      <c r="B1988" s="10" t="s">
        <v>2302</v>
      </c>
      <c r="C1988" s="10">
        <v>7292</v>
      </c>
      <c r="D1988" s="10" t="s">
        <v>2338</v>
      </c>
      <c r="E1988" s="10">
        <v>892</v>
      </c>
      <c r="F1988" s="11">
        <v>1031</v>
      </c>
      <c r="G1988" s="11">
        <v>1923</v>
      </c>
      <c r="H1988" s="10">
        <v>788</v>
      </c>
    </row>
    <row r="1989" spans="1:8" x14ac:dyDescent="0.2">
      <c r="A1989" s="10">
        <v>72</v>
      </c>
      <c r="B1989" s="10" t="s">
        <v>2302</v>
      </c>
      <c r="C1989" s="10">
        <v>7293</v>
      </c>
      <c r="D1989" s="10" t="s">
        <v>2339</v>
      </c>
      <c r="E1989" s="11">
        <v>2030</v>
      </c>
      <c r="F1989" s="11">
        <v>2156</v>
      </c>
      <c r="G1989" s="11">
        <v>4186</v>
      </c>
      <c r="H1989" s="11">
        <v>1721</v>
      </c>
    </row>
    <row r="1990" spans="1:8" x14ac:dyDescent="0.2">
      <c r="A1990" s="10">
        <v>72</v>
      </c>
      <c r="B1990" s="10" t="s">
        <v>2302</v>
      </c>
      <c r="C1990" s="10">
        <v>7294</v>
      </c>
      <c r="D1990" s="10" t="s">
        <v>2340</v>
      </c>
      <c r="E1990" s="11">
        <v>2495</v>
      </c>
      <c r="F1990" s="11">
        <v>2918</v>
      </c>
      <c r="G1990" s="11">
        <v>5413</v>
      </c>
      <c r="H1990" s="11">
        <v>3334</v>
      </c>
    </row>
    <row r="1991" spans="1:8" x14ac:dyDescent="0.2">
      <c r="A1991" s="10">
        <v>72</v>
      </c>
      <c r="B1991" s="10" t="s">
        <v>2302</v>
      </c>
      <c r="C1991" s="10">
        <v>7295</v>
      </c>
      <c r="D1991" s="10" t="s">
        <v>2341</v>
      </c>
      <c r="E1991" s="11">
        <v>3051</v>
      </c>
      <c r="F1991" s="11">
        <v>3281</v>
      </c>
      <c r="G1991" s="11">
        <v>6332</v>
      </c>
      <c r="H1991" s="11">
        <v>2387</v>
      </c>
    </row>
    <row r="1992" spans="1:8" x14ac:dyDescent="0.2">
      <c r="A1992" s="10">
        <v>72</v>
      </c>
      <c r="B1992" s="10" t="s">
        <v>2302</v>
      </c>
      <c r="C1992" s="10">
        <v>7296</v>
      </c>
      <c r="D1992" s="10" t="s">
        <v>2342</v>
      </c>
      <c r="E1992" s="11">
        <v>1465</v>
      </c>
      <c r="F1992" s="11">
        <v>1820</v>
      </c>
      <c r="G1992" s="11">
        <v>3285</v>
      </c>
      <c r="H1992" s="11">
        <v>1722</v>
      </c>
    </row>
    <row r="1993" spans="1:8" x14ac:dyDescent="0.2">
      <c r="A1993" s="10">
        <v>72</v>
      </c>
      <c r="B1993" s="10" t="s">
        <v>2302</v>
      </c>
      <c r="C1993" s="10">
        <v>7297</v>
      </c>
      <c r="D1993" s="10" t="s">
        <v>2343</v>
      </c>
      <c r="E1993" s="11">
        <v>6583</v>
      </c>
      <c r="F1993" s="11">
        <v>7024</v>
      </c>
      <c r="G1993" s="11">
        <v>13607</v>
      </c>
      <c r="H1993" s="11">
        <v>4599</v>
      </c>
    </row>
    <row r="1994" spans="1:8" x14ac:dyDescent="0.2">
      <c r="A1994" s="10">
        <v>72</v>
      </c>
      <c r="B1994" s="10" t="s">
        <v>2302</v>
      </c>
      <c r="C1994" s="10">
        <v>7298</v>
      </c>
      <c r="D1994" s="10" t="s">
        <v>2344</v>
      </c>
      <c r="E1994" s="11">
        <v>5497</v>
      </c>
      <c r="F1994" s="11">
        <v>6294</v>
      </c>
      <c r="G1994" s="11">
        <v>11791</v>
      </c>
      <c r="H1994" s="11">
        <v>5380</v>
      </c>
    </row>
    <row r="1995" spans="1:8" x14ac:dyDescent="0.2">
      <c r="A1995" s="10">
        <v>72</v>
      </c>
      <c r="B1995" s="10" t="s">
        <v>2302</v>
      </c>
      <c r="C1995" s="10">
        <v>7299</v>
      </c>
      <c r="D1995" s="10" t="s">
        <v>2345</v>
      </c>
      <c r="E1995" s="11">
        <v>10664</v>
      </c>
      <c r="F1995" s="11">
        <v>12653</v>
      </c>
      <c r="G1995" s="11">
        <v>23317</v>
      </c>
      <c r="H1995" s="11">
        <v>13162</v>
      </c>
    </row>
    <row r="1996" spans="1:8" x14ac:dyDescent="0.2">
      <c r="A1996" s="10">
        <v>73</v>
      </c>
      <c r="B1996" s="10" t="s">
        <v>2346</v>
      </c>
      <c r="C1996" s="10">
        <v>7301</v>
      </c>
      <c r="D1996" s="10" t="s">
        <v>2347</v>
      </c>
      <c r="E1996" s="11">
        <v>84488</v>
      </c>
      <c r="F1996" s="11">
        <v>92481</v>
      </c>
      <c r="G1996" s="11">
        <v>176969</v>
      </c>
      <c r="H1996" s="11">
        <v>72539</v>
      </c>
    </row>
    <row r="1997" spans="1:8" x14ac:dyDescent="0.2">
      <c r="A1997" s="10">
        <v>73</v>
      </c>
      <c r="B1997" s="10" t="s">
        <v>2346</v>
      </c>
      <c r="C1997" s="10">
        <v>7302</v>
      </c>
      <c r="D1997" s="10" t="s">
        <v>2348</v>
      </c>
      <c r="E1997" s="11">
        <v>57664</v>
      </c>
      <c r="F1997" s="11">
        <v>60873</v>
      </c>
      <c r="G1997" s="11">
        <v>118537</v>
      </c>
      <c r="H1997" s="11">
        <v>42452</v>
      </c>
    </row>
    <row r="1998" spans="1:8" x14ac:dyDescent="0.2">
      <c r="A1998" s="10">
        <v>73</v>
      </c>
      <c r="B1998" s="10" t="s">
        <v>2346</v>
      </c>
      <c r="C1998" s="10">
        <v>7303</v>
      </c>
      <c r="D1998" s="10" t="s">
        <v>2349</v>
      </c>
      <c r="E1998" s="11">
        <v>48155</v>
      </c>
      <c r="F1998" s="11">
        <v>53201</v>
      </c>
      <c r="G1998" s="11">
        <v>101356</v>
      </c>
      <c r="H1998" s="11">
        <v>41862</v>
      </c>
    </row>
    <row r="1999" spans="1:8" x14ac:dyDescent="0.2">
      <c r="A1999" s="10">
        <v>73</v>
      </c>
      <c r="B1999" s="10" t="s">
        <v>2346</v>
      </c>
      <c r="C1999" s="10">
        <v>7304</v>
      </c>
      <c r="D1999" s="10" t="s">
        <v>2350</v>
      </c>
      <c r="E1999" s="11">
        <v>17445</v>
      </c>
      <c r="F1999" s="11">
        <v>18389</v>
      </c>
      <c r="G1999" s="11">
        <v>35834</v>
      </c>
      <c r="H1999" s="11">
        <v>11946</v>
      </c>
    </row>
    <row r="2000" spans="1:8" x14ac:dyDescent="0.2">
      <c r="A2000" s="10">
        <v>73</v>
      </c>
      <c r="B2000" s="10" t="s">
        <v>2346</v>
      </c>
      <c r="C2000" s="10">
        <v>7305</v>
      </c>
      <c r="D2000" s="10" t="s">
        <v>2351</v>
      </c>
      <c r="E2000" s="11">
        <v>39587</v>
      </c>
      <c r="F2000" s="11">
        <v>40747</v>
      </c>
      <c r="G2000" s="11">
        <v>80334</v>
      </c>
      <c r="H2000" s="11">
        <v>31433</v>
      </c>
    </row>
    <row r="2001" spans="1:8" x14ac:dyDescent="0.2">
      <c r="A2001" s="10">
        <v>73</v>
      </c>
      <c r="B2001" s="10" t="s">
        <v>2346</v>
      </c>
      <c r="C2001" s="10">
        <v>7306</v>
      </c>
      <c r="D2001" s="10" t="s">
        <v>2352</v>
      </c>
      <c r="E2001" s="11">
        <v>47571</v>
      </c>
      <c r="F2001" s="11">
        <v>52910</v>
      </c>
      <c r="G2001" s="11">
        <v>100481</v>
      </c>
      <c r="H2001" s="11">
        <v>52185</v>
      </c>
    </row>
    <row r="2002" spans="1:8" x14ac:dyDescent="0.2">
      <c r="A2002" s="10">
        <v>73</v>
      </c>
      <c r="B2002" s="10" t="s">
        <v>2346</v>
      </c>
      <c r="C2002" s="10">
        <v>7307</v>
      </c>
      <c r="D2002" s="10" t="s">
        <v>2353</v>
      </c>
      <c r="E2002" s="11">
        <v>10584</v>
      </c>
      <c r="F2002" s="11">
        <v>12458</v>
      </c>
      <c r="G2002" s="11">
        <v>23042</v>
      </c>
      <c r="H2002" s="11">
        <v>12471</v>
      </c>
    </row>
    <row r="2003" spans="1:8" x14ac:dyDescent="0.2">
      <c r="A2003" s="10">
        <v>73</v>
      </c>
      <c r="B2003" s="10" t="s">
        <v>2346</v>
      </c>
      <c r="C2003" s="10">
        <v>7380</v>
      </c>
      <c r="D2003" s="10" t="s">
        <v>2354</v>
      </c>
      <c r="E2003" s="11">
        <v>4598</v>
      </c>
      <c r="F2003" s="11">
        <v>5111</v>
      </c>
      <c r="G2003" s="11">
        <v>9709</v>
      </c>
      <c r="H2003" s="11">
        <v>5079</v>
      </c>
    </row>
    <row r="2004" spans="1:8" x14ac:dyDescent="0.2">
      <c r="A2004" s="10">
        <v>73</v>
      </c>
      <c r="B2004" s="10" t="s">
        <v>2346</v>
      </c>
      <c r="C2004" s="10">
        <v>7381</v>
      </c>
      <c r="D2004" s="10" t="s">
        <v>2355</v>
      </c>
      <c r="E2004" s="11">
        <v>7218</v>
      </c>
      <c r="F2004" s="11">
        <v>8384</v>
      </c>
      <c r="G2004" s="11">
        <v>15602</v>
      </c>
      <c r="H2004" s="11">
        <v>9517</v>
      </c>
    </row>
    <row r="2005" spans="1:8" x14ac:dyDescent="0.2">
      <c r="A2005" s="10">
        <v>73</v>
      </c>
      <c r="B2005" s="10" t="s">
        <v>2346</v>
      </c>
      <c r="C2005" s="10">
        <v>7382</v>
      </c>
      <c r="D2005" s="10" t="s">
        <v>2356</v>
      </c>
      <c r="E2005" s="11">
        <v>13578</v>
      </c>
      <c r="F2005" s="11">
        <v>15931</v>
      </c>
      <c r="G2005" s="11">
        <v>29509</v>
      </c>
      <c r="H2005" s="11">
        <v>19092</v>
      </c>
    </row>
    <row r="2006" spans="1:8" x14ac:dyDescent="0.2">
      <c r="A2006" s="10">
        <v>73</v>
      </c>
      <c r="B2006" s="10" t="s">
        <v>2346</v>
      </c>
      <c r="C2006" s="10">
        <v>7383</v>
      </c>
      <c r="D2006" s="10" t="s">
        <v>2357</v>
      </c>
      <c r="E2006" s="11">
        <v>17045</v>
      </c>
      <c r="F2006" s="11">
        <v>19441</v>
      </c>
      <c r="G2006" s="11">
        <v>36486</v>
      </c>
      <c r="H2006" s="11">
        <v>27294</v>
      </c>
    </row>
    <row r="2007" spans="1:8" x14ac:dyDescent="0.2">
      <c r="A2007" s="10">
        <v>73</v>
      </c>
      <c r="B2007" s="10" t="s">
        <v>2346</v>
      </c>
      <c r="C2007" s="10">
        <v>7384</v>
      </c>
      <c r="D2007" s="10" t="s">
        <v>2358</v>
      </c>
      <c r="E2007" s="11">
        <v>5169</v>
      </c>
      <c r="F2007" s="11">
        <v>5783</v>
      </c>
      <c r="G2007" s="11">
        <v>10952</v>
      </c>
      <c r="H2007" s="11">
        <v>4670</v>
      </c>
    </row>
    <row r="2008" spans="1:8" x14ac:dyDescent="0.2">
      <c r="A2008" s="10">
        <v>73</v>
      </c>
      <c r="B2008" s="10" t="s">
        <v>2346</v>
      </c>
      <c r="C2008" s="10">
        <v>7385</v>
      </c>
      <c r="D2008" s="10" t="s">
        <v>2359</v>
      </c>
      <c r="E2008" s="11">
        <v>6551</v>
      </c>
      <c r="F2008" s="11">
        <v>5279</v>
      </c>
      <c r="G2008" s="11">
        <v>11830</v>
      </c>
      <c r="H2008" s="11">
        <v>9858</v>
      </c>
    </row>
    <row r="2009" spans="1:8" x14ac:dyDescent="0.2">
      <c r="A2009" s="10">
        <v>73</v>
      </c>
      <c r="B2009" s="10" t="s">
        <v>2346</v>
      </c>
      <c r="C2009" s="10">
        <v>7386</v>
      </c>
      <c r="D2009" s="10" t="s">
        <v>2360</v>
      </c>
      <c r="E2009" s="11">
        <v>11551</v>
      </c>
      <c r="F2009" s="11">
        <v>12823</v>
      </c>
      <c r="G2009" s="11">
        <v>24374</v>
      </c>
      <c r="H2009" s="11">
        <v>22440</v>
      </c>
    </row>
    <row r="2010" spans="1:8" x14ac:dyDescent="0.2">
      <c r="A2010" s="10">
        <v>73</v>
      </c>
      <c r="B2010" s="10" t="s">
        <v>2346</v>
      </c>
      <c r="C2010" s="10">
        <v>7387</v>
      </c>
      <c r="D2010" s="10" t="s">
        <v>2361</v>
      </c>
      <c r="E2010" s="11">
        <v>8520</v>
      </c>
      <c r="F2010" s="11">
        <v>7587</v>
      </c>
      <c r="G2010" s="11">
        <v>16107</v>
      </c>
      <c r="H2010" s="11">
        <v>9310</v>
      </c>
    </row>
    <row r="2011" spans="1:8" x14ac:dyDescent="0.2">
      <c r="A2011" s="10">
        <v>73</v>
      </c>
      <c r="B2011" s="10" t="s">
        <v>2346</v>
      </c>
      <c r="C2011" s="10">
        <v>7388</v>
      </c>
      <c r="D2011" s="10" t="s">
        <v>2362</v>
      </c>
      <c r="E2011" s="10">
        <v>902</v>
      </c>
      <c r="F2011" s="10">
        <v>977</v>
      </c>
      <c r="G2011" s="11">
        <v>1879</v>
      </c>
      <c r="H2011" s="10">
        <v>665</v>
      </c>
    </row>
    <row r="2012" spans="1:8" x14ac:dyDescent="0.2">
      <c r="A2012" s="10">
        <v>73</v>
      </c>
      <c r="B2012" s="10" t="s">
        <v>2346</v>
      </c>
      <c r="C2012" s="10">
        <v>7389</v>
      </c>
      <c r="D2012" s="10" t="s">
        <v>2363</v>
      </c>
      <c r="E2012" s="10">
        <v>981</v>
      </c>
      <c r="F2012" s="11">
        <v>1024</v>
      </c>
      <c r="G2012" s="11">
        <v>2005</v>
      </c>
      <c r="H2012" s="10">
        <v>753</v>
      </c>
    </row>
    <row r="2013" spans="1:8" x14ac:dyDescent="0.2">
      <c r="A2013" s="10">
        <v>73</v>
      </c>
      <c r="B2013" s="10" t="s">
        <v>2346</v>
      </c>
      <c r="C2013" s="10">
        <v>7390</v>
      </c>
      <c r="D2013" s="10" t="s">
        <v>457</v>
      </c>
      <c r="E2013" s="10">
        <v>976</v>
      </c>
      <c r="F2013" s="11">
        <v>1010</v>
      </c>
      <c r="G2013" s="11">
        <v>1986</v>
      </c>
      <c r="H2013" s="10">
        <v>738</v>
      </c>
    </row>
    <row r="2014" spans="1:8" x14ac:dyDescent="0.2">
      <c r="A2014" s="10">
        <v>73</v>
      </c>
      <c r="B2014" s="10" t="s">
        <v>2346</v>
      </c>
      <c r="C2014" s="10">
        <v>7391</v>
      </c>
      <c r="D2014" s="10" t="s">
        <v>2364</v>
      </c>
      <c r="E2014" s="11">
        <v>4169</v>
      </c>
      <c r="F2014" s="11">
        <v>4205</v>
      </c>
      <c r="G2014" s="11">
        <v>8374</v>
      </c>
      <c r="H2014" s="11">
        <v>4440</v>
      </c>
    </row>
    <row r="2015" spans="1:8" x14ac:dyDescent="0.2">
      <c r="A2015" s="10">
        <v>73</v>
      </c>
      <c r="B2015" s="10" t="s">
        <v>2346</v>
      </c>
      <c r="C2015" s="10">
        <v>7392</v>
      </c>
      <c r="D2015" s="10" t="s">
        <v>2173</v>
      </c>
      <c r="E2015" s="11">
        <v>6636</v>
      </c>
      <c r="F2015" s="11">
        <v>7291</v>
      </c>
      <c r="G2015" s="11">
        <v>13927</v>
      </c>
      <c r="H2015" s="11">
        <v>5216</v>
      </c>
    </row>
    <row r="2016" spans="1:8" x14ac:dyDescent="0.2">
      <c r="A2016" s="10">
        <v>73</v>
      </c>
      <c r="B2016" s="10" t="s">
        <v>2346</v>
      </c>
      <c r="C2016" s="10">
        <v>7393</v>
      </c>
      <c r="D2016" s="10" t="s">
        <v>2365</v>
      </c>
      <c r="E2016" s="11">
        <v>1015</v>
      </c>
      <c r="F2016" s="11">
        <v>1132</v>
      </c>
      <c r="G2016" s="11">
        <v>2147</v>
      </c>
      <c r="H2016" s="10">
        <v>943</v>
      </c>
    </row>
    <row r="2017" spans="1:8" x14ac:dyDescent="0.2">
      <c r="A2017" s="10">
        <v>73</v>
      </c>
      <c r="B2017" s="10" t="s">
        <v>2346</v>
      </c>
      <c r="C2017" s="10">
        <v>7394</v>
      </c>
      <c r="D2017" s="10" t="s">
        <v>2366</v>
      </c>
      <c r="E2017" s="11">
        <v>3573</v>
      </c>
      <c r="F2017" s="11">
        <v>4304</v>
      </c>
      <c r="G2017" s="11">
        <v>7877</v>
      </c>
      <c r="H2017" s="11">
        <v>5210</v>
      </c>
    </row>
    <row r="2018" spans="1:8" x14ac:dyDescent="0.2">
      <c r="A2018" s="10">
        <v>73</v>
      </c>
      <c r="B2018" s="10" t="s">
        <v>2346</v>
      </c>
      <c r="C2018" s="10">
        <v>7395</v>
      </c>
      <c r="D2018" s="10" t="s">
        <v>2367</v>
      </c>
      <c r="E2018" s="11">
        <v>3151</v>
      </c>
      <c r="F2018" s="11">
        <v>3597</v>
      </c>
      <c r="G2018" s="11">
        <v>6748</v>
      </c>
      <c r="H2018" s="11">
        <v>4369</v>
      </c>
    </row>
    <row r="2019" spans="1:8" x14ac:dyDescent="0.2">
      <c r="A2019" s="10">
        <v>73</v>
      </c>
      <c r="B2019" s="10" t="s">
        <v>2346</v>
      </c>
      <c r="C2019" s="10">
        <v>7396</v>
      </c>
      <c r="D2019" s="10" t="s">
        <v>2368</v>
      </c>
      <c r="E2019" s="11">
        <v>5124</v>
      </c>
      <c r="F2019" s="11">
        <v>5668</v>
      </c>
      <c r="G2019" s="11">
        <v>10792</v>
      </c>
      <c r="H2019" s="11">
        <v>4471</v>
      </c>
    </row>
    <row r="2020" spans="1:8" x14ac:dyDescent="0.2">
      <c r="A2020" s="10">
        <v>73</v>
      </c>
      <c r="B2020" s="10" t="s">
        <v>2346</v>
      </c>
      <c r="C2020" s="10">
        <v>7397</v>
      </c>
      <c r="D2020" s="10" t="s">
        <v>2369</v>
      </c>
      <c r="E2020" s="11">
        <v>3218</v>
      </c>
      <c r="F2020" s="11">
        <v>3586</v>
      </c>
      <c r="G2020" s="11">
        <v>6804</v>
      </c>
      <c r="H2020" s="11">
        <v>3082</v>
      </c>
    </row>
    <row r="2021" spans="1:8" x14ac:dyDescent="0.2">
      <c r="A2021" s="10">
        <v>73</v>
      </c>
      <c r="B2021" s="10" t="s">
        <v>2346</v>
      </c>
      <c r="C2021" s="10">
        <v>7398</v>
      </c>
      <c r="D2021" s="10" t="s">
        <v>2370</v>
      </c>
      <c r="E2021" s="11">
        <v>3010</v>
      </c>
      <c r="F2021" s="11">
        <v>3273</v>
      </c>
      <c r="G2021" s="11">
        <v>6283</v>
      </c>
      <c r="H2021" s="11">
        <v>2278</v>
      </c>
    </row>
    <row r="2022" spans="1:8" x14ac:dyDescent="0.2">
      <c r="A2022" s="10">
        <v>73</v>
      </c>
      <c r="B2022" s="10" t="s">
        <v>2346</v>
      </c>
      <c r="C2022" s="10">
        <v>7399</v>
      </c>
      <c r="D2022" s="10" t="s">
        <v>2371</v>
      </c>
      <c r="E2022" s="11">
        <v>30916</v>
      </c>
      <c r="F2022" s="11">
        <v>34898</v>
      </c>
      <c r="G2022" s="11">
        <v>65814</v>
      </c>
      <c r="H2022" s="11">
        <v>38169</v>
      </c>
    </row>
    <row r="2023" spans="1:8" x14ac:dyDescent="0.2">
      <c r="A2023" s="10">
        <v>74</v>
      </c>
      <c r="B2023" s="10" t="s">
        <v>2372</v>
      </c>
      <c r="C2023" s="10">
        <v>7401</v>
      </c>
      <c r="D2023" s="10" t="s">
        <v>2373</v>
      </c>
      <c r="E2023" s="11">
        <v>103022</v>
      </c>
      <c r="F2023" s="11">
        <v>113467</v>
      </c>
      <c r="G2023" s="11">
        <v>216489</v>
      </c>
      <c r="H2023" s="11">
        <v>126839</v>
      </c>
    </row>
    <row r="2024" spans="1:8" x14ac:dyDescent="0.2">
      <c r="A2024" s="10">
        <v>74</v>
      </c>
      <c r="B2024" s="10" t="s">
        <v>2372</v>
      </c>
      <c r="C2024" s="10">
        <v>7402</v>
      </c>
      <c r="D2024" s="10" t="s">
        <v>2374</v>
      </c>
      <c r="E2024" s="11">
        <v>32519</v>
      </c>
      <c r="F2024" s="11">
        <v>35259</v>
      </c>
      <c r="G2024" s="11">
        <v>67778</v>
      </c>
      <c r="H2024" s="11">
        <v>40695</v>
      </c>
    </row>
    <row r="2025" spans="1:8" x14ac:dyDescent="0.2">
      <c r="A2025" s="10">
        <v>74</v>
      </c>
      <c r="B2025" s="10" t="s">
        <v>2372</v>
      </c>
      <c r="C2025" s="10">
        <v>7403</v>
      </c>
      <c r="D2025" s="10" t="s">
        <v>2375</v>
      </c>
      <c r="E2025" s="11">
        <v>24371</v>
      </c>
      <c r="F2025" s="11">
        <v>26606</v>
      </c>
      <c r="G2025" s="11">
        <v>50977</v>
      </c>
      <c r="H2025" s="11">
        <v>17232</v>
      </c>
    </row>
    <row r="2026" spans="1:8" x14ac:dyDescent="0.2">
      <c r="A2026" s="10">
        <v>74</v>
      </c>
      <c r="B2026" s="10" t="s">
        <v>2372</v>
      </c>
      <c r="C2026" s="10">
        <v>7491</v>
      </c>
      <c r="D2026" s="10" t="s">
        <v>2376</v>
      </c>
      <c r="E2026" s="11">
        <v>19300</v>
      </c>
      <c r="F2026" s="11">
        <v>19707</v>
      </c>
      <c r="G2026" s="11">
        <v>39007</v>
      </c>
      <c r="H2026" s="11">
        <v>24172</v>
      </c>
    </row>
    <row r="2027" spans="1:8" x14ac:dyDescent="0.2">
      <c r="A2027" s="10">
        <v>74</v>
      </c>
      <c r="B2027" s="10" t="s">
        <v>2372</v>
      </c>
      <c r="C2027" s="10">
        <v>7492</v>
      </c>
      <c r="D2027" s="10" t="s">
        <v>831</v>
      </c>
      <c r="E2027" s="11">
        <v>13395</v>
      </c>
      <c r="F2027" s="11">
        <v>14943</v>
      </c>
      <c r="G2027" s="11">
        <v>28338</v>
      </c>
      <c r="H2027" s="11">
        <v>17422</v>
      </c>
    </row>
    <row r="2028" spans="1:8" x14ac:dyDescent="0.2">
      <c r="A2028" s="10">
        <v>74</v>
      </c>
      <c r="B2028" s="10" t="s">
        <v>2372</v>
      </c>
      <c r="C2028" s="10">
        <v>7493</v>
      </c>
      <c r="D2028" s="10" t="s">
        <v>2377</v>
      </c>
      <c r="E2028" s="11">
        <v>20494</v>
      </c>
      <c r="F2028" s="11">
        <v>21802</v>
      </c>
      <c r="G2028" s="11">
        <v>42296</v>
      </c>
      <c r="H2028" s="11">
        <v>11441</v>
      </c>
    </row>
    <row r="2029" spans="1:8" x14ac:dyDescent="0.2">
      <c r="A2029" s="10">
        <v>74</v>
      </c>
      <c r="B2029" s="10" t="s">
        <v>2372</v>
      </c>
      <c r="C2029" s="10">
        <v>7494</v>
      </c>
      <c r="D2029" s="10" t="s">
        <v>2378</v>
      </c>
      <c r="E2029" s="11">
        <v>1351</v>
      </c>
      <c r="F2029" s="11">
        <v>1421</v>
      </c>
      <c r="G2029" s="11">
        <v>2772</v>
      </c>
      <c r="H2029" s="11">
        <v>1062</v>
      </c>
    </row>
    <row r="2030" spans="1:8" x14ac:dyDescent="0.2">
      <c r="A2030" s="10">
        <v>74</v>
      </c>
      <c r="B2030" s="10" t="s">
        <v>2372</v>
      </c>
      <c r="C2030" s="10">
        <v>7495</v>
      </c>
      <c r="D2030" s="10" t="s">
        <v>2379</v>
      </c>
      <c r="E2030" s="11">
        <v>2533</v>
      </c>
      <c r="F2030" s="11">
        <v>2688</v>
      </c>
      <c r="G2030" s="11">
        <v>5221</v>
      </c>
      <c r="H2030" s="11">
        <v>1677</v>
      </c>
    </row>
    <row r="2031" spans="1:8" x14ac:dyDescent="0.2">
      <c r="A2031" s="10">
        <v>74</v>
      </c>
      <c r="B2031" s="10" t="s">
        <v>2372</v>
      </c>
      <c r="C2031" s="10">
        <v>7496</v>
      </c>
      <c r="D2031" s="10" t="s">
        <v>2380</v>
      </c>
      <c r="E2031" s="11">
        <v>3660</v>
      </c>
      <c r="F2031" s="11">
        <v>3990</v>
      </c>
      <c r="G2031" s="11">
        <v>7650</v>
      </c>
      <c r="H2031" s="11">
        <v>4956</v>
      </c>
    </row>
    <row r="2032" spans="1:8" x14ac:dyDescent="0.2">
      <c r="A2032" s="10">
        <v>74</v>
      </c>
      <c r="B2032" s="10" t="s">
        <v>2372</v>
      </c>
      <c r="C2032" s="10">
        <v>7497</v>
      </c>
      <c r="D2032" s="10" t="s">
        <v>2381</v>
      </c>
      <c r="E2032" s="11">
        <v>25497</v>
      </c>
      <c r="F2032" s="11">
        <v>28417</v>
      </c>
      <c r="G2032" s="11">
        <v>53914</v>
      </c>
      <c r="H2032" s="11">
        <v>51913</v>
      </c>
    </row>
    <row r="2033" spans="1:8" x14ac:dyDescent="0.2">
      <c r="A2033" s="10">
        <v>74</v>
      </c>
      <c r="B2033" s="10" t="s">
        <v>2372</v>
      </c>
      <c r="C2033" s="10">
        <v>7498</v>
      </c>
      <c r="D2033" s="10" t="s">
        <v>2382</v>
      </c>
      <c r="E2033" s="11">
        <v>11274</v>
      </c>
      <c r="F2033" s="11">
        <v>11930</v>
      </c>
      <c r="G2033" s="11">
        <v>23204</v>
      </c>
      <c r="H2033" s="11">
        <v>6688</v>
      </c>
    </row>
    <row r="2034" spans="1:8" x14ac:dyDescent="0.2">
      <c r="A2034" s="10">
        <v>74</v>
      </c>
      <c r="B2034" s="10" t="s">
        <v>2372</v>
      </c>
      <c r="C2034" s="10">
        <v>7499</v>
      </c>
      <c r="D2034" s="10" t="s">
        <v>2383</v>
      </c>
      <c r="E2034" s="11">
        <v>26044</v>
      </c>
      <c r="F2034" s="11">
        <v>27177</v>
      </c>
      <c r="G2034" s="11">
        <v>53221</v>
      </c>
      <c r="H2034" s="11">
        <v>19235</v>
      </c>
    </row>
    <row r="2035" spans="1:8" x14ac:dyDescent="0.2">
      <c r="A2035" s="10">
        <v>75</v>
      </c>
      <c r="B2035" s="10" t="s">
        <v>2384</v>
      </c>
      <c r="C2035" s="10">
        <v>7501</v>
      </c>
      <c r="D2035" s="10" t="s">
        <v>2385</v>
      </c>
      <c r="E2035" s="11">
        <v>37394</v>
      </c>
      <c r="F2035" s="11">
        <v>40985</v>
      </c>
      <c r="G2035" s="11">
        <v>78379</v>
      </c>
      <c r="H2035" s="11">
        <v>34397</v>
      </c>
    </row>
    <row r="2036" spans="1:8" x14ac:dyDescent="0.2">
      <c r="A2036" s="10">
        <v>75</v>
      </c>
      <c r="B2036" s="10" t="s">
        <v>2384</v>
      </c>
      <c r="C2036" s="10">
        <v>7502</v>
      </c>
      <c r="D2036" s="10" t="s">
        <v>2386</v>
      </c>
      <c r="E2036" s="11">
        <v>12533</v>
      </c>
      <c r="F2036" s="11">
        <v>13833</v>
      </c>
      <c r="G2036" s="11">
        <v>26366</v>
      </c>
      <c r="H2036" s="11">
        <v>10382</v>
      </c>
    </row>
    <row r="2037" spans="1:8" x14ac:dyDescent="0.2">
      <c r="A2037" s="10">
        <v>75</v>
      </c>
      <c r="B2037" s="10" t="s">
        <v>2384</v>
      </c>
      <c r="C2037" s="10">
        <v>7503</v>
      </c>
      <c r="D2037" s="10" t="s">
        <v>2387</v>
      </c>
      <c r="E2037" s="11">
        <v>22591</v>
      </c>
      <c r="F2037" s="11">
        <v>24417</v>
      </c>
      <c r="G2037" s="11">
        <v>47008</v>
      </c>
      <c r="H2037" s="11">
        <v>16641</v>
      </c>
    </row>
    <row r="2038" spans="1:8" x14ac:dyDescent="0.2">
      <c r="A2038" s="10">
        <v>75</v>
      </c>
      <c r="B2038" s="10" t="s">
        <v>2384</v>
      </c>
      <c r="C2038" s="10">
        <v>7595</v>
      </c>
      <c r="D2038" s="10" t="s">
        <v>2388</v>
      </c>
      <c r="E2038" s="10">
        <v>888</v>
      </c>
      <c r="F2038" s="10">
        <v>958</v>
      </c>
      <c r="G2038" s="11">
        <v>1846</v>
      </c>
      <c r="H2038" s="10">
        <v>810</v>
      </c>
    </row>
    <row r="2039" spans="1:8" x14ac:dyDescent="0.2">
      <c r="A2039" s="10">
        <v>75</v>
      </c>
      <c r="B2039" s="10" t="s">
        <v>2384</v>
      </c>
      <c r="C2039" s="10">
        <v>7596</v>
      </c>
      <c r="D2039" s="10" t="s">
        <v>2389</v>
      </c>
      <c r="E2039" s="10">
        <v>780</v>
      </c>
      <c r="F2039" s="10">
        <v>915</v>
      </c>
      <c r="G2039" s="11">
        <v>1695</v>
      </c>
      <c r="H2039" s="10">
        <v>865</v>
      </c>
    </row>
    <row r="2040" spans="1:8" x14ac:dyDescent="0.2">
      <c r="A2040" s="10">
        <v>75</v>
      </c>
      <c r="B2040" s="10" t="s">
        <v>2384</v>
      </c>
      <c r="C2040" s="10">
        <v>7597</v>
      </c>
      <c r="D2040" s="10" t="s">
        <v>2390</v>
      </c>
      <c r="E2040" s="10">
        <v>973</v>
      </c>
      <c r="F2040" s="11">
        <v>1128</v>
      </c>
      <c r="G2040" s="11">
        <v>2101</v>
      </c>
      <c r="H2040" s="10">
        <v>882</v>
      </c>
    </row>
    <row r="2041" spans="1:8" x14ac:dyDescent="0.2">
      <c r="A2041" s="10">
        <v>75</v>
      </c>
      <c r="B2041" s="10" t="s">
        <v>2384</v>
      </c>
      <c r="C2041" s="10">
        <v>7598</v>
      </c>
      <c r="D2041" s="10" t="s">
        <v>2391</v>
      </c>
      <c r="E2041" s="11">
        <v>2071</v>
      </c>
      <c r="F2041" s="11">
        <v>2288</v>
      </c>
      <c r="G2041" s="11">
        <v>4359</v>
      </c>
      <c r="H2041" s="11">
        <v>2028</v>
      </c>
    </row>
    <row r="2042" spans="1:8" x14ac:dyDescent="0.2">
      <c r="A2042" s="10">
        <v>75</v>
      </c>
      <c r="B2042" s="10" t="s">
        <v>2384</v>
      </c>
      <c r="C2042" s="10">
        <v>7599</v>
      </c>
      <c r="D2042" s="10" t="s">
        <v>2392</v>
      </c>
      <c r="E2042" s="11">
        <v>11810</v>
      </c>
      <c r="F2042" s="11">
        <v>13220</v>
      </c>
      <c r="G2042" s="11">
        <v>25030</v>
      </c>
      <c r="H2042" s="11">
        <v>11388</v>
      </c>
    </row>
    <row r="2043" spans="1:8" x14ac:dyDescent="0.2">
      <c r="A2043" s="10">
        <v>76</v>
      </c>
      <c r="B2043" s="10" t="s">
        <v>2393</v>
      </c>
      <c r="C2043" s="10">
        <v>7601</v>
      </c>
      <c r="D2043" s="10" t="s">
        <v>2394</v>
      </c>
      <c r="E2043" s="11">
        <v>42451</v>
      </c>
      <c r="F2043" s="11">
        <v>48646</v>
      </c>
      <c r="G2043" s="11">
        <v>91097</v>
      </c>
      <c r="H2043" s="11">
        <v>37991</v>
      </c>
    </row>
    <row r="2044" spans="1:8" x14ac:dyDescent="0.2">
      <c r="A2044" s="10">
        <v>76</v>
      </c>
      <c r="B2044" s="10" t="s">
        <v>2393</v>
      </c>
      <c r="C2044" s="10">
        <v>7602</v>
      </c>
      <c r="D2044" s="10" t="s">
        <v>2395</v>
      </c>
      <c r="E2044" s="11">
        <v>11493</v>
      </c>
      <c r="F2044" s="11">
        <v>12141</v>
      </c>
      <c r="G2044" s="11">
        <v>23634</v>
      </c>
      <c r="H2044" s="11">
        <v>11748</v>
      </c>
    </row>
    <row r="2045" spans="1:8" x14ac:dyDescent="0.2">
      <c r="A2045" s="10">
        <v>76</v>
      </c>
      <c r="B2045" s="10" t="s">
        <v>2393</v>
      </c>
      <c r="C2045" s="10">
        <v>7603</v>
      </c>
      <c r="D2045" s="10" t="s">
        <v>2396</v>
      </c>
      <c r="E2045" s="11">
        <v>8238</v>
      </c>
      <c r="F2045" s="11">
        <v>8265</v>
      </c>
      <c r="G2045" s="11">
        <v>16503</v>
      </c>
      <c r="H2045" s="11">
        <v>7327</v>
      </c>
    </row>
    <row r="2046" spans="1:8" x14ac:dyDescent="0.2">
      <c r="A2046" s="10">
        <v>76</v>
      </c>
      <c r="B2046" s="10" t="s">
        <v>2393</v>
      </c>
      <c r="C2046" s="10">
        <v>7604</v>
      </c>
      <c r="D2046" s="10" t="s">
        <v>2397</v>
      </c>
      <c r="E2046" s="11">
        <v>11199</v>
      </c>
      <c r="F2046" s="11">
        <v>11323</v>
      </c>
      <c r="G2046" s="11">
        <v>22522</v>
      </c>
      <c r="H2046" s="11">
        <v>9709</v>
      </c>
    </row>
    <row r="2047" spans="1:8" x14ac:dyDescent="0.2">
      <c r="A2047" s="10">
        <v>76</v>
      </c>
      <c r="B2047" s="10" t="s">
        <v>2393</v>
      </c>
      <c r="C2047" s="10">
        <v>7605</v>
      </c>
      <c r="D2047" s="10" t="s">
        <v>2398</v>
      </c>
      <c r="E2047" s="11">
        <v>23768</v>
      </c>
      <c r="F2047" s="11">
        <v>25094</v>
      </c>
      <c r="G2047" s="11">
        <v>48862</v>
      </c>
      <c r="H2047" s="11">
        <v>20888</v>
      </c>
    </row>
    <row r="2048" spans="1:8" x14ac:dyDescent="0.2">
      <c r="A2048" s="10">
        <v>76</v>
      </c>
      <c r="B2048" s="10" t="s">
        <v>2393</v>
      </c>
      <c r="C2048" s="10">
        <v>7606</v>
      </c>
      <c r="D2048" s="10" t="s">
        <v>2399</v>
      </c>
      <c r="E2048" s="11">
        <v>22932</v>
      </c>
      <c r="F2048" s="11">
        <v>25160</v>
      </c>
      <c r="G2048" s="11">
        <v>48092</v>
      </c>
      <c r="H2048" s="11">
        <v>16808</v>
      </c>
    </row>
    <row r="2049" spans="1:8" x14ac:dyDescent="0.2">
      <c r="A2049" s="10">
        <v>76</v>
      </c>
      <c r="B2049" s="10" t="s">
        <v>2393</v>
      </c>
      <c r="C2049" s="10">
        <v>7607</v>
      </c>
      <c r="D2049" s="10" t="s">
        <v>2400</v>
      </c>
      <c r="E2049" s="11">
        <v>17654</v>
      </c>
      <c r="F2049" s="11">
        <v>18305</v>
      </c>
      <c r="G2049" s="11">
        <v>35959</v>
      </c>
      <c r="H2049" s="11">
        <v>12322</v>
      </c>
    </row>
    <row r="2050" spans="1:8" x14ac:dyDescent="0.2">
      <c r="A2050" s="10">
        <v>76</v>
      </c>
      <c r="B2050" s="10" t="s">
        <v>2393</v>
      </c>
      <c r="C2050" s="10">
        <v>7608</v>
      </c>
      <c r="D2050" s="10" t="s">
        <v>2401</v>
      </c>
      <c r="E2050" s="11">
        <v>17592</v>
      </c>
      <c r="F2050" s="11">
        <v>16638</v>
      </c>
      <c r="G2050" s="11">
        <v>34230</v>
      </c>
      <c r="H2050" s="11">
        <v>16353</v>
      </c>
    </row>
    <row r="2051" spans="1:8" x14ac:dyDescent="0.2">
      <c r="A2051" s="10">
        <v>76</v>
      </c>
      <c r="B2051" s="10" t="s">
        <v>2393</v>
      </c>
      <c r="C2051" s="10">
        <v>7688</v>
      </c>
      <c r="D2051" s="10" t="s">
        <v>2402</v>
      </c>
      <c r="E2051" s="11">
        <v>3069</v>
      </c>
      <c r="F2051" s="11">
        <v>3256</v>
      </c>
      <c r="G2051" s="11">
        <v>6325</v>
      </c>
      <c r="H2051" s="11">
        <v>2276</v>
      </c>
    </row>
    <row r="2052" spans="1:8" x14ac:dyDescent="0.2">
      <c r="A2052" s="10">
        <v>76</v>
      </c>
      <c r="B2052" s="10" t="s">
        <v>2393</v>
      </c>
      <c r="C2052" s="10">
        <v>7689</v>
      </c>
      <c r="D2052" s="10" t="s">
        <v>2334</v>
      </c>
      <c r="E2052" s="11">
        <v>5371</v>
      </c>
      <c r="F2052" s="11">
        <v>5747</v>
      </c>
      <c r="G2052" s="11">
        <v>11118</v>
      </c>
      <c r="H2052" s="11">
        <v>4341</v>
      </c>
    </row>
    <row r="2053" spans="1:8" x14ac:dyDescent="0.2">
      <c r="A2053" s="10">
        <v>76</v>
      </c>
      <c r="B2053" s="10" t="s">
        <v>2393</v>
      </c>
      <c r="C2053" s="10">
        <v>7690</v>
      </c>
      <c r="D2053" s="10" t="s">
        <v>2403</v>
      </c>
      <c r="E2053" s="11">
        <v>2370</v>
      </c>
      <c r="F2053" s="11">
        <v>2509</v>
      </c>
      <c r="G2053" s="11">
        <v>4879</v>
      </c>
      <c r="H2053" s="11">
        <v>1919</v>
      </c>
    </row>
    <row r="2054" spans="1:8" x14ac:dyDescent="0.2">
      <c r="A2054" s="10">
        <v>76</v>
      </c>
      <c r="B2054" s="10" t="s">
        <v>2393</v>
      </c>
      <c r="C2054" s="10">
        <v>7691</v>
      </c>
      <c r="D2054" s="10" t="s">
        <v>2404</v>
      </c>
      <c r="E2054" s="11">
        <v>1689</v>
      </c>
      <c r="F2054" s="11">
        <v>2006</v>
      </c>
      <c r="G2054" s="11">
        <v>3695</v>
      </c>
      <c r="H2054" s="11">
        <v>1784</v>
      </c>
    </row>
    <row r="2055" spans="1:8" x14ac:dyDescent="0.2">
      <c r="A2055" s="10">
        <v>76</v>
      </c>
      <c r="B2055" s="10" t="s">
        <v>2393</v>
      </c>
      <c r="C2055" s="10">
        <v>7692</v>
      </c>
      <c r="D2055" s="10" t="s">
        <v>2405</v>
      </c>
      <c r="E2055" s="11">
        <v>1272</v>
      </c>
      <c r="F2055" s="11">
        <v>1408</v>
      </c>
      <c r="G2055" s="11">
        <v>2680</v>
      </c>
      <c r="H2055" s="11">
        <v>1070</v>
      </c>
    </row>
    <row r="2056" spans="1:8" x14ac:dyDescent="0.2">
      <c r="A2056" s="10">
        <v>76</v>
      </c>
      <c r="B2056" s="10" t="s">
        <v>2393</v>
      </c>
      <c r="C2056" s="10">
        <v>7693</v>
      </c>
      <c r="D2056" s="10" t="s">
        <v>2406</v>
      </c>
      <c r="E2056" s="11">
        <v>13035</v>
      </c>
      <c r="F2056" s="11">
        <v>14519</v>
      </c>
      <c r="G2056" s="11">
        <v>27554</v>
      </c>
      <c r="H2056" s="11">
        <v>12080</v>
      </c>
    </row>
    <row r="2057" spans="1:8" x14ac:dyDescent="0.2">
      <c r="A2057" s="10">
        <v>76</v>
      </c>
      <c r="B2057" s="10" t="s">
        <v>2393</v>
      </c>
      <c r="C2057" s="10">
        <v>7694</v>
      </c>
      <c r="D2057" s="10" t="s">
        <v>2407</v>
      </c>
      <c r="E2057" s="11">
        <v>9185</v>
      </c>
      <c r="F2057" s="11">
        <v>9924</v>
      </c>
      <c r="G2057" s="11">
        <v>19109</v>
      </c>
      <c r="H2057" s="11">
        <v>7778</v>
      </c>
    </row>
    <row r="2058" spans="1:8" x14ac:dyDescent="0.2">
      <c r="A2058" s="10">
        <v>76</v>
      </c>
      <c r="B2058" s="10" t="s">
        <v>2393</v>
      </c>
      <c r="C2058" s="10">
        <v>7695</v>
      </c>
      <c r="D2058" s="10" t="s">
        <v>2408</v>
      </c>
      <c r="E2058" s="11">
        <v>7125</v>
      </c>
      <c r="F2058" s="11">
        <v>7805</v>
      </c>
      <c r="G2058" s="11">
        <v>14930</v>
      </c>
      <c r="H2058" s="11">
        <v>8918</v>
      </c>
    </row>
    <row r="2059" spans="1:8" x14ac:dyDescent="0.2">
      <c r="A2059" s="10">
        <v>76</v>
      </c>
      <c r="B2059" s="10" t="s">
        <v>2393</v>
      </c>
      <c r="C2059" s="10">
        <v>7696</v>
      </c>
      <c r="D2059" s="10" t="s">
        <v>2409</v>
      </c>
      <c r="E2059" s="11">
        <v>2363</v>
      </c>
      <c r="F2059" s="11">
        <v>2571</v>
      </c>
      <c r="G2059" s="11">
        <v>4934</v>
      </c>
      <c r="H2059" s="11">
        <v>2704</v>
      </c>
    </row>
    <row r="2060" spans="1:8" x14ac:dyDescent="0.2">
      <c r="A2060" s="10">
        <v>76</v>
      </c>
      <c r="B2060" s="10" t="s">
        <v>2393</v>
      </c>
      <c r="C2060" s="10">
        <v>7697</v>
      </c>
      <c r="D2060" s="10" t="s">
        <v>2410</v>
      </c>
      <c r="E2060" s="11">
        <v>2754</v>
      </c>
      <c r="F2060" s="11">
        <v>3087</v>
      </c>
      <c r="G2060" s="11">
        <v>5841</v>
      </c>
      <c r="H2060" s="11">
        <v>2095</v>
      </c>
    </row>
    <row r="2061" spans="1:8" x14ac:dyDescent="0.2">
      <c r="A2061" s="10">
        <v>76</v>
      </c>
      <c r="B2061" s="10" t="s">
        <v>2393</v>
      </c>
      <c r="C2061" s="10">
        <v>7698</v>
      </c>
      <c r="D2061" s="10" t="s">
        <v>2411</v>
      </c>
      <c r="E2061" s="11">
        <v>20271</v>
      </c>
      <c r="F2061" s="11">
        <v>22448</v>
      </c>
      <c r="G2061" s="11">
        <v>42719</v>
      </c>
      <c r="H2061" s="11">
        <v>48985</v>
      </c>
    </row>
    <row r="2062" spans="1:8" x14ac:dyDescent="0.2">
      <c r="A2062" s="10">
        <v>76</v>
      </c>
      <c r="B2062" s="10" t="s">
        <v>2393</v>
      </c>
      <c r="C2062" s="10">
        <v>7699</v>
      </c>
      <c r="D2062" s="10" t="s">
        <v>2412</v>
      </c>
      <c r="E2062" s="11">
        <v>9099</v>
      </c>
      <c r="F2062" s="11">
        <v>10363</v>
      </c>
      <c r="G2062" s="11">
        <v>19462</v>
      </c>
      <c r="H2062" s="11">
        <v>10416</v>
      </c>
    </row>
    <row r="2063" spans="1:8" x14ac:dyDescent="0.2">
      <c r="A2063" s="10">
        <v>77</v>
      </c>
      <c r="B2063" s="10" t="s">
        <v>2413</v>
      </c>
      <c r="C2063" s="10">
        <v>7701</v>
      </c>
      <c r="D2063" s="10" t="s">
        <v>2414</v>
      </c>
      <c r="E2063" s="11">
        <v>32319</v>
      </c>
      <c r="F2063" s="11">
        <v>32593</v>
      </c>
      <c r="G2063" s="11">
        <v>64912</v>
      </c>
      <c r="H2063" s="11">
        <v>28197</v>
      </c>
    </row>
    <row r="2064" spans="1:8" x14ac:dyDescent="0.2">
      <c r="A2064" s="10">
        <v>77</v>
      </c>
      <c r="B2064" s="10" t="s">
        <v>2413</v>
      </c>
      <c r="C2064" s="10">
        <v>7702</v>
      </c>
      <c r="D2064" s="10" t="s">
        <v>2415</v>
      </c>
      <c r="E2064" s="11">
        <v>17085</v>
      </c>
      <c r="F2064" s="11">
        <v>17635</v>
      </c>
      <c r="G2064" s="11">
        <v>34720</v>
      </c>
      <c r="H2064" s="11">
        <v>11953</v>
      </c>
    </row>
    <row r="2065" spans="1:8" x14ac:dyDescent="0.2">
      <c r="A2065" s="10">
        <v>77</v>
      </c>
      <c r="B2065" s="10" t="s">
        <v>2413</v>
      </c>
      <c r="C2065" s="10">
        <v>7703</v>
      </c>
      <c r="D2065" s="10" t="s">
        <v>2416</v>
      </c>
      <c r="E2065" s="11">
        <v>21048</v>
      </c>
      <c r="F2065" s="11">
        <v>21550</v>
      </c>
      <c r="G2065" s="11">
        <v>42598</v>
      </c>
      <c r="H2065" s="11">
        <v>15857</v>
      </c>
    </row>
    <row r="2066" spans="1:8" x14ac:dyDescent="0.2">
      <c r="A2066" s="10">
        <v>77</v>
      </c>
      <c r="B2066" s="10" t="s">
        <v>2413</v>
      </c>
      <c r="C2066" s="10">
        <v>7704</v>
      </c>
      <c r="D2066" s="10" t="s">
        <v>2417</v>
      </c>
      <c r="E2066" s="11">
        <v>30552</v>
      </c>
      <c r="F2066" s="11">
        <v>31086</v>
      </c>
      <c r="G2066" s="11">
        <v>61638</v>
      </c>
      <c r="H2066" s="11">
        <v>28124</v>
      </c>
    </row>
    <row r="2067" spans="1:8" x14ac:dyDescent="0.2">
      <c r="A2067" s="10">
        <v>77</v>
      </c>
      <c r="B2067" s="10" t="s">
        <v>2413</v>
      </c>
      <c r="C2067" s="10">
        <v>7705</v>
      </c>
      <c r="D2067" s="10" t="s">
        <v>2418</v>
      </c>
      <c r="E2067" s="11">
        <v>18256</v>
      </c>
      <c r="F2067" s="11">
        <v>18425</v>
      </c>
      <c r="G2067" s="11">
        <v>36681</v>
      </c>
      <c r="H2067" s="11">
        <v>16976</v>
      </c>
    </row>
    <row r="2068" spans="1:8" x14ac:dyDescent="0.2">
      <c r="A2068" s="10">
        <v>77</v>
      </c>
      <c r="B2068" s="10" t="s">
        <v>2413</v>
      </c>
      <c r="C2068" s="10">
        <v>7706</v>
      </c>
      <c r="D2068" s="10" t="s">
        <v>2419</v>
      </c>
      <c r="E2068" s="11">
        <v>21188</v>
      </c>
      <c r="F2068" s="11">
        <v>22661</v>
      </c>
      <c r="G2068" s="11">
        <v>43849</v>
      </c>
      <c r="H2068" s="11">
        <v>23077</v>
      </c>
    </row>
    <row r="2069" spans="1:8" x14ac:dyDescent="0.2">
      <c r="A2069" s="10">
        <v>77</v>
      </c>
      <c r="B2069" s="10" t="s">
        <v>2413</v>
      </c>
      <c r="C2069" s="10">
        <v>7707</v>
      </c>
      <c r="D2069" s="10" t="s">
        <v>2420</v>
      </c>
      <c r="E2069" s="11">
        <v>28557</v>
      </c>
      <c r="F2069" s="11">
        <v>31186</v>
      </c>
      <c r="G2069" s="11">
        <v>59743</v>
      </c>
      <c r="H2069" s="11">
        <v>33943</v>
      </c>
    </row>
    <row r="2070" spans="1:8" x14ac:dyDescent="0.2">
      <c r="A2070" s="10">
        <v>77</v>
      </c>
      <c r="B2070" s="10" t="s">
        <v>2413</v>
      </c>
      <c r="C2070" s="10">
        <v>7708</v>
      </c>
      <c r="D2070" s="10" t="s">
        <v>2421</v>
      </c>
      <c r="E2070" s="11">
        <v>15698</v>
      </c>
      <c r="F2070" s="11">
        <v>16048</v>
      </c>
      <c r="G2070" s="11">
        <v>31746</v>
      </c>
      <c r="H2070" s="11">
        <v>13284</v>
      </c>
    </row>
    <row r="2071" spans="1:8" x14ac:dyDescent="0.2">
      <c r="A2071" s="10">
        <v>77</v>
      </c>
      <c r="B2071" s="10" t="s">
        <v>2413</v>
      </c>
      <c r="C2071" s="10">
        <v>7784</v>
      </c>
      <c r="D2071" s="10" t="s">
        <v>2422</v>
      </c>
      <c r="E2071" s="11">
        <v>6744</v>
      </c>
      <c r="F2071" s="11">
        <v>3073</v>
      </c>
      <c r="G2071" s="11">
        <v>9817</v>
      </c>
      <c r="H2071" s="11">
        <v>6147</v>
      </c>
    </row>
    <row r="2072" spans="1:8" x14ac:dyDescent="0.2">
      <c r="A2072" s="10">
        <v>77</v>
      </c>
      <c r="B2072" s="10" t="s">
        <v>2413</v>
      </c>
      <c r="C2072" s="10">
        <v>7785</v>
      </c>
      <c r="D2072" s="10" t="s">
        <v>2423</v>
      </c>
      <c r="E2072" s="11">
        <v>5193</v>
      </c>
      <c r="F2072" s="11">
        <v>5347</v>
      </c>
      <c r="G2072" s="11">
        <v>10540</v>
      </c>
      <c r="H2072" s="11">
        <v>4397</v>
      </c>
    </row>
    <row r="2073" spans="1:8" x14ac:dyDescent="0.2">
      <c r="A2073" s="10">
        <v>77</v>
      </c>
      <c r="B2073" s="10" t="s">
        <v>2413</v>
      </c>
      <c r="C2073" s="10">
        <v>7786</v>
      </c>
      <c r="D2073" s="10" t="s">
        <v>2424</v>
      </c>
      <c r="E2073" s="11">
        <v>2395</v>
      </c>
      <c r="F2073" s="11">
        <v>2605</v>
      </c>
      <c r="G2073" s="11">
        <v>5000</v>
      </c>
      <c r="H2073" s="11">
        <v>2993</v>
      </c>
    </row>
    <row r="2074" spans="1:8" x14ac:dyDescent="0.2">
      <c r="A2074" s="10">
        <v>77</v>
      </c>
      <c r="B2074" s="10" t="s">
        <v>2413</v>
      </c>
      <c r="C2074" s="10">
        <v>7787</v>
      </c>
      <c r="D2074" s="10" t="s">
        <v>2425</v>
      </c>
      <c r="E2074" s="11">
        <v>3796</v>
      </c>
      <c r="F2074" s="11">
        <v>3809</v>
      </c>
      <c r="G2074" s="11">
        <v>7605</v>
      </c>
      <c r="H2074" s="11">
        <v>3580</v>
      </c>
    </row>
    <row r="2075" spans="1:8" x14ac:dyDescent="0.2">
      <c r="A2075" s="10">
        <v>77</v>
      </c>
      <c r="B2075" s="10" t="s">
        <v>2413</v>
      </c>
      <c r="C2075" s="10">
        <v>7788</v>
      </c>
      <c r="D2075" s="10" t="s">
        <v>2426</v>
      </c>
      <c r="E2075" s="11">
        <v>7882</v>
      </c>
      <c r="F2075" s="11">
        <v>8619</v>
      </c>
      <c r="G2075" s="11">
        <v>16501</v>
      </c>
      <c r="H2075" s="11">
        <v>9896</v>
      </c>
    </row>
    <row r="2076" spans="1:8" x14ac:dyDescent="0.2">
      <c r="A2076" s="10">
        <v>77</v>
      </c>
      <c r="B2076" s="10" t="s">
        <v>2413</v>
      </c>
      <c r="C2076" s="10">
        <v>7789</v>
      </c>
      <c r="D2076" s="10" t="s">
        <v>2427</v>
      </c>
      <c r="E2076" s="11">
        <v>1459</v>
      </c>
      <c r="F2076" s="11">
        <v>1492</v>
      </c>
      <c r="G2076" s="11">
        <v>2951</v>
      </c>
      <c r="H2076" s="11">
        <v>1647</v>
      </c>
    </row>
    <row r="2077" spans="1:8" x14ac:dyDescent="0.2">
      <c r="A2077" s="10">
        <v>77</v>
      </c>
      <c r="B2077" s="10" t="s">
        <v>2413</v>
      </c>
      <c r="C2077" s="10">
        <v>7790</v>
      </c>
      <c r="D2077" s="10" t="s">
        <v>2428</v>
      </c>
      <c r="E2077" s="11">
        <v>3798</v>
      </c>
      <c r="F2077" s="11">
        <v>3929</v>
      </c>
      <c r="G2077" s="11">
        <v>7727</v>
      </c>
      <c r="H2077" s="11">
        <v>3635</v>
      </c>
    </row>
    <row r="2078" spans="1:8" x14ac:dyDescent="0.2">
      <c r="A2078" s="10">
        <v>77</v>
      </c>
      <c r="B2078" s="10" t="s">
        <v>2413</v>
      </c>
      <c r="C2078" s="10">
        <v>7791</v>
      </c>
      <c r="D2078" s="10" t="s">
        <v>2429</v>
      </c>
      <c r="E2078" s="11">
        <v>1960</v>
      </c>
      <c r="F2078" s="11">
        <v>2153</v>
      </c>
      <c r="G2078" s="11">
        <v>4113</v>
      </c>
      <c r="H2078" s="11">
        <v>2463</v>
      </c>
    </row>
    <row r="2079" spans="1:8" x14ac:dyDescent="0.2">
      <c r="A2079" s="10">
        <v>77</v>
      </c>
      <c r="B2079" s="10" t="s">
        <v>2413</v>
      </c>
      <c r="C2079" s="10">
        <v>7792</v>
      </c>
      <c r="D2079" s="10" t="s">
        <v>2430</v>
      </c>
      <c r="E2079" s="11">
        <v>1233</v>
      </c>
      <c r="F2079" s="11">
        <v>1272</v>
      </c>
      <c r="G2079" s="11">
        <v>2505</v>
      </c>
      <c r="H2079" s="11">
        <v>1678</v>
      </c>
    </row>
    <row r="2080" spans="1:8" x14ac:dyDescent="0.2">
      <c r="A2080" s="10">
        <v>77</v>
      </c>
      <c r="B2080" s="10" t="s">
        <v>2413</v>
      </c>
      <c r="C2080" s="10">
        <v>7793</v>
      </c>
      <c r="D2080" s="10" t="s">
        <v>2431</v>
      </c>
      <c r="E2080" s="11">
        <v>2903</v>
      </c>
      <c r="F2080" s="11">
        <v>3327</v>
      </c>
      <c r="G2080" s="11">
        <v>6230</v>
      </c>
      <c r="H2080" s="11">
        <v>3639</v>
      </c>
    </row>
    <row r="2081" spans="1:8" x14ac:dyDescent="0.2">
      <c r="A2081" s="10">
        <v>77</v>
      </c>
      <c r="B2081" s="10" t="s">
        <v>2413</v>
      </c>
      <c r="C2081" s="10">
        <v>7794</v>
      </c>
      <c r="D2081" s="10" t="s">
        <v>2432</v>
      </c>
      <c r="E2081" s="11">
        <v>3634</v>
      </c>
      <c r="F2081" s="11">
        <v>3941</v>
      </c>
      <c r="G2081" s="11">
        <v>7575</v>
      </c>
      <c r="H2081" s="11">
        <v>3032</v>
      </c>
    </row>
    <row r="2082" spans="1:8" x14ac:dyDescent="0.2">
      <c r="A2082" s="10">
        <v>77</v>
      </c>
      <c r="B2082" s="10" t="s">
        <v>2413</v>
      </c>
      <c r="C2082" s="10">
        <v>7795</v>
      </c>
      <c r="D2082" s="10" t="s">
        <v>2433</v>
      </c>
      <c r="E2082" s="11">
        <v>4071</v>
      </c>
      <c r="F2082" s="11">
        <v>4408</v>
      </c>
      <c r="G2082" s="11">
        <v>8479</v>
      </c>
      <c r="H2082" s="11">
        <v>4434</v>
      </c>
    </row>
    <row r="2083" spans="1:8" x14ac:dyDescent="0.2">
      <c r="A2083" s="10">
        <v>77</v>
      </c>
      <c r="B2083" s="10" t="s">
        <v>2413</v>
      </c>
      <c r="C2083" s="10">
        <v>7796</v>
      </c>
      <c r="D2083" s="10" t="s">
        <v>2434</v>
      </c>
      <c r="E2083" s="11">
        <v>2031</v>
      </c>
      <c r="F2083" s="11">
        <v>2180</v>
      </c>
      <c r="G2083" s="11">
        <v>4211</v>
      </c>
      <c r="H2083" s="11">
        <v>1918</v>
      </c>
    </row>
    <row r="2084" spans="1:8" x14ac:dyDescent="0.2">
      <c r="A2084" s="10">
        <v>77</v>
      </c>
      <c r="B2084" s="10" t="s">
        <v>2413</v>
      </c>
      <c r="C2084" s="10">
        <v>7797</v>
      </c>
      <c r="D2084" s="10" t="s">
        <v>2435</v>
      </c>
      <c r="E2084" s="11">
        <v>1756</v>
      </c>
      <c r="F2084" s="11">
        <v>1854</v>
      </c>
      <c r="G2084" s="11">
        <v>3610</v>
      </c>
      <c r="H2084" s="11">
        <v>1469</v>
      </c>
    </row>
    <row r="2085" spans="1:8" x14ac:dyDescent="0.2">
      <c r="A2085" s="10">
        <v>77</v>
      </c>
      <c r="B2085" s="10" t="s">
        <v>2413</v>
      </c>
      <c r="C2085" s="10">
        <v>7798</v>
      </c>
      <c r="D2085" s="10" t="s">
        <v>2436</v>
      </c>
      <c r="E2085" s="11">
        <v>28609</v>
      </c>
      <c r="F2085" s="11">
        <v>32878</v>
      </c>
      <c r="G2085" s="11">
        <v>61487</v>
      </c>
      <c r="H2085" s="11">
        <v>59601</v>
      </c>
    </row>
    <row r="2086" spans="1:8" x14ac:dyDescent="0.2">
      <c r="A2086" s="10">
        <v>77</v>
      </c>
      <c r="B2086" s="10" t="s">
        <v>2413</v>
      </c>
      <c r="C2086" s="10">
        <v>7799</v>
      </c>
      <c r="D2086" s="10" t="s">
        <v>2437</v>
      </c>
      <c r="E2086" s="11">
        <v>8048</v>
      </c>
      <c r="F2086" s="11">
        <v>9483</v>
      </c>
      <c r="G2086" s="11">
        <v>17531</v>
      </c>
      <c r="H2086" s="11">
        <v>11390</v>
      </c>
    </row>
    <row r="2087" spans="1:8" x14ac:dyDescent="0.2">
      <c r="A2087" s="10">
        <v>80</v>
      </c>
      <c r="B2087" s="10" t="s">
        <v>2438</v>
      </c>
      <c r="C2087" s="10">
        <v>8001</v>
      </c>
      <c r="D2087" s="10" t="s">
        <v>2439</v>
      </c>
      <c r="E2087" s="11">
        <v>79562</v>
      </c>
      <c r="F2087" s="11">
        <v>82345</v>
      </c>
      <c r="G2087" s="11">
        <v>161907</v>
      </c>
      <c r="H2087" s="11">
        <v>67890</v>
      </c>
    </row>
    <row r="2088" spans="1:8" x14ac:dyDescent="0.2">
      <c r="A2088" s="10">
        <v>80</v>
      </c>
      <c r="B2088" s="10" t="s">
        <v>2438</v>
      </c>
      <c r="C2088" s="10">
        <v>8002</v>
      </c>
      <c r="D2088" s="10" t="s">
        <v>2440</v>
      </c>
      <c r="E2088" s="11">
        <v>13425</v>
      </c>
      <c r="F2088" s="11">
        <v>13886</v>
      </c>
      <c r="G2088" s="11">
        <v>27311</v>
      </c>
      <c r="H2088" s="11">
        <v>9589</v>
      </c>
    </row>
    <row r="2089" spans="1:8" x14ac:dyDescent="0.2">
      <c r="A2089" s="10">
        <v>80</v>
      </c>
      <c r="B2089" s="10" t="s">
        <v>2438</v>
      </c>
      <c r="C2089" s="10">
        <v>8003</v>
      </c>
      <c r="D2089" s="10" t="s">
        <v>2441</v>
      </c>
      <c r="E2089" s="11">
        <v>19006</v>
      </c>
      <c r="F2089" s="11">
        <v>19954</v>
      </c>
      <c r="G2089" s="11">
        <v>38960</v>
      </c>
      <c r="H2089" s="11">
        <v>15293</v>
      </c>
    </row>
    <row r="2090" spans="1:8" x14ac:dyDescent="0.2">
      <c r="A2090" s="10">
        <v>80</v>
      </c>
      <c r="B2090" s="10" t="s">
        <v>2438</v>
      </c>
      <c r="C2090" s="10">
        <v>8004</v>
      </c>
      <c r="D2090" s="10" t="s">
        <v>2442</v>
      </c>
      <c r="E2090" s="11">
        <v>25571</v>
      </c>
      <c r="F2090" s="11">
        <v>26665</v>
      </c>
      <c r="G2090" s="11">
        <v>52236</v>
      </c>
      <c r="H2090" s="11">
        <v>19753</v>
      </c>
    </row>
    <row r="2091" spans="1:8" x14ac:dyDescent="0.2">
      <c r="A2091" s="10">
        <v>80</v>
      </c>
      <c r="B2091" s="10" t="s">
        <v>2438</v>
      </c>
      <c r="C2091" s="10">
        <v>8005</v>
      </c>
      <c r="D2091" s="10" t="s">
        <v>2443</v>
      </c>
      <c r="E2091" s="11">
        <v>8743</v>
      </c>
      <c r="F2091" s="11">
        <v>9103</v>
      </c>
      <c r="G2091" s="11">
        <v>17846</v>
      </c>
      <c r="H2091" s="11">
        <v>7525</v>
      </c>
    </row>
    <row r="2092" spans="1:8" x14ac:dyDescent="0.2">
      <c r="A2092" s="10">
        <v>80</v>
      </c>
      <c r="B2092" s="10" t="s">
        <v>2438</v>
      </c>
      <c r="C2092" s="10">
        <v>8006</v>
      </c>
      <c r="D2092" s="10" t="s">
        <v>2444</v>
      </c>
      <c r="E2092" s="11">
        <v>20028</v>
      </c>
      <c r="F2092" s="11">
        <v>19917</v>
      </c>
      <c r="G2092" s="11">
        <v>39945</v>
      </c>
      <c r="H2092" s="11">
        <v>15269</v>
      </c>
    </row>
    <row r="2093" spans="1:8" x14ac:dyDescent="0.2">
      <c r="A2093" s="10">
        <v>80</v>
      </c>
      <c r="B2093" s="10" t="s">
        <v>2438</v>
      </c>
      <c r="C2093" s="10">
        <v>8007</v>
      </c>
      <c r="D2093" s="10" t="s">
        <v>2445</v>
      </c>
      <c r="E2093" s="11">
        <v>40246</v>
      </c>
      <c r="F2093" s="11">
        <v>40897</v>
      </c>
      <c r="G2093" s="11">
        <v>81143</v>
      </c>
      <c r="H2093" s="11">
        <v>31051</v>
      </c>
    </row>
    <row r="2094" spans="1:8" x14ac:dyDescent="0.2">
      <c r="A2094" s="10">
        <v>80</v>
      </c>
      <c r="B2094" s="10" t="s">
        <v>2438</v>
      </c>
      <c r="C2094" s="10">
        <v>8008</v>
      </c>
      <c r="D2094" s="10" t="s">
        <v>2446</v>
      </c>
      <c r="E2094" s="11">
        <v>55911</v>
      </c>
      <c r="F2094" s="11">
        <v>57587</v>
      </c>
      <c r="G2094" s="11">
        <v>113498</v>
      </c>
      <c r="H2094" s="11">
        <v>38972</v>
      </c>
    </row>
    <row r="2095" spans="1:8" x14ac:dyDescent="0.2">
      <c r="A2095" s="10">
        <v>80</v>
      </c>
      <c r="B2095" s="10" t="s">
        <v>2438</v>
      </c>
      <c r="C2095" s="10">
        <v>8009</v>
      </c>
      <c r="D2095" s="10" t="s">
        <v>2447</v>
      </c>
      <c r="E2095" s="11">
        <v>58596</v>
      </c>
      <c r="F2095" s="11">
        <v>57458</v>
      </c>
      <c r="G2095" s="11">
        <v>116054</v>
      </c>
      <c r="H2095" s="11">
        <v>50742</v>
      </c>
    </row>
    <row r="2096" spans="1:8" x14ac:dyDescent="0.2">
      <c r="A2096" s="10">
        <v>80</v>
      </c>
      <c r="B2096" s="10" t="s">
        <v>2438</v>
      </c>
      <c r="C2096" s="10">
        <v>8010</v>
      </c>
      <c r="D2096" s="10" t="s">
        <v>2448</v>
      </c>
      <c r="E2096" s="11">
        <v>11863</v>
      </c>
      <c r="F2096" s="11">
        <v>12084</v>
      </c>
      <c r="G2096" s="11">
        <v>23947</v>
      </c>
      <c r="H2096" s="11">
        <v>8901</v>
      </c>
    </row>
    <row r="2097" spans="1:8" x14ac:dyDescent="0.2">
      <c r="A2097" s="10">
        <v>80</v>
      </c>
      <c r="B2097" s="10" t="s">
        <v>2438</v>
      </c>
      <c r="C2097" s="10">
        <v>8011</v>
      </c>
      <c r="D2097" s="10" t="s">
        <v>2449</v>
      </c>
      <c r="E2097" s="11">
        <v>34488</v>
      </c>
      <c r="F2097" s="11">
        <v>34694</v>
      </c>
      <c r="G2097" s="11">
        <v>69182</v>
      </c>
      <c r="H2097" s="11">
        <v>25093</v>
      </c>
    </row>
    <row r="2098" spans="1:8" x14ac:dyDescent="0.2">
      <c r="A2098" s="10">
        <v>80</v>
      </c>
      <c r="B2098" s="10" t="s">
        <v>2438</v>
      </c>
      <c r="C2098" s="10">
        <v>8012</v>
      </c>
      <c r="D2098" s="10" t="s">
        <v>2450</v>
      </c>
      <c r="E2098" s="11">
        <v>38592</v>
      </c>
      <c r="F2098" s="11">
        <v>38076</v>
      </c>
      <c r="G2098" s="11">
        <v>76668</v>
      </c>
      <c r="H2098" s="11">
        <v>27499</v>
      </c>
    </row>
    <row r="2099" spans="1:8" x14ac:dyDescent="0.2">
      <c r="A2099" s="10">
        <v>80</v>
      </c>
      <c r="B2099" s="10" t="s">
        <v>2438</v>
      </c>
      <c r="C2099" s="10">
        <v>8013</v>
      </c>
      <c r="D2099" s="10" t="s">
        <v>2451</v>
      </c>
      <c r="E2099" s="11">
        <v>30501</v>
      </c>
      <c r="F2099" s="11">
        <v>30702</v>
      </c>
      <c r="G2099" s="11">
        <v>61203</v>
      </c>
      <c r="H2099" s="11">
        <v>21226</v>
      </c>
    </row>
    <row r="2100" spans="1:8" x14ac:dyDescent="0.2">
      <c r="A2100" s="10">
        <v>80</v>
      </c>
      <c r="B2100" s="10" t="s">
        <v>2438</v>
      </c>
      <c r="C2100" s="10">
        <v>8014</v>
      </c>
      <c r="D2100" s="10" t="s">
        <v>2452</v>
      </c>
      <c r="E2100" s="11">
        <v>40428</v>
      </c>
      <c r="F2100" s="11">
        <v>41182</v>
      </c>
      <c r="G2100" s="11">
        <v>81610</v>
      </c>
      <c r="H2100" s="11">
        <v>30774</v>
      </c>
    </row>
    <row r="2101" spans="1:8" x14ac:dyDescent="0.2">
      <c r="A2101" s="10">
        <v>80</v>
      </c>
      <c r="B2101" s="10" t="s">
        <v>2438</v>
      </c>
      <c r="C2101" s="10">
        <v>8015</v>
      </c>
      <c r="D2101" s="10" t="s">
        <v>2453</v>
      </c>
      <c r="E2101" s="11">
        <v>10160</v>
      </c>
      <c r="F2101" s="11">
        <v>10556</v>
      </c>
      <c r="G2101" s="11">
        <v>20716</v>
      </c>
      <c r="H2101" s="11">
        <v>10275</v>
      </c>
    </row>
    <row r="2102" spans="1:8" x14ac:dyDescent="0.2">
      <c r="A2102" s="10">
        <v>80</v>
      </c>
      <c r="B2102" s="10" t="s">
        <v>2438</v>
      </c>
      <c r="C2102" s="10">
        <v>8016</v>
      </c>
      <c r="D2102" s="10" t="s">
        <v>2454</v>
      </c>
      <c r="E2102" s="11">
        <v>21524</v>
      </c>
      <c r="F2102" s="11">
        <v>21753</v>
      </c>
      <c r="G2102" s="11">
        <v>43277</v>
      </c>
      <c r="H2102" s="11">
        <v>18583</v>
      </c>
    </row>
    <row r="2103" spans="1:8" x14ac:dyDescent="0.2">
      <c r="A2103" s="10">
        <v>80</v>
      </c>
      <c r="B2103" s="10" t="s">
        <v>2438</v>
      </c>
      <c r="C2103" s="10">
        <v>8017</v>
      </c>
      <c r="D2103" s="10" t="s">
        <v>2455</v>
      </c>
      <c r="E2103" s="11">
        <v>23939</v>
      </c>
      <c r="F2103" s="11">
        <v>23284</v>
      </c>
      <c r="G2103" s="11">
        <v>47223</v>
      </c>
      <c r="H2103" s="11">
        <v>17409</v>
      </c>
    </row>
    <row r="2104" spans="1:8" x14ac:dyDescent="0.2">
      <c r="A2104" s="10">
        <v>80</v>
      </c>
      <c r="B2104" s="10" t="s">
        <v>2438</v>
      </c>
      <c r="C2104" s="10">
        <v>8018</v>
      </c>
      <c r="D2104" s="10" t="s">
        <v>2456</v>
      </c>
      <c r="E2104" s="11">
        <v>9540</v>
      </c>
      <c r="F2104" s="11">
        <v>9505</v>
      </c>
      <c r="G2104" s="11">
        <v>19045</v>
      </c>
      <c r="H2104" s="11">
        <v>7663</v>
      </c>
    </row>
    <row r="2105" spans="1:8" x14ac:dyDescent="0.2">
      <c r="A2105" s="10">
        <v>80</v>
      </c>
      <c r="B2105" s="10" t="s">
        <v>2438</v>
      </c>
      <c r="C2105" s="10">
        <v>8019</v>
      </c>
      <c r="D2105" s="10" t="s">
        <v>2457</v>
      </c>
      <c r="E2105" s="11">
        <v>15434</v>
      </c>
      <c r="F2105" s="11">
        <v>15870</v>
      </c>
      <c r="G2105" s="11">
        <v>31304</v>
      </c>
      <c r="H2105" s="11">
        <v>11289</v>
      </c>
    </row>
    <row r="2106" spans="1:8" x14ac:dyDescent="0.2">
      <c r="A2106" s="10">
        <v>80</v>
      </c>
      <c r="B2106" s="10" t="s">
        <v>2438</v>
      </c>
      <c r="C2106" s="10">
        <v>8020</v>
      </c>
      <c r="D2106" s="10" t="s">
        <v>2458</v>
      </c>
      <c r="E2106" s="11">
        <v>21995</v>
      </c>
      <c r="F2106" s="11">
        <v>22672</v>
      </c>
      <c r="G2106" s="11">
        <v>44667</v>
      </c>
      <c r="H2106" s="11">
        <v>17455</v>
      </c>
    </row>
    <row r="2107" spans="1:8" x14ac:dyDescent="0.2">
      <c r="A2107" s="10">
        <v>80</v>
      </c>
      <c r="B2107" s="10" t="s">
        <v>2438</v>
      </c>
      <c r="C2107" s="10">
        <v>8021</v>
      </c>
      <c r="D2107" s="10" t="s">
        <v>2459</v>
      </c>
      <c r="E2107" s="11">
        <v>17066</v>
      </c>
      <c r="F2107" s="11">
        <v>16910</v>
      </c>
      <c r="G2107" s="11">
        <v>33976</v>
      </c>
      <c r="H2107" s="11">
        <v>12795</v>
      </c>
    </row>
    <row r="2108" spans="1:8" x14ac:dyDescent="0.2">
      <c r="A2108" s="10">
        <v>80</v>
      </c>
      <c r="B2108" s="10" t="s">
        <v>2438</v>
      </c>
      <c r="C2108" s="10">
        <v>8022</v>
      </c>
      <c r="D2108" s="10" t="s">
        <v>2460</v>
      </c>
      <c r="E2108" s="11">
        <v>13638</v>
      </c>
      <c r="F2108" s="11">
        <v>14176</v>
      </c>
      <c r="G2108" s="11">
        <v>27814</v>
      </c>
      <c r="H2108" s="11">
        <v>11314</v>
      </c>
    </row>
    <row r="2109" spans="1:8" x14ac:dyDescent="0.2">
      <c r="A2109" s="10">
        <v>80</v>
      </c>
      <c r="B2109" s="10" t="s">
        <v>2438</v>
      </c>
      <c r="C2109" s="10">
        <v>8023</v>
      </c>
      <c r="D2109" s="10" t="s">
        <v>615</v>
      </c>
      <c r="E2109" s="11">
        <v>10880</v>
      </c>
      <c r="F2109" s="11">
        <v>11000</v>
      </c>
      <c r="G2109" s="11">
        <v>21880</v>
      </c>
      <c r="H2109" s="11">
        <v>8275</v>
      </c>
    </row>
    <row r="2110" spans="1:8" x14ac:dyDescent="0.2">
      <c r="A2110" s="10">
        <v>80</v>
      </c>
      <c r="B2110" s="10" t="s">
        <v>2438</v>
      </c>
      <c r="C2110" s="10">
        <v>8070</v>
      </c>
      <c r="D2110" s="10" t="s">
        <v>2461</v>
      </c>
      <c r="E2110" s="11">
        <v>4027</v>
      </c>
      <c r="F2110" s="11">
        <v>3971</v>
      </c>
      <c r="G2110" s="11">
        <v>7998</v>
      </c>
      <c r="H2110" s="11">
        <v>3014</v>
      </c>
    </row>
    <row r="2111" spans="1:8" x14ac:dyDescent="0.2">
      <c r="A2111" s="10">
        <v>80</v>
      </c>
      <c r="B2111" s="10" t="s">
        <v>2438</v>
      </c>
      <c r="C2111" s="10">
        <v>8071</v>
      </c>
      <c r="D2111" s="10" t="s">
        <v>2340</v>
      </c>
      <c r="E2111" s="11">
        <v>4042</v>
      </c>
      <c r="F2111" s="11">
        <v>4070</v>
      </c>
      <c r="G2111" s="11">
        <v>8112</v>
      </c>
      <c r="H2111" s="11">
        <v>3433</v>
      </c>
    </row>
    <row r="2112" spans="1:8" x14ac:dyDescent="0.2">
      <c r="A2112" s="10">
        <v>80</v>
      </c>
      <c r="B2112" s="10" t="s">
        <v>2438</v>
      </c>
      <c r="C2112" s="10">
        <v>8072</v>
      </c>
      <c r="D2112" s="10" t="s">
        <v>2462</v>
      </c>
      <c r="E2112" s="11">
        <v>3399</v>
      </c>
      <c r="F2112" s="11">
        <v>3349</v>
      </c>
      <c r="G2112" s="11">
        <v>6748</v>
      </c>
      <c r="H2112" s="11">
        <v>2257</v>
      </c>
    </row>
    <row r="2113" spans="1:8" x14ac:dyDescent="0.2">
      <c r="A2113" s="10">
        <v>80</v>
      </c>
      <c r="B2113" s="10" t="s">
        <v>2438</v>
      </c>
      <c r="C2113" s="10">
        <v>8073</v>
      </c>
      <c r="D2113" s="10" t="s">
        <v>2463</v>
      </c>
      <c r="E2113" s="11">
        <v>4527</v>
      </c>
      <c r="F2113" s="11">
        <v>4281</v>
      </c>
      <c r="G2113" s="11">
        <v>8808</v>
      </c>
      <c r="H2113" s="11">
        <v>3001</v>
      </c>
    </row>
    <row r="2114" spans="1:8" x14ac:dyDescent="0.2">
      <c r="A2114" s="10">
        <v>80</v>
      </c>
      <c r="B2114" s="10" t="s">
        <v>2438</v>
      </c>
      <c r="C2114" s="10">
        <v>8074</v>
      </c>
      <c r="D2114" s="10" t="s">
        <v>2464</v>
      </c>
      <c r="E2114" s="11">
        <v>7270</v>
      </c>
      <c r="F2114" s="11">
        <v>7337</v>
      </c>
      <c r="G2114" s="11">
        <v>14607</v>
      </c>
      <c r="H2114" s="11">
        <v>6818</v>
      </c>
    </row>
    <row r="2115" spans="1:8" x14ac:dyDescent="0.2">
      <c r="A2115" s="10">
        <v>80</v>
      </c>
      <c r="B2115" s="10" t="s">
        <v>2438</v>
      </c>
      <c r="C2115" s="10">
        <v>8075</v>
      </c>
      <c r="D2115" s="10" t="s">
        <v>2465</v>
      </c>
      <c r="E2115" s="11">
        <v>2853</v>
      </c>
      <c r="F2115" s="11">
        <v>2867</v>
      </c>
      <c r="G2115" s="11">
        <v>5720</v>
      </c>
      <c r="H2115" s="11">
        <v>3428</v>
      </c>
    </row>
    <row r="2116" spans="1:8" x14ac:dyDescent="0.2">
      <c r="A2116" s="10">
        <v>80</v>
      </c>
      <c r="B2116" s="10" t="s">
        <v>2438</v>
      </c>
      <c r="C2116" s="10">
        <v>8076</v>
      </c>
      <c r="D2116" s="10" t="s">
        <v>2466</v>
      </c>
      <c r="E2116" s="11">
        <v>1883</v>
      </c>
      <c r="F2116" s="11">
        <v>2081</v>
      </c>
      <c r="G2116" s="11">
        <v>3964</v>
      </c>
      <c r="H2116" s="11">
        <v>1928</v>
      </c>
    </row>
    <row r="2117" spans="1:8" x14ac:dyDescent="0.2">
      <c r="A2117" s="10">
        <v>80</v>
      </c>
      <c r="B2117" s="10" t="s">
        <v>2438</v>
      </c>
      <c r="C2117" s="10">
        <v>8077</v>
      </c>
      <c r="D2117" s="10" t="s">
        <v>2467</v>
      </c>
      <c r="E2117" s="11">
        <v>2163</v>
      </c>
      <c r="F2117" s="11">
        <v>2204</v>
      </c>
      <c r="G2117" s="11">
        <v>4367</v>
      </c>
      <c r="H2117" s="11">
        <v>2540</v>
      </c>
    </row>
    <row r="2118" spans="1:8" x14ac:dyDescent="0.2">
      <c r="A2118" s="10">
        <v>80</v>
      </c>
      <c r="B2118" s="10" t="s">
        <v>2438</v>
      </c>
      <c r="C2118" s="10">
        <v>8078</v>
      </c>
      <c r="D2118" s="10" t="s">
        <v>2468</v>
      </c>
      <c r="E2118" s="11">
        <v>3261</v>
      </c>
      <c r="F2118" s="11">
        <v>3538</v>
      </c>
      <c r="G2118" s="11">
        <v>6799</v>
      </c>
      <c r="H2118" s="11">
        <v>4205</v>
      </c>
    </row>
    <row r="2119" spans="1:8" x14ac:dyDescent="0.2">
      <c r="A2119" s="10">
        <v>80</v>
      </c>
      <c r="B2119" s="10" t="s">
        <v>2438</v>
      </c>
      <c r="C2119" s="10">
        <v>8079</v>
      </c>
      <c r="D2119" s="10" t="s">
        <v>2469</v>
      </c>
      <c r="E2119" s="11">
        <v>4252</v>
      </c>
      <c r="F2119" s="11">
        <v>4215</v>
      </c>
      <c r="G2119" s="11">
        <v>8467</v>
      </c>
      <c r="H2119" s="11">
        <v>2924</v>
      </c>
    </row>
    <row r="2120" spans="1:8" x14ac:dyDescent="0.2">
      <c r="A2120" s="10">
        <v>80</v>
      </c>
      <c r="B2120" s="10" t="s">
        <v>2438</v>
      </c>
      <c r="C2120" s="10">
        <v>8080</v>
      </c>
      <c r="D2120" s="10" t="s">
        <v>2470</v>
      </c>
      <c r="E2120" s="11">
        <v>3599</v>
      </c>
      <c r="F2120" s="11">
        <v>3938</v>
      </c>
      <c r="G2120" s="11">
        <v>7537</v>
      </c>
      <c r="H2120" s="11">
        <v>3468</v>
      </c>
    </row>
    <row r="2121" spans="1:8" x14ac:dyDescent="0.2">
      <c r="A2121" s="10">
        <v>80</v>
      </c>
      <c r="B2121" s="10" t="s">
        <v>2438</v>
      </c>
      <c r="C2121" s="10">
        <v>8081</v>
      </c>
      <c r="D2121" s="10" t="s">
        <v>2471</v>
      </c>
      <c r="E2121" s="11">
        <v>2085</v>
      </c>
      <c r="F2121" s="11">
        <v>2218</v>
      </c>
      <c r="G2121" s="11">
        <v>4303</v>
      </c>
      <c r="H2121" s="11">
        <v>1399</v>
      </c>
    </row>
    <row r="2122" spans="1:8" x14ac:dyDescent="0.2">
      <c r="A2122" s="10">
        <v>80</v>
      </c>
      <c r="B2122" s="10" t="s">
        <v>2438</v>
      </c>
      <c r="C2122" s="10">
        <v>8082</v>
      </c>
      <c r="D2122" s="10" t="s">
        <v>2406</v>
      </c>
      <c r="E2122" s="11">
        <v>2418</v>
      </c>
      <c r="F2122" s="11">
        <v>2600</v>
      </c>
      <c r="G2122" s="11">
        <v>5018</v>
      </c>
      <c r="H2122" s="11">
        <v>3140</v>
      </c>
    </row>
    <row r="2123" spans="1:8" x14ac:dyDescent="0.2">
      <c r="A2123" s="10">
        <v>80</v>
      </c>
      <c r="B2123" s="10" t="s">
        <v>2438</v>
      </c>
      <c r="C2123" s="10">
        <v>8083</v>
      </c>
      <c r="D2123" s="10" t="s">
        <v>2472</v>
      </c>
      <c r="E2123" s="11">
        <v>1023</v>
      </c>
      <c r="F2123" s="11">
        <v>1086</v>
      </c>
      <c r="G2123" s="11">
        <v>2109</v>
      </c>
      <c r="H2123" s="11">
        <v>1167</v>
      </c>
    </row>
    <row r="2124" spans="1:8" x14ac:dyDescent="0.2">
      <c r="A2124" s="10">
        <v>80</v>
      </c>
      <c r="B2124" s="10" t="s">
        <v>2438</v>
      </c>
      <c r="C2124" s="10">
        <v>8084</v>
      </c>
      <c r="D2124" s="10" t="s">
        <v>547</v>
      </c>
      <c r="E2124" s="11">
        <v>1305</v>
      </c>
      <c r="F2124" s="11">
        <v>1466</v>
      </c>
      <c r="G2124" s="11">
        <v>2771</v>
      </c>
      <c r="H2124" s="11">
        <v>1838</v>
      </c>
    </row>
    <row r="2125" spans="1:8" x14ac:dyDescent="0.2">
      <c r="A2125" s="10">
        <v>80</v>
      </c>
      <c r="B2125" s="10" t="s">
        <v>2438</v>
      </c>
      <c r="C2125" s="10">
        <v>8085</v>
      </c>
      <c r="D2125" s="10" t="s">
        <v>2473</v>
      </c>
      <c r="E2125" s="11">
        <v>1557</v>
      </c>
      <c r="F2125" s="11">
        <v>1829</v>
      </c>
      <c r="G2125" s="11">
        <v>3386</v>
      </c>
      <c r="H2125" s="11">
        <v>1687</v>
      </c>
    </row>
    <row r="2126" spans="1:8" x14ac:dyDescent="0.2">
      <c r="A2126" s="10">
        <v>80</v>
      </c>
      <c r="B2126" s="10" t="s">
        <v>2438</v>
      </c>
      <c r="C2126" s="10">
        <v>8086</v>
      </c>
      <c r="D2126" s="10" t="s">
        <v>2474</v>
      </c>
      <c r="E2126" s="10">
        <v>782</v>
      </c>
      <c r="F2126" s="10">
        <v>831</v>
      </c>
      <c r="G2126" s="11">
        <v>1613</v>
      </c>
      <c r="H2126" s="10">
        <v>802</v>
      </c>
    </row>
    <row r="2127" spans="1:8" x14ac:dyDescent="0.2">
      <c r="A2127" s="10">
        <v>80</v>
      </c>
      <c r="B2127" s="10" t="s">
        <v>2438</v>
      </c>
      <c r="C2127" s="10">
        <v>8087</v>
      </c>
      <c r="D2127" s="10" t="s">
        <v>2475</v>
      </c>
      <c r="E2127" s="11">
        <v>1300</v>
      </c>
      <c r="F2127" s="11">
        <v>1396</v>
      </c>
      <c r="G2127" s="11">
        <v>2696</v>
      </c>
      <c r="H2127" s="11">
        <v>1158</v>
      </c>
    </row>
    <row r="2128" spans="1:8" x14ac:dyDescent="0.2">
      <c r="A2128" s="10">
        <v>80</v>
      </c>
      <c r="B2128" s="10" t="s">
        <v>2438</v>
      </c>
      <c r="C2128" s="10">
        <v>8088</v>
      </c>
      <c r="D2128" s="10" t="s">
        <v>2476</v>
      </c>
      <c r="E2128" s="11">
        <v>1126</v>
      </c>
      <c r="F2128" s="11">
        <v>1171</v>
      </c>
      <c r="G2128" s="11">
        <v>2297</v>
      </c>
      <c r="H2128" s="11">
        <v>1273</v>
      </c>
    </row>
    <row r="2129" spans="1:8" x14ac:dyDescent="0.2">
      <c r="A2129" s="10">
        <v>80</v>
      </c>
      <c r="B2129" s="10" t="s">
        <v>2438</v>
      </c>
      <c r="C2129" s="10">
        <v>8089</v>
      </c>
      <c r="D2129" s="10" t="s">
        <v>2477</v>
      </c>
      <c r="E2129" s="11">
        <v>1183</v>
      </c>
      <c r="F2129" s="11">
        <v>1216</v>
      </c>
      <c r="G2129" s="11">
        <v>2399</v>
      </c>
      <c r="H2129" s="11">
        <v>1313</v>
      </c>
    </row>
    <row r="2130" spans="1:8" x14ac:dyDescent="0.2">
      <c r="A2130" s="10">
        <v>80</v>
      </c>
      <c r="B2130" s="10" t="s">
        <v>2438</v>
      </c>
      <c r="C2130" s="10">
        <v>8090</v>
      </c>
      <c r="D2130" s="10" t="s">
        <v>2478</v>
      </c>
      <c r="E2130" s="11">
        <v>3442</v>
      </c>
      <c r="F2130" s="11">
        <v>3832</v>
      </c>
      <c r="G2130" s="11">
        <v>7274</v>
      </c>
      <c r="H2130" s="11">
        <v>4043</v>
      </c>
    </row>
    <row r="2131" spans="1:8" x14ac:dyDescent="0.2">
      <c r="A2131" s="10">
        <v>80</v>
      </c>
      <c r="B2131" s="10" t="s">
        <v>2438</v>
      </c>
      <c r="C2131" s="10">
        <v>8091</v>
      </c>
      <c r="D2131" s="10" t="s">
        <v>2479</v>
      </c>
      <c r="E2131" s="10">
        <v>866</v>
      </c>
      <c r="F2131" s="10">
        <v>956</v>
      </c>
      <c r="G2131" s="11">
        <v>1822</v>
      </c>
      <c r="H2131" s="11">
        <v>1051</v>
      </c>
    </row>
    <row r="2132" spans="1:8" x14ac:dyDescent="0.2">
      <c r="A2132" s="10">
        <v>80</v>
      </c>
      <c r="B2132" s="10" t="s">
        <v>2438</v>
      </c>
      <c r="C2132" s="10">
        <v>8092</v>
      </c>
      <c r="D2132" s="10" t="s">
        <v>2480</v>
      </c>
      <c r="E2132" s="11">
        <v>3264</v>
      </c>
      <c r="F2132" s="11">
        <v>3404</v>
      </c>
      <c r="G2132" s="11">
        <v>6668</v>
      </c>
      <c r="H2132" s="11">
        <v>2856</v>
      </c>
    </row>
    <row r="2133" spans="1:8" x14ac:dyDescent="0.2">
      <c r="A2133" s="10">
        <v>80</v>
      </c>
      <c r="B2133" s="10" t="s">
        <v>2438</v>
      </c>
      <c r="C2133" s="10">
        <v>8093</v>
      </c>
      <c r="D2133" s="10" t="s">
        <v>2481</v>
      </c>
      <c r="E2133" s="11">
        <v>1699</v>
      </c>
      <c r="F2133" s="11">
        <v>1729</v>
      </c>
      <c r="G2133" s="11">
        <v>3428</v>
      </c>
      <c r="H2133" s="11">
        <v>1172</v>
      </c>
    </row>
    <row r="2134" spans="1:8" x14ac:dyDescent="0.2">
      <c r="A2134" s="10">
        <v>80</v>
      </c>
      <c r="B2134" s="10" t="s">
        <v>2438</v>
      </c>
      <c r="C2134" s="10">
        <v>8094</v>
      </c>
      <c r="D2134" s="10" t="s">
        <v>2482</v>
      </c>
      <c r="E2134" s="11">
        <v>3112</v>
      </c>
      <c r="F2134" s="11">
        <v>3030</v>
      </c>
      <c r="G2134" s="11">
        <v>6142</v>
      </c>
      <c r="H2134" s="11">
        <v>2112</v>
      </c>
    </row>
    <row r="2135" spans="1:8" x14ac:dyDescent="0.2">
      <c r="A2135" s="10">
        <v>80</v>
      </c>
      <c r="B2135" s="10" t="s">
        <v>2438</v>
      </c>
      <c r="C2135" s="10">
        <v>8095</v>
      </c>
      <c r="D2135" s="10" t="s">
        <v>2483</v>
      </c>
      <c r="E2135" s="10">
        <v>886</v>
      </c>
      <c r="F2135" s="10">
        <v>936</v>
      </c>
      <c r="G2135" s="11">
        <v>1822</v>
      </c>
      <c r="H2135" s="10">
        <v>702</v>
      </c>
    </row>
    <row r="2136" spans="1:8" x14ac:dyDescent="0.2">
      <c r="A2136" s="10">
        <v>80</v>
      </c>
      <c r="B2136" s="10" t="s">
        <v>2438</v>
      </c>
      <c r="C2136" s="10">
        <v>8096</v>
      </c>
      <c r="D2136" s="10" t="s">
        <v>2484</v>
      </c>
      <c r="E2136" s="11">
        <v>1826</v>
      </c>
      <c r="F2136" s="11">
        <v>1868</v>
      </c>
      <c r="G2136" s="11">
        <v>3694</v>
      </c>
      <c r="H2136" s="11">
        <v>1291</v>
      </c>
    </row>
    <row r="2137" spans="1:8" x14ac:dyDescent="0.2">
      <c r="A2137" s="10">
        <v>80</v>
      </c>
      <c r="B2137" s="10" t="s">
        <v>2438</v>
      </c>
      <c r="C2137" s="10">
        <v>8097</v>
      </c>
      <c r="D2137" s="10" t="s">
        <v>2485</v>
      </c>
      <c r="E2137" s="11">
        <v>13248</v>
      </c>
      <c r="F2137" s="11">
        <v>15629</v>
      </c>
      <c r="G2137" s="11">
        <v>28877</v>
      </c>
      <c r="H2137" s="11">
        <v>11809</v>
      </c>
    </row>
    <row r="2138" spans="1:8" x14ac:dyDescent="0.2">
      <c r="A2138" s="10">
        <v>80</v>
      </c>
      <c r="B2138" s="10" t="s">
        <v>2438</v>
      </c>
      <c r="C2138" s="10">
        <v>8098</v>
      </c>
      <c r="D2138" s="10" t="s">
        <v>2486</v>
      </c>
      <c r="E2138" s="11">
        <v>9111</v>
      </c>
      <c r="F2138" s="11">
        <v>9353</v>
      </c>
      <c r="G2138" s="11">
        <v>18464</v>
      </c>
      <c r="H2138" s="11">
        <v>8254</v>
      </c>
    </row>
    <row r="2139" spans="1:8" x14ac:dyDescent="0.2">
      <c r="A2139" s="10">
        <v>80</v>
      </c>
      <c r="B2139" s="10" t="s">
        <v>2438</v>
      </c>
      <c r="C2139" s="10">
        <v>8099</v>
      </c>
      <c r="D2139" s="10" t="s">
        <v>2487</v>
      </c>
      <c r="E2139" s="11">
        <v>44894</v>
      </c>
      <c r="F2139" s="11">
        <v>50437</v>
      </c>
      <c r="G2139" s="11">
        <v>95331</v>
      </c>
      <c r="H2139" s="11">
        <v>47550</v>
      </c>
    </row>
    <row r="2140" spans="1:8" x14ac:dyDescent="0.2">
      <c r="A2140" s="10">
        <v>81</v>
      </c>
      <c r="B2140" s="10" t="s">
        <v>2488</v>
      </c>
      <c r="C2140" s="10">
        <v>8101</v>
      </c>
      <c r="D2140" s="10" t="s">
        <v>2489</v>
      </c>
      <c r="E2140" s="11">
        <v>37954</v>
      </c>
      <c r="F2140" s="11">
        <v>38721</v>
      </c>
      <c r="G2140" s="11">
        <v>76675</v>
      </c>
      <c r="H2140" s="11">
        <v>42038</v>
      </c>
    </row>
    <row r="2141" spans="1:8" x14ac:dyDescent="0.2">
      <c r="A2141" s="10">
        <v>81</v>
      </c>
      <c r="B2141" s="10" t="s">
        <v>2488</v>
      </c>
      <c r="C2141" s="10">
        <v>8102</v>
      </c>
      <c r="D2141" s="10" t="s">
        <v>2490</v>
      </c>
      <c r="E2141" s="11">
        <v>25489</v>
      </c>
      <c r="F2141" s="11">
        <v>25287</v>
      </c>
      <c r="G2141" s="11">
        <v>50776</v>
      </c>
      <c r="H2141" s="11">
        <v>19101</v>
      </c>
    </row>
    <row r="2142" spans="1:8" x14ac:dyDescent="0.2">
      <c r="A2142" s="10">
        <v>81</v>
      </c>
      <c r="B2142" s="10" t="s">
        <v>2488</v>
      </c>
      <c r="C2142" s="10">
        <v>8103</v>
      </c>
      <c r="D2142" s="10" t="s">
        <v>2491</v>
      </c>
      <c r="E2142" s="11">
        <v>17891</v>
      </c>
      <c r="F2142" s="11">
        <v>17429</v>
      </c>
      <c r="G2142" s="11">
        <v>35320</v>
      </c>
      <c r="H2142" s="11">
        <v>15683</v>
      </c>
    </row>
    <row r="2143" spans="1:8" x14ac:dyDescent="0.2">
      <c r="A2143" s="10">
        <v>81</v>
      </c>
      <c r="B2143" s="10" t="s">
        <v>2488</v>
      </c>
      <c r="C2143" s="10">
        <v>8104</v>
      </c>
      <c r="D2143" s="10" t="s">
        <v>2492</v>
      </c>
      <c r="E2143" s="11">
        <v>36838</v>
      </c>
      <c r="F2143" s="11">
        <v>35594</v>
      </c>
      <c r="G2143" s="11">
        <v>72432</v>
      </c>
      <c r="H2143" s="11">
        <v>26167</v>
      </c>
    </row>
    <row r="2144" spans="1:8" x14ac:dyDescent="0.2">
      <c r="A2144" s="10">
        <v>81</v>
      </c>
      <c r="B2144" s="10" t="s">
        <v>2488</v>
      </c>
      <c r="C2144" s="10">
        <v>8105</v>
      </c>
      <c r="D2144" s="10" t="s">
        <v>2493</v>
      </c>
      <c r="E2144" s="11">
        <v>23420</v>
      </c>
      <c r="F2144" s="11">
        <v>23642</v>
      </c>
      <c r="G2144" s="11">
        <v>47062</v>
      </c>
      <c r="H2144" s="11">
        <v>17520</v>
      </c>
    </row>
    <row r="2145" spans="1:8" x14ac:dyDescent="0.2">
      <c r="A2145" s="10">
        <v>81</v>
      </c>
      <c r="B2145" s="10" t="s">
        <v>2488</v>
      </c>
      <c r="C2145" s="10">
        <v>8106</v>
      </c>
      <c r="D2145" s="10" t="s">
        <v>2494</v>
      </c>
      <c r="E2145" s="11">
        <v>16244</v>
      </c>
      <c r="F2145" s="11">
        <v>16208</v>
      </c>
      <c r="G2145" s="11">
        <v>32452</v>
      </c>
      <c r="H2145" s="11">
        <v>11615</v>
      </c>
    </row>
    <row r="2146" spans="1:8" x14ac:dyDescent="0.2">
      <c r="A2146" s="10">
        <v>81</v>
      </c>
      <c r="B2146" s="10" t="s">
        <v>2488</v>
      </c>
      <c r="C2146" s="10">
        <v>8107</v>
      </c>
      <c r="D2146" s="10" t="s">
        <v>2495</v>
      </c>
      <c r="E2146" s="11">
        <v>10280</v>
      </c>
      <c r="F2146" s="11">
        <v>9995</v>
      </c>
      <c r="G2146" s="11">
        <v>20275</v>
      </c>
      <c r="H2146" s="11">
        <v>7616</v>
      </c>
    </row>
    <row r="2147" spans="1:8" x14ac:dyDescent="0.2">
      <c r="A2147" s="10">
        <v>81</v>
      </c>
      <c r="B2147" s="10" t="s">
        <v>2488</v>
      </c>
      <c r="C2147" s="10">
        <v>8108</v>
      </c>
      <c r="D2147" s="10" t="s">
        <v>2496</v>
      </c>
      <c r="E2147" s="11">
        <v>30340</v>
      </c>
      <c r="F2147" s="11">
        <v>31034</v>
      </c>
      <c r="G2147" s="11">
        <v>61374</v>
      </c>
      <c r="H2147" s="11">
        <v>21765</v>
      </c>
    </row>
    <row r="2148" spans="1:8" x14ac:dyDescent="0.2">
      <c r="A2148" s="10">
        <v>81</v>
      </c>
      <c r="B2148" s="10" t="s">
        <v>2488</v>
      </c>
      <c r="C2148" s="10">
        <v>8189</v>
      </c>
      <c r="D2148" s="10" t="s">
        <v>2497</v>
      </c>
      <c r="E2148" s="11">
        <v>9703</v>
      </c>
      <c r="F2148" s="11">
        <v>10085</v>
      </c>
      <c r="G2148" s="11">
        <v>19788</v>
      </c>
      <c r="H2148" s="11">
        <v>9878</v>
      </c>
    </row>
    <row r="2149" spans="1:8" x14ac:dyDescent="0.2">
      <c r="A2149" s="10">
        <v>81</v>
      </c>
      <c r="B2149" s="10" t="s">
        <v>2488</v>
      </c>
      <c r="C2149" s="10">
        <v>8190</v>
      </c>
      <c r="D2149" s="10" t="s">
        <v>2498</v>
      </c>
      <c r="E2149" s="11">
        <v>2089</v>
      </c>
      <c r="F2149" s="11">
        <v>2267</v>
      </c>
      <c r="G2149" s="11">
        <v>4356</v>
      </c>
      <c r="H2149" s="11">
        <v>2505</v>
      </c>
    </row>
    <row r="2150" spans="1:8" x14ac:dyDescent="0.2">
      <c r="A2150" s="10">
        <v>81</v>
      </c>
      <c r="B2150" s="10" t="s">
        <v>2488</v>
      </c>
      <c r="C2150" s="10">
        <v>8191</v>
      </c>
      <c r="D2150" s="10" t="s">
        <v>2499</v>
      </c>
      <c r="E2150" s="11">
        <v>2096</v>
      </c>
      <c r="F2150" s="11">
        <v>2270</v>
      </c>
      <c r="G2150" s="11">
        <v>4366</v>
      </c>
      <c r="H2150" s="11">
        <v>2482</v>
      </c>
    </row>
    <row r="2151" spans="1:8" x14ac:dyDescent="0.2">
      <c r="A2151" s="10">
        <v>81</v>
      </c>
      <c r="B2151" s="10" t="s">
        <v>2488</v>
      </c>
      <c r="C2151" s="10">
        <v>8192</v>
      </c>
      <c r="D2151" s="10" t="s">
        <v>2500</v>
      </c>
      <c r="E2151" s="11">
        <v>3012</v>
      </c>
      <c r="F2151" s="11">
        <v>3034</v>
      </c>
      <c r="G2151" s="11">
        <v>6046</v>
      </c>
      <c r="H2151" s="11">
        <v>2719</v>
      </c>
    </row>
    <row r="2152" spans="1:8" x14ac:dyDescent="0.2">
      <c r="A2152" s="10">
        <v>81</v>
      </c>
      <c r="B2152" s="10" t="s">
        <v>2488</v>
      </c>
      <c r="C2152" s="10">
        <v>8193</v>
      </c>
      <c r="D2152" s="10" t="s">
        <v>2501</v>
      </c>
      <c r="E2152" s="11">
        <v>2591</v>
      </c>
      <c r="F2152" s="11">
        <v>2811</v>
      </c>
      <c r="G2152" s="11">
        <v>5402</v>
      </c>
      <c r="H2152" s="11">
        <v>3090</v>
      </c>
    </row>
    <row r="2153" spans="1:8" x14ac:dyDescent="0.2">
      <c r="A2153" s="10">
        <v>81</v>
      </c>
      <c r="B2153" s="10" t="s">
        <v>2488</v>
      </c>
      <c r="C2153" s="10">
        <v>8194</v>
      </c>
      <c r="D2153" s="10" t="s">
        <v>2502</v>
      </c>
      <c r="E2153" s="11">
        <v>2057</v>
      </c>
      <c r="F2153" s="11">
        <v>2044</v>
      </c>
      <c r="G2153" s="11">
        <v>4101</v>
      </c>
      <c r="H2153" s="11">
        <v>1306</v>
      </c>
    </row>
    <row r="2154" spans="1:8" x14ac:dyDescent="0.2">
      <c r="A2154" s="10">
        <v>81</v>
      </c>
      <c r="B2154" s="10" t="s">
        <v>2488</v>
      </c>
      <c r="C2154" s="10">
        <v>8195</v>
      </c>
      <c r="D2154" s="10" t="s">
        <v>2503</v>
      </c>
      <c r="E2154" s="11">
        <v>1421</v>
      </c>
      <c r="F2154" s="11">
        <v>1475</v>
      </c>
      <c r="G2154" s="11">
        <v>2896</v>
      </c>
      <c r="H2154" s="11">
        <v>1371</v>
      </c>
    </row>
    <row r="2155" spans="1:8" x14ac:dyDescent="0.2">
      <c r="A2155" s="10">
        <v>81</v>
      </c>
      <c r="B2155" s="10" t="s">
        <v>2488</v>
      </c>
      <c r="C2155" s="10">
        <v>8196</v>
      </c>
      <c r="D2155" s="10" t="s">
        <v>2504</v>
      </c>
      <c r="E2155" s="11">
        <v>1491</v>
      </c>
      <c r="F2155" s="11">
        <v>1683</v>
      </c>
      <c r="G2155" s="11">
        <v>3174</v>
      </c>
      <c r="H2155" s="11">
        <v>1836</v>
      </c>
    </row>
    <row r="2156" spans="1:8" x14ac:dyDescent="0.2">
      <c r="A2156" s="10">
        <v>81</v>
      </c>
      <c r="B2156" s="10" t="s">
        <v>2488</v>
      </c>
      <c r="C2156" s="10">
        <v>8197</v>
      </c>
      <c r="D2156" s="10" t="s">
        <v>2505</v>
      </c>
      <c r="E2156" s="10">
        <v>563</v>
      </c>
      <c r="F2156" s="10">
        <v>589</v>
      </c>
      <c r="G2156" s="11">
        <v>1152</v>
      </c>
      <c r="H2156" s="10">
        <v>513</v>
      </c>
    </row>
    <row r="2157" spans="1:8" x14ac:dyDescent="0.2">
      <c r="A2157" s="10">
        <v>81</v>
      </c>
      <c r="B2157" s="10" t="s">
        <v>2488</v>
      </c>
      <c r="C2157" s="10">
        <v>8198</v>
      </c>
      <c r="D2157" s="10" t="s">
        <v>2506</v>
      </c>
      <c r="E2157" s="11">
        <v>2613</v>
      </c>
      <c r="F2157" s="11">
        <v>2773</v>
      </c>
      <c r="G2157" s="11">
        <v>5386</v>
      </c>
      <c r="H2157" s="11">
        <v>2577</v>
      </c>
    </row>
    <row r="2158" spans="1:8" x14ac:dyDescent="0.2">
      <c r="A2158" s="10">
        <v>81</v>
      </c>
      <c r="B2158" s="10" t="s">
        <v>2488</v>
      </c>
      <c r="C2158" s="10">
        <v>8199</v>
      </c>
      <c r="D2158" s="10" t="s">
        <v>2507</v>
      </c>
      <c r="E2158" s="11">
        <v>14221</v>
      </c>
      <c r="F2158" s="11">
        <v>16601</v>
      </c>
      <c r="G2158" s="11">
        <v>30822</v>
      </c>
      <c r="H2158" s="11">
        <v>18450</v>
      </c>
    </row>
    <row r="2159" spans="1:8" x14ac:dyDescent="0.2">
      <c r="A2159" s="10">
        <v>82</v>
      </c>
      <c r="B2159" s="10" t="s">
        <v>2508</v>
      </c>
      <c r="C2159" s="10">
        <v>8201</v>
      </c>
      <c r="D2159" s="10" t="s">
        <v>2509</v>
      </c>
      <c r="E2159" s="11">
        <v>15197</v>
      </c>
      <c r="F2159" s="11">
        <v>15685</v>
      </c>
      <c r="G2159" s="11">
        <v>30882</v>
      </c>
      <c r="H2159" s="11">
        <v>12960</v>
      </c>
    </row>
    <row r="2160" spans="1:8" x14ac:dyDescent="0.2">
      <c r="A2160" s="10">
        <v>82</v>
      </c>
      <c r="B2160" s="10" t="s">
        <v>2508</v>
      </c>
      <c r="C2160" s="10">
        <v>8202</v>
      </c>
      <c r="D2160" s="10" t="s">
        <v>2510</v>
      </c>
      <c r="E2160" s="11">
        <v>7423</v>
      </c>
      <c r="F2160" s="11">
        <v>7281</v>
      </c>
      <c r="G2160" s="11">
        <v>14704</v>
      </c>
      <c r="H2160" s="11">
        <v>6231</v>
      </c>
    </row>
    <row r="2161" spans="1:8" x14ac:dyDescent="0.2">
      <c r="A2161" s="10">
        <v>82</v>
      </c>
      <c r="B2161" s="10" t="s">
        <v>2508</v>
      </c>
      <c r="C2161" s="10">
        <v>8203</v>
      </c>
      <c r="D2161" s="10" t="s">
        <v>2511</v>
      </c>
      <c r="E2161" s="11">
        <v>6682</v>
      </c>
      <c r="F2161" s="11">
        <v>6642</v>
      </c>
      <c r="G2161" s="11">
        <v>13324</v>
      </c>
      <c r="H2161" s="11">
        <v>6241</v>
      </c>
    </row>
    <row r="2162" spans="1:8" x14ac:dyDescent="0.2">
      <c r="A2162" s="10">
        <v>82</v>
      </c>
      <c r="B2162" s="10" t="s">
        <v>2508</v>
      </c>
      <c r="C2162" s="10">
        <v>8204</v>
      </c>
      <c r="D2162" s="10" t="s">
        <v>2512</v>
      </c>
      <c r="E2162" s="11">
        <v>19706</v>
      </c>
      <c r="F2162" s="11">
        <v>19511</v>
      </c>
      <c r="G2162" s="11">
        <v>39217</v>
      </c>
      <c r="H2162" s="11">
        <v>16946</v>
      </c>
    </row>
    <row r="2163" spans="1:8" x14ac:dyDescent="0.2">
      <c r="A2163" s="10">
        <v>82</v>
      </c>
      <c r="B2163" s="10" t="s">
        <v>2508</v>
      </c>
      <c r="C2163" s="10">
        <v>8205</v>
      </c>
      <c r="D2163" s="10" t="s">
        <v>2513</v>
      </c>
      <c r="E2163" s="11">
        <v>20836</v>
      </c>
      <c r="F2163" s="11">
        <v>21091</v>
      </c>
      <c r="G2163" s="11">
        <v>41927</v>
      </c>
      <c r="H2163" s="11">
        <v>25190</v>
      </c>
    </row>
    <row r="2164" spans="1:8" x14ac:dyDescent="0.2">
      <c r="A2164" s="10">
        <v>82</v>
      </c>
      <c r="B2164" s="10" t="s">
        <v>2508</v>
      </c>
      <c r="C2164" s="10">
        <v>8206</v>
      </c>
      <c r="D2164" s="10" t="s">
        <v>2514</v>
      </c>
      <c r="E2164" s="11">
        <v>12642</v>
      </c>
      <c r="F2164" s="11">
        <v>12270</v>
      </c>
      <c r="G2164" s="11">
        <v>24912</v>
      </c>
      <c r="H2164" s="11">
        <v>10816</v>
      </c>
    </row>
    <row r="2165" spans="1:8" x14ac:dyDescent="0.2">
      <c r="A2165" s="10">
        <v>82</v>
      </c>
      <c r="B2165" s="10" t="s">
        <v>2508</v>
      </c>
      <c r="C2165" s="10">
        <v>8207</v>
      </c>
      <c r="D2165" s="10" t="s">
        <v>2515</v>
      </c>
      <c r="E2165" s="11">
        <v>12459</v>
      </c>
      <c r="F2165" s="11">
        <v>12375</v>
      </c>
      <c r="G2165" s="11">
        <v>24834</v>
      </c>
      <c r="H2165" s="11">
        <v>8557</v>
      </c>
    </row>
    <row r="2166" spans="1:8" x14ac:dyDescent="0.2">
      <c r="A2166" s="10">
        <v>82</v>
      </c>
      <c r="B2166" s="10" t="s">
        <v>2508</v>
      </c>
      <c r="C2166" s="10">
        <v>8208</v>
      </c>
      <c r="D2166" s="10" t="s">
        <v>2516</v>
      </c>
      <c r="E2166" s="11">
        <v>22787</v>
      </c>
      <c r="F2166" s="11">
        <v>22069</v>
      </c>
      <c r="G2166" s="11">
        <v>44856</v>
      </c>
      <c r="H2166" s="11">
        <v>21765</v>
      </c>
    </row>
    <row r="2167" spans="1:8" x14ac:dyDescent="0.2">
      <c r="A2167" s="10">
        <v>82</v>
      </c>
      <c r="B2167" s="10" t="s">
        <v>2508</v>
      </c>
      <c r="C2167" s="10">
        <v>8291</v>
      </c>
      <c r="D2167" s="10" t="s">
        <v>2517</v>
      </c>
      <c r="E2167" s="11">
        <v>1474</v>
      </c>
      <c r="F2167" s="11">
        <v>1586</v>
      </c>
      <c r="G2167" s="11">
        <v>3060</v>
      </c>
      <c r="H2167" s="11">
        <v>1786</v>
      </c>
    </row>
    <row r="2168" spans="1:8" x14ac:dyDescent="0.2">
      <c r="A2168" s="10">
        <v>82</v>
      </c>
      <c r="B2168" s="10" t="s">
        <v>2508</v>
      </c>
      <c r="C2168" s="10">
        <v>8292</v>
      </c>
      <c r="D2168" s="10" t="s">
        <v>2518</v>
      </c>
      <c r="E2168" s="10">
        <v>480</v>
      </c>
      <c r="F2168" s="10">
        <v>493</v>
      </c>
      <c r="G2168" s="10">
        <v>973</v>
      </c>
      <c r="H2168" s="10">
        <v>623</v>
      </c>
    </row>
    <row r="2169" spans="1:8" x14ac:dyDescent="0.2">
      <c r="A2169" s="10">
        <v>82</v>
      </c>
      <c r="B2169" s="10" t="s">
        <v>2508</v>
      </c>
      <c r="C2169" s="10">
        <v>8293</v>
      </c>
      <c r="D2169" s="10" t="s">
        <v>2519</v>
      </c>
      <c r="E2169" s="11">
        <v>1689</v>
      </c>
      <c r="F2169" s="11">
        <v>1710</v>
      </c>
      <c r="G2169" s="11">
        <v>3399</v>
      </c>
      <c r="H2169" s="11">
        <v>2230</v>
      </c>
    </row>
    <row r="2170" spans="1:8" x14ac:dyDescent="0.2">
      <c r="A2170" s="10">
        <v>82</v>
      </c>
      <c r="B2170" s="10" t="s">
        <v>2508</v>
      </c>
      <c r="C2170" s="10">
        <v>8294</v>
      </c>
      <c r="D2170" s="10" t="s">
        <v>2520</v>
      </c>
      <c r="E2170" s="11">
        <v>1826</v>
      </c>
      <c r="F2170" s="11">
        <v>2067</v>
      </c>
      <c r="G2170" s="11">
        <v>3893</v>
      </c>
      <c r="H2170" s="11">
        <v>1772</v>
      </c>
    </row>
    <row r="2171" spans="1:8" x14ac:dyDescent="0.2">
      <c r="A2171" s="10">
        <v>82</v>
      </c>
      <c r="B2171" s="10" t="s">
        <v>2508</v>
      </c>
      <c r="C2171" s="10">
        <v>8295</v>
      </c>
      <c r="D2171" s="10" t="s">
        <v>2521</v>
      </c>
      <c r="E2171" s="10">
        <v>852</v>
      </c>
      <c r="F2171" s="10">
        <v>958</v>
      </c>
      <c r="G2171" s="11">
        <v>1810</v>
      </c>
      <c r="H2171" s="10">
        <v>791</v>
      </c>
    </row>
    <row r="2172" spans="1:8" x14ac:dyDescent="0.2">
      <c r="A2172" s="10">
        <v>82</v>
      </c>
      <c r="B2172" s="10" t="s">
        <v>2508</v>
      </c>
      <c r="C2172" s="10">
        <v>8296</v>
      </c>
      <c r="D2172" s="10" t="s">
        <v>2522</v>
      </c>
      <c r="E2172" s="10">
        <v>488</v>
      </c>
      <c r="F2172" s="10">
        <v>549</v>
      </c>
      <c r="G2172" s="11">
        <v>1037</v>
      </c>
      <c r="H2172" s="10">
        <v>600</v>
      </c>
    </row>
    <row r="2173" spans="1:8" x14ac:dyDescent="0.2">
      <c r="A2173" s="10">
        <v>82</v>
      </c>
      <c r="B2173" s="10" t="s">
        <v>2508</v>
      </c>
      <c r="C2173" s="10">
        <v>8298</v>
      </c>
      <c r="D2173" s="10" t="s">
        <v>2523</v>
      </c>
      <c r="E2173" s="11">
        <v>3616</v>
      </c>
      <c r="F2173" s="11">
        <v>4010</v>
      </c>
      <c r="G2173" s="11">
        <v>7626</v>
      </c>
      <c r="H2173" s="11">
        <v>2841</v>
      </c>
    </row>
    <row r="2174" spans="1:8" x14ac:dyDescent="0.2">
      <c r="A2174" s="10">
        <v>82</v>
      </c>
      <c r="B2174" s="10" t="s">
        <v>2508</v>
      </c>
      <c r="C2174" s="10">
        <v>8299</v>
      </c>
      <c r="D2174" s="10" t="s">
        <v>2524</v>
      </c>
      <c r="E2174" s="11">
        <v>4753</v>
      </c>
      <c r="F2174" s="11">
        <v>5089</v>
      </c>
      <c r="G2174" s="11">
        <v>9842</v>
      </c>
      <c r="H2174" s="11">
        <v>6094</v>
      </c>
    </row>
    <row r="2175" spans="1:8" x14ac:dyDescent="0.2">
      <c r="A2175" s="10">
        <v>83</v>
      </c>
      <c r="B2175" s="10" t="s">
        <v>2525</v>
      </c>
      <c r="C2175" s="10">
        <v>8301</v>
      </c>
      <c r="D2175" s="10" t="s">
        <v>2526</v>
      </c>
      <c r="E2175" s="11">
        <v>22166</v>
      </c>
      <c r="F2175" s="11">
        <v>25064</v>
      </c>
      <c r="G2175" s="11">
        <v>47230</v>
      </c>
      <c r="H2175" s="11">
        <v>32419</v>
      </c>
    </row>
    <row r="2176" spans="1:8" x14ac:dyDescent="0.2">
      <c r="A2176" s="10">
        <v>83</v>
      </c>
      <c r="B2176" s="10" t="s">
        <v>2525</v>
      </c>
      <c r="C2176" s="10">
        <v>8302</v>
      </c>
      <c r="D2176" s="10" t="s">
        <v>2527</v>
      </c>
      <c r="E2176" s="11">
        <v>3404</v>
      </c>
      <c r="F2176" s="11">
        <v>3760</v>
      </c>
      <c r="G2176" s="11">
        <v>7164</v>
      </c>
      <c r="H2176" s="11">
        <v>7745</v>
      </c>
    </row>
    <row r="2177" spans="1:8" x14ac:dyDescent="0.2">
      <c r="A2177" s="10">
        <v>83</v>
      </c>
      <c r="B2177" s="10" t="s">
        <v>2525</v>
      </c>
      <c r="C2177" s="10">
        <v>8303</v>
      </c>
      <c r="D2177" s="10" t="s">
        <v>2528</v>
      </c>
      <c r="E2177" s="11">
        <v>48607</v>
      </c>
      <c r="F2177" s="11">
        <v>51911</v>
      </c>
      <c r="G2177" s="11">
        <v>100518</v>
      </c>
      <c r="H2177" s="11">
        <v>79963</v>
      </c>
    </row>
    <row r="2178" spans="1:8" x14ac:dyDescent="0.2">
      <c r="A2178" s="10">
        <v>83</v>
      </c>
      <c r="B2178" s="10" t="s">
        <v>2525</v>
      </c>
      <c r="C2178" s="10">
        <v>8391</v>
      </c>
      <c r="D2178" s="10" t="s">
        <v>2529</v>
      </c>
      <c r="E2178" s="11">
        <v>25810</v>
      </c>
      <c r="F2178" s="11">
        <v>29824</v>
      </c>
      <c r="G2178" s="11">
        <v>55634</v>
      </c>
      <c r="H2178" s="11">
        <v>36111</v>
      </c>
    </row>
    <row r="2179" spans="1:8" x14ac:dyDescent="0.2">
      <c r="A2179" s="10">
        <v>83</v>
      </c>
      <c r="B2179" s="10" t="s">
        <v>2525</v>
      </c>
      <c r="C2179" s="10">
        <v>8392</v>
      </c>
      <c r="D2179" s="10" t="s">
        <v>2530</v>
      </c>
      <c r="E2179" s="11">
        <v>9104</v>
      </c>
      <c r="F2179" s="11">
        <v>10414</v>
      </c>
      <c r="G2179" s="11">
        <v>19518</v>
      </c>
      <c r="H2179" s="11">
        <v>21246</v>
      </c>
    </row>
    <row r="2180" spans="1:8" x14ac:dyDescent="0.2">
      <c r="A2180" s="10">
        <v>83</v>
      </c>
      <c r="B2180" s="10" t="s">
        <v>2525</v>
      </c>
      <c r="C2180" s="10">
        <v>8393</v>
      </c>
      <c r="D2180" s="10" t="s">
        <v>2531</v>
      </c>
      <c r="E2180" s="11">
        <v>24093</v>
      </c>
      <c r="F2180" s="11">
        <v>27129</v>
      </c>
      <c r="G2180" s="11">
        <v>51222</v>
      </c>
      <c r="H2180" s="11">
        <v>32097</v>
      </c>
    </row>
    <row r="2181" spans="1:8" x14ac:dyDescent="0.2">
      <c r="A2181" s="10">
        <v>83</v>
      </c>
      <c r="B2181" s="10" t="s">
        <v>2525</v>
      </c>
      <c r="C2181" s="10">
        <v>8394</v>
      </c>
      <c r="D2181" s="10" t="s">
        <v>2532</v>
      </c>
      <c r="E2181" s="11">
        <v>4808</v>
      </c>
      <c r="F2181" s="11">
        <v>5106</v>
      </c>
      <c r="G2181" s="11">
        <v>9914</v>
      </c>
      <c r="H2181" s="11">
        <v>5270</v>
      </c>
    </row>
    <row r="2182" spans="1:8" x14ac:dyDescent="0.2">
      <c r="A2182" s="10">
        <v>83</v>
      </c>
      <c r="B2182" s="10" t="s">
        <v>2525</v>
      </c>
      <c r="C2182" s="10">
        <v>8395</v>
      </c>
      <c r="D2182" s="10" t="s">
        <v>2533</v>
      </c>
      <c r="E2182" s="11">
        <v>3092</v>
      </c>
      <c r="F2182" s="11">
        <v>3864</v>
      </c>
      <c r="G2182" s="11">
        <v>6956</v>
      </c>
      <c r="H2182" s="11">
        <v>3815</v>
      </c>
    </row>
    <row r="2183" spans="1:8" x14ac:dyDescent="0.2">
      <c r="A2183" s="10">
        <v>83</v>
      </c>
      <c r="B2183" s="10" t="s">
        <v>2525</v>
      </c>
      <c r="C2183" s="10">
        <v>8396</v>
      </c>
      <c r="D2183" s="10" t="s">
        <v>2534</v>
      </c>
      <c r="E2183" s="11">
        <v>15048</v>
      </c>
      <c r="F2183" s="11">
        <v>17711</v>
      </c>
      <c r="G2183" s="11">
        <v>32759</v>
      </c>
      <c r="H2183" s="11">
        <v>22837</v>
      </c>
    </row>
    <row r="2184" spans="1:8" x14ac:dyDescent="0.2">
      <c r="A2184" s="10">
        <v>83</v>
      </c>
      <c r="B2184" s="10" t="s">
        <v>2525</v>
      </c>
      <c r="C2184" s="10">
        <v>8397</v>
      </c>
      <c r="D2184" s="10" t="s">
        <v>2535</v>
      </c>
      <c r="E2184" s="11">
        <v>3603</v>
      </c>
      <c r="F2184" s="11">
        <v>4024</v>
      </c>
      <c r="G2184" s="11">
        <v>7627</v>
      </c>
      <c r="H2184" s="11">
        <v>9210</v>
      </c>
    </row>
    <row r="2185" spans="1:8" x14ac:dyDescent="0.2">
      <c r="A2185" s="10">
        <v>83</v>
      </c>
      <c r="B2185" s="10" t="s">
        <v>2525</v>
      </c>
      <c r="C2185" s="10">
        <v>8398</v>
      </c>
      <c r="D2185" s="10" t="s">
        <v>2536</v>
      </c>
      <c r="E2185" s="11">
        <v>9469</v>
      </c>
      <c r="F2185" s="11">
        <v>10288</v>
      </c>
      <c r="G2185" s="11">
        <v>19757</v>
      </c>
      <c r="H2185" s="11">
        <v>16662</v>
      </c>
    </row>
    <row r="2186" spans="1:8" x14ac:dyDescent="0.2">
      <c r="A2186" s="10">
        <v>83</v>
      </c>
      <c r="B2186" s="10" t="s">
        <v>2525</v>
      </c>
      <c r="C2186" s="10">
        <v>8399</v>
      </c>
      <c r="D2186" s="10" t="s">
        <v>2537</v>
      </c>
      <c r="E2186" s="11">
        <v>32784</v>
      </c>
      <c r="F2186" s="11">
        <v>38500</v>
      </c>
      <c r="G2186" s="11">
        <v>71284</v>
      </c>
      <c r="H2186" s="11">
        <v>27008</v>
      </c>
    </row>
    <row r="2187" spans="1:8" x14ac:dyDescent="0.2">
      <c r="A2187" s="10">
        <v>84</v>
      </c>
      <c r="B2187" s="10" t="s">
        <v>2538</v>
      </c>
      <c r="C2187" s="10">
        <v>8401</v>
      </c>
      <c r="D2187" s="10" t="s">
        <v>2539</v>
      </c>
      <c r="E2187" s="11">
        <v>9133</v>
      </c>
      <c r="F2187" s="11">
        <v>10044</v>
      </c>
      <c r="G2187" s="11">
        <v>19177</v>
      </c>
      <c r="H2187" s="11">
        <v>8794</v>
      </c>
    </row>
    <row r="2188" spans="1:8" x14ac:dyDescent="0.2">
      <c r="A2188" s="10">
        <v>84</v>
      </c>
      <c r="B2188" s="10" t="s">
        <v>2538</v>
      </c>
      <c r="C2188" s="10">
        <v>8402</v>
      </c>
      <c r="D2188" s="10" t="s">
        <v>2540</v>
      </c>
      <c r="E2188" s="11">
        <v>41142</v>
      </c>
      <c r="F2188" s="11">
        <v>41970</v>
      </c>
      <c r="G2188" s="11">
        <v>83112</v>
      </c>
      <c r="H2188" s="11">
        <v>36100</v>
      </c>
    </row>
    <row r="2189" spans="1:8" x14ac:dyDescent="0.2">
      <c r="A2189" s="10">
        <v>84</v>
      </c>
      <c r="B2189" s="10" t="s">
        <v>2538</v>
      </c>
      <c r="C2189" s="10">
        <v>8403</v>
      </c>
      <c r="D2189" s="10" t="s">
        <v>2541</v>
      </c>
      <c r="E2189" s="11">
        <v>12458</v>
      </c>
      <c r="F2189" s="11">
        <v>12419</v>
      </c>
      <c r="G2189" s="11">
        <v>24877</v>
      </c>
      <c r="H2189" s="11">
        <v>11061</v>
      </c>
    </row>
    <row r="2190" spans="1:8" x14ac:dyDescent="0.2">
      <c r="A2190" s="10">
        <v>84</v>
      </c>
      <c r="B2190" s="10" t="s">
        <v>2538</v>
      </c>
      <c r="C2190" s="10">
        <v>8405</v>
      </c>
      <c r="D2190" s="10" t="s">
        <v>2542</v>
      </c>
      <c r="E2190" s="11">
        <v>5937</v>
      </c>
      <c r="F2190" s="11">
        <v>5682</v>
      </c>
      <c r="G2190" s="11">
        <v>11619</v>
      </c>
      <c r="H2190" s="11">
        <v>14031</v>
      </c>
    </row>
    <row r="2191" spans="1:8" x14ac:dyDescent="0.2">
      <c r="A2191" s="10">
        <v>84</v>
      </c>
      <c r="B2191" s="10" t="s">
        <v>2538</v>
      </c>
      <c r="C2191" s="10">
        <v>8406</v>
      </c>
      <c r="D2191" s="10" t="s">
        <v>2543</v>
      </c>
      <c r="E2191" s="11">
        <v>18939</v>
      </c>
      <c r="F2191" s="11">
        <v>19770</v>
      </c>
      <c r="G2191" s="11">
        <v>38709</v>
      </c>
      <c r="H2191" s="11">
        <v>17756</v>
      </c>
    </row>
    <row r="2192" spans="1:8" x14ac:dyDescent="0.2">
      <c r="A2192" s="10">
        <v>84</v>
      </c>
      <c r="B2192" s="10" t="s">
        <v>2538</v>
      </c>
      <c r="C2192" s="10">
        <v>8407</v>
      </c>
      <c r="D2192" s="10" t="s">
        <v>2544</v>
      </c>
      <c r="E2192" s="11">
        <v>26010</v>
      </c>
      <c r="F2192" s="11">
        <v>25584</v>
      </c>
      <c r="G2192" s="11">
        <v>51594</v>
      </c>
      <c r="H2192" s="11">
        <v>23599</v>
      </c>
    </row>
    <row r="2193" spans="1:8" x14ac:dyDescent="0.2">
      <c r="A2193" s="10">
        <v>84</v>
      </c>
      <c r="B2193" s="10" t="s">
        <v>2538</v>
      </c>
      <c r="C2193" s="10">
        <v>8408</v>
      </c>
      <c r="D2193" s="10" t="s">
        <v>2545</v>
      </c>
      <c r="E2193" s="11">
        <v>21053</v>
      </c>
      <c r="F2193" s="11">
        <v>21195</v>
      </c>
      <c r="G2193" s="11">
        <v>42248</v>
      </c>
      <c r="H2193" s="11">
        <v>17704</v>
      </c>
    </row>
    <row r="2194" spans="1:8" x14ac:dyDescent="0.2">
      <c r="A2194" s="10">
        <v>84</v>
      </c>
      <c r="B2194" s="10" t="s">
        <v>2538</v>
      </c>
      <c r="C2194" s="10">
        <v>8409</v>
      </c>
      <c r="D2194" s="10" t="s">
        <v>2546</v>
      </c>
      <c r="E2194" s="11">
        <v>4613</v>
      </c>
      <c r="F2194" s="11">
        <v>4674</v>
      </c>
      <c r="G2194" s="11">
        <v>9287</v>
      </c>
      <c r="H2194" s="11">
        <v>4136</v>
      </c>
    </row>
    <row r="2195" spans="1:8" x14ac:dyDescent="0.2">
      <c r="A2195" s="10">
        <v>84</v>
      </c>
      <c r="B2195" s="10" t="s">
        <v>2538</v>
      </c>
      <c r="C2195" s="10">
        <v>8410</v>
      </c>
      <c r="D2195" s="10" t="s">
        <v>2547</v>
      </c>
      <c r="E2195" s="11">
        <v>12499</v>
      </c>
      <c r="F2195" s="11">
        <v>12016</v>
      </c>
      <c r="G2195" s="11">
        <v>24515</v>
      </c>
      <c r="H2195" s="11">
        <v>9865</v>
      </c>
    </row>
    <row r="2196" spans="1:8" x14ac:dyDescent="0.2">
      <c r="A2196" s="10">
        <v>84</v>
      </c>
      <c r="B2196" s="10" t="s">
        <v>2538</v>
      </c>
      <c r="C2196" s="10">
        <v>8411</v>
      </c>
      <c r="D2196" s="10" t="s">
        <v>2548</v>
      </c>
      <c r="E2196" s="11">
        <v>14912</v>
      </c>
      <c r="F2196" s="11">
        <v>14745</v>
      </c>
      <c r="G2196" s="11">
        <v>29657</v>
      </c>
      <c r="H2196" s="11">
        <v>13632</v>
      </c>
    </row>
    <row r="2197" spans="1:8" x14ac:dyDescent="0.2">
      <c r="A2197" s="10">
        <v>84</v>
      </c>
      <c r="B2197" s="10" t="s">
        <v>2538</v>
      </c>
      <c r="C2197" s="10">
        <v>8412</v>
      </c>
      <c r="D2197" s="10" t="s">
        <v>2549</v>
      </c>
      <c r="E2197" s="11">
        <v>25135</v>
      </c>
      <c r="F2197" s="11">
        <v>25621</v>
      </c>
      <c r="G2197" s="11">
        <v>50756</v>
      </c>
      <c r="H2197" s="11">
        <v>19007</v>
      </c>
    </row>
    <row r="2198" spans="1:8" x14ac:dyDescent="0.2">
      <c r="A2198" s="10">
        <v>84</v>
      </c>
      <c r="B2198" s="10" t="s">
        <v>2538</v>
      </c>
      <c r="C2198" s="10">
        <v>8413</v>
      </c>
      <c r="D2198" s="10" t="s">
        <v>2550</v>
      </c>
      <c r="E2198" s="11">
        <v>10286</v>
      </c>
      <c r="F2198" s="11">
        <v>10484</v>
      </c>
      <c r="G2198" s="11">
        <v>20770</v>
      </c>
      <c r="H2198" s="11">
        <v>8086</v>
      </c>
    </row>
    <row r="2199" spans="1:8" x14ac:dyDescent="0.2">
      <c r="A2199" s="10">
        <v>84</v>
      </c>
      <c r="B2199" s="10" t="s">
        <v>2538</v>
      </c>
      <c r="C2199" s="10">
        <v>8414</v>
      </c>
      <c r="D2199" s="10" t="s">
        <v>2551</v>
      </c>
      <c r="E2199" s="11">
        <v>13791</v>
      </c>
      <c r="F2199" s="11">
        <v>13784</v>
      </c>
      <c r="G2199" s="11">
        <v>27575</v>
      </c>
      <c r="H2199" s="11">
        <v>11781</v>
      </c>
    </row>
    <row r="2200" spans="1:8" x14ac:dyDescent="0.2">
      <c r="A2200" s="10">
        <v>84</v>
      </c>
      <c r="B2200" s="10" t="s">
        <v>2538</v>
      </c>
      <c r="C2200" s="10">
        <v>8415</v>
      </c>
      <c r="D2200" s="10" t="s">
        <v>2552</v>
      </c>
      <c r="E2200" s="11">
        <v>8560</v>
      </c>
      <c r="F2200" s="11">
        <v>8833</v>
      </c>
      <c r="G2200" s="11">
        <v>17393</v>
      </c>
      <c r="H2200" s="11">
        <v>7281</v>
      </c>
    </row>
    <row r="2201" spans="1:8" x14ac:dyDescent="0.2">
      <c r="A2201" s="10">
        <v>84</v>
      </c>
      <c r="B2201" s="10" t="s">
        <v>2538</v>
      </c>
      <c r="C2201" s="10">
        <v>8416</v>
      </c>
      <c r="D2201" s="10" t="s">
        <v>2553</v>
      </c>
      <c r="E2201" s="11">
        <v>31583</v>
      </c>
      <c r="F2201" s="11">
        <v>31205</v>
      </c>
      <c r="G2201" s="11">
        <v>62788</v>
      </c>
      <c r="H2201" s="11">
        <v>25331</v>
      </c>
    </row>
    <row r="2202" spans="1:8" x14ac:dyDescent="0.2">
      <c r="A2202" s="10">
        <v>84</v>
      </c>
      <c r="B2202" s="10" t="s">
        <v>2538</v>
      </c>
      <c r="C2202" s="10">
        <v>8417</v>
      </c>
      <c r="D2202" s="10" t="s">
        <v>2554</v>
      </c>
      <c r="E2202" s="11">
        <v>37668</v>
      </c>
      <c r="F2202" s="11">
        <v>37830</v>
      </c>
      <c r="G2202" s="11">
        <v>75498</v>
      </c>
      <c r="H2202" s="11">
        <v>38068</v>
      </c>
    </row>
    <row r="2203" spans="1:8" x14ac:dyDescent="0.2">
      <c r="A2203" s="10">
        <v>84</v>
      </c>
      <c r="B2203" s="10" t="s">
        <v>2538</v>
      </c>
      <c r="C2203" s="10">
        <v>8418</v>
      </c>
      <c r="D2203" s="10" t="s">
        <v>2555</v>
      </c>
      <c r="E2203" s="11">
        <v>14313</v>
      </c>
      <c r="F2203" s="11">
        <v>14090</v>
      </c>
      <c r="G2203" s="11">
        <v>28403</v>
      </c>
      <c r="H2203" s="11">
        <v>12017</v>
      </c>
    </row>
    <row r="2204" spans="1:8" x14ac:dyDescent="0.2">
      <c r="A2204" s="10">
        <v>84</v>
      </c>
      <c r="B2204" s="10" t="s">
        <v>2538</v>
      </c>
      <c r="C2204" s="10">
        <v>8419</v>
      </c>
      <c r="D2204" s="10" t="s">
        <v>2556</v>
      </c>
      <c r="E2204" s="11">
        <v>8232</v>
      </c>
      <c r="F2204" s="11">
        <v>7689</v>
      </c>
      <c r="G2204" s="11">
        <v>15921</v>
      </c>
      <c r="H2204" s="11">
        <v>7667</v>
      </c>
    </row>
    <row r="2205" spans="1:8" x14ac:dyDescent="0.2">
      <c r="A2205" s="10">
        <v>84</v>
      </c>
      <c r="B2205" s="10" t="s">
        <v>2538</v>
      </c>
      <c r="C2205" s="10">
        <v>8471</v>
      </c>
      <c r="D2205" s="10" t="s">
        <v>2557</v>
      </c>
      <c r="E2205" s="11">
        <v>9771</v>
      </c>
      <c r="F2205" s="11">
        <v>9537</v>
      </c>
      <c r="G2205" s="11">
        <v>19308</v>
      </c>
      <c r="H2205" s="11">
        <v>8130</v>
      </c>
    </row>
    <row r="2206" spans="1:8" x14ac:dyDescent="0.2">
      <c r="A2206" s="10">
        <v>84</v>
      </c>
      <c r="B2206" s="10" t="s">
        <v>2538</v>
      </c>
      <c r="C2206" s="10">
        <v>8472</v>
      </c>
      <c r="D2206" s="10" t="s">
        <v>2558</v>
      </c>
      <c r="E2206" s="11">
        <v>4941</v>
      </c>
      <c r="F2206" s="11">
        <v>4899</v>
      </c>
      <c r="G2206" s="11">
        <v>9840</v>
      </c>
      <c r="H2206" s="11">
        <v>3573</v>
      </c>
    </row>
    <row r="2207" spans="1:8" x14ac:dyDescent="0.2">
      <c r="A2207" s="10">
        <v>84</v>
      </c>
      <c r="B2207" s="10" t="s">
        <v>2538</v>
      </c>
      <c r="C2207" s="10">
        <v>8473</v>
      </c>
      <c r="D2207" s="10" t="s">
        <v>2116</v>
      </c>
      <c r="E2207" s="11">
        <v>5406</v>
      </c>
      <c r="F2207" s="11">
        <v>5719</v>
      </c>
      <c r="G2207" s="11">
        <v>11125</v>
      </c>
      <c r="H2207" s="11">
        <v>4378</v>
      </c>
    </row>
    <row r="2208" spans="1:8" x14ac:dyDescent="0.2">
      <c r="A2208" s="10">
        <v>84</v>
      </c>
      <c r="B2208" s="10" t="s">
        <v>2538</v>
      </c>
      <c r="C2208" s="10">
        <v>8474</v>
      </c>
      <c r="D2208" s="10" t="s">
        <v>2559</v>
      </c>
      <c r="E2208" s="11">
        <v>7429</v>
      </c>
      <c r="F2208" s="11">
        <v>9238</v>
      </c>
      <c r="G2208" s="11">
        <v>16667</v>
      </c>
      <c r="H2208" s="11">
        <v>12007</v>
      </c>
    </row>
    <row r="2209" spans="1:8" x14ac:dyDescent="0.2">
      <c r="A2209" s="10">
        <v>84</v>
      </c>
      <c r="B2209" s="10" t="s">
        <v>2538</v>
      </c>
      <c r="C2209" s="10">
        <v>8475</v>
      </c>
      <c r="D2209" s="10" t="s">
        <v>2560</v>
      </c>
      <c r="E2209" s="11">
        <v>5593</v>
      </c>
      <c r="F2209" s="11">
        <v>5648</v>
      </c>
      <c r="G2209" s="11">
        <v>11241</v>
      </c>
      <c r="H2209" s="11">
        <v>4141</v>
      </c>
    </row>
    <row r="2210" spans="1:8" x14ac:dyDescent="0.2">
      <c r="A2210" s="10">
        <v>84</v>
      </c>
      <c r="B2210" s="10" t="s">
        <v>2538</v>
      </c>
      <c r="C2210" s="10">
        <v>8476</v>
      </c>
      <c r="D2210" s="10" t="s">
        <v>2561</v>
      </c>
      <c r="E2210" s="11">
        <v>3392</v>
      </c>
      <c r="F2210" s="11">
        <v>3430</v>
      </c>
      <c r="G2210" s="11">
        <v>6822</v>
      </c>
      <c r="H2210" s="11">
        <v>3104</v>
      </c>
    </row>
    <row r="2211" spans="1:8" x14ac:dyDescent="0.2">
      <c r="A2211" s="10">
        <v>84</v>
      </c>
      <c r="B2211" s="10" t="s">
        <v>2538</v>
      </c>
      <c r="C2211" s="10">
        <v>8477</v>
      </c>
      <c r="D2211" s="10" t="s">
        <v>2562</v>
      </c>
      <c r="E2211" s="11">
        <v>9950</v>
      </c>
      <c r="F2211" s="11">
        <v>11146</v>
      </c>
      <c r="G2211" s="11">
        <v>21096</v>
      </c>
      <c r="H2211" s="11">
        <v>13336</v>
      </c>
    </row>
    <row r="2212" spans="1:8" x14ac:dyDescent="0.2">
      <c r="A2212" s="10">
        <v>84</v>
      </c>
      <c r="B2212" s="10" t="s">
        <v>2538</v>
      </c>
      <c r="C2212" s="10">
        <v>8478</v>
      </c>
      <c r="D2212" s="10" t="s">
        <v>2563</v>
      </c>
      <c r="E2212" s="11">
        <v>8727</v>
      </c>
      <c r="F2212" s="11">
        <v>9015</v>
      </c>
      <c r="G2212" s="11">
        <v>17742</v>
      </c>
      <c r="H2212" s="11">
        <v>7417</v>
      </c>
    </row>
    <row r="2213" spans="1:8" x14ac:dyDescent="0.2">
      <c r="A2213" s="10">
        <v>84</v>
      </c>
      <c r="B2213" s="10" t="s">
        <v>2538</v>
      </c>
      <c r="C2213" s="10">
        <v>8479</v>
      </c>
      <c r="D2213" s="10" t="s">
        <v>2564</v>
      </c>
      <c r="E2213" s="11">
        <v>1111</v>
      </c>
      <c r="F2213" s="11">
        <v>1146</v>
      </c>
      <c r="G2213" s="11">
        <v>2257</v>
      </c>
      <c r="H2213" s="11">
        <v>1103</v>
      </c>
    </row>
    <row r="2214" spans="1:8" x14ac:dyDescent="0.2">
      <c r="A2214" s="10">
        <v>84</v>
      </c>
      <c r="B2214" s="10" t="s">
        <v>2538</v>
      </c>
      <c r="C2214" s="10">
        <v>8480</v>
      </c>
      <c r="D2214" s="10" t="s">
        <v>2565</v>
      </c>
      <c r="E2214" s="11">
        <v>2077</v>
      </c>
      <c r="F2214" s="11">
        <v>2147</v>
      </c>
      <c r="G2214" s="11">
        <v>4224</v>
      </c>
      <c r="H2214" s="11">
        <v>2093</v>
      </c>
    </row>
    <row r="2215" spans="1:8" x14ac:dyDescent="0.2">
      <c r="A2215" s="10">
        <v>84</v>
      </c>
      <c r="B2215" s="10" t="s">
        <v>2538</v>
      </c>
      <c r="C2215" s="10">
        <v>8481</v>
      </c>
      <c r="D2215" s="10" t="s">
        <v>2566</v>
      </c>
      <c r="E2215" s="11">
        <v>4430</v>
      </c>
      <c r="F2215" s="11">
        <v>4993</v>
      </c>
      <c r="G2215" s="11">
        <v>9423</v>
      </c>
      <c r="H2215" s="11">
        <v>5983</v>
      </c>
    </row>
    <row r="2216" spans="1:8" x14ac:dyDescent="0.2">
      <c r="A2216" s="10">
        <v>84</v>
      </c>
      <c r="B2216" s="10" t="s">
        <v>2538</v>
      </c>
      <c r="C2216" s="10">
        <v>8482</v>
      </c>
      <c r="D2216" s="10" t="s">
        <v>2567</v>
      </c>
      <c r="E2216" s="10">
        <v>849</v>
      </c>
      <c r="F2216" s="10">
        <v>802</v>
      </c>
      <c r="G2216" s="11">
        <v>1651</v>
      </c>
      <c r="H2216" s="10">
        <v>762</v>
      </c>
    </row>
    <row r="2217" spans="1:8" x14ac:dyDescent="0.2">
      <c r="A2217" s="10">
        <v>84</v>
      </c>
      <c r="B2217" s="10" t="s">
        <v>2538</v>
      </c>
      <c r="C2217" s="10">
        <v>8483</v>
      </c>
      <c r="D2217" s="10" t="s">
        <v>703</v>
      </c>
      <c r="E2217" s="11">
        <v>1550</v>
      </c>
      <c r="F2217" s="11">
        <v>1684</v>
      </c>
      <c r="G2217" s="11">
        <v>3234</v>
      </c>
      <c r="H2217" s="11">
        <v>1755</v>
      </c>
    </row>
    <row r="2218" spans="1:8" x14ac:dyDescent="0.2">
      <c r="A2218" s="10">
        <v>84</v>
      </c>
      <c r="B2218" s="10" t="s">
        <v>2538</v>
      </c>
      <c r="C2218" s="10">
        <v>8484</v>
      </c>
      <c r="D2218" s="10" t="s">
        <v>2568</v>
      </c>
      <c r="E2218" s="11">
        <v>2235</v>
      </c>
      <c r="F2218" s="11">
        <v>2425</v>
      </c>
      <c r="G2218" s="11">
        <v>4660</v>
      </c>
      <c r="H2218" s="11">
        <v>2018</v>
      </c>
    </row>
    <row r="2219" spans="1:8" x14ac:dyDescent="0.2">
      <c r="A2219" s="10">
        <v>84</v>
      </c>
      <c r="B2219" s="10" t="s">
        <v>2538</v>
      </c>
      <c r="C2219" s="10">
        <v>8485</v>
      </c>
      <c r="D2219" s="10" t="s">
        <v>2569</v>
      </c>
      <c r="E2219" s="11">
        <v>2451</v>
      </c>
      <c r="F2219" s="11">
        <v>2469</v>
      </c>
      <c r="G2219" s="11">
        <v>4920</v>
      </c>
      <c r="H2219" s="11">
        <v>2083</v>
      </c>
    </row>
    <row r="2220" spans="1:8" x14ac:dyDescent="0.2">
      <c r="A2220" s="10">
        <v>84</v>
      </c>
      <c r="B2220" s="10" t="s">
        <v>2538</v>
      </c>
      <c r="C2220" s="10">
        <v>8486</v>
      </c>
      <c r="D2220" s="10" t="s">
        <v>2570</v>
      </c>
      <c r="E2220" s="11">
        <v>1164</v>
      </c>
      <c r="F2220" s="11">
        <v>1249</v>
      </c>
      <c r="G2220" s="11">
        <v>2413</v>
      </c>
      <c r="H2220" s="11">
        <v>1921</v>
      </c>
    </row>
    <row r="2221" spans="1:8" x14ac:dyDescent="0.2">
      <c r="A2221" s="10">
        <v>84</v>
      </c>
      <c r="B2221" s="10" t="s">
        <v>2538</v>
      </c>
      <c r="C2221" s="10">
        <v>8487</v>
      </c>
      <c r="D2221" s="10" t="s">
        <v>2571</v>
      </c>
      <c r="E2221" s="11">
        <v>2282</v>
      </c>
      <c r="F2221" s="11">
        <v>2295</v>
      </c>
      <c r="G2221" s="11">
        <v>4577</v>
      </c>
      <c r="H2221" s="11">
        <v>2091</v>
      </c>
    </row>
    <row r="2222" spans="1:8" x14ac:dyDescent="0.2">
      <c r="A2222" s="10">
        <v>84</v>
      </c>
      <c r="B2222" s="10" t="s">
        <v>2538</v>
      </c>
      <c r="C2222" s="10">
        <v>8488</v>
      </c>
      <c r="D2222" s="10" t="s">
        <v>2572</v>
      </c>
      <c r="E2222" s="10">
        <v>924</v>
      </c>
      <c r="F2222" s="10">
        <v>892</v>
      </c>
      <c r="G2222" s="11">
        <v>1816</v>
      </c>
      <c r="H2222" s="11">
        <v>1120</v>
      </c>
    </row>
    <row r="2223" spans="1:8" x14ac:dyDescent="0.2">
      <c r="A2223" s="10">
        <v>84</v>
      </c>
      <c r="B2223" s="10" t="s">
        <v>2538</v>
      </c>
      <c r="C2223" s="10">
        <v>8489</v>
      </c>
      <c r="D2223" s="10" t="s">
        <v>2573</v>
      </c>
      <c r="E2223" s="11">
        <v>1357</v>
      </c>
      <c r="F2223" s="11">
        <v>1509</v>
      </c>
      <c r="G2223" s="11">
        <v>2866</v>
      </c>
      <c r="H2223" s="11">
        <v>1837</v>
      </c>
    </row>
    <row r="2224" spans="1:8" x14ac:dyDescent="0.2">
      <c r="A2224" s="10">
        <v>84</v>
      </c>
      <c r="B2224" s="10" t="s">
        <v>2538</v>
      </c>
      <c r="C2224" s="10">
        <v>8490</v>
      </c>
      <c r="D2224" s="10" t="s">
        <v>2574</v>
      </c>
      <c r="E2224" s="11">
        <v>3827</v>
      </c>
      <c r="F2224" s="11">
        <v>3999</v>
      </c>
      <c r="G2224" s="11">
        <v>7826</v>
      </c>
      <c r="H2224" s="11">
        <v>2972</v>
      </c>
    </row>
    <row r="2225" spans="1:8" x14ac:dyDescent="0.2">
      <c r="A2225" s="10">
        <v>84</v>
      </c>
      <c r="B2225" s="10" t="s">
        <v>2538</v>
      </c>
      <c r="C2225" s="10">
        <v>8491</v>
      </c>
      <c r="D2225" s="10" t="s">
        <v>2575</v>
      </c>
      <c r="E2225" s="11">
        <v>2347</v>
      </c>
      <c r="F2225" s="11">
        <v>2669</v>
      </c>
      <c r="G2225" s="11">
        <v>5016</v>
      </c>
      <c r="H2225" s="11">
        <v>3045</v>
      </c>
    </row>
    <row r="2226" spans="1:8" x14ac:dyDescent="0.2">
      <c r="A2226" s="10">
        <v>84</v>
      </c>
      <c r="B2226" s="10" t="s">
        <v>2538</v>
      </c>
      <c r="C2226" s="10">
        <v>8492</v>
      </c>
      <c r="D2226" s="10" t="s">
        <v>2576</v>
      </c>
      <c r="E2226" s="11">
        <v>4059</v>
      </c>
      <c r="F2226" s="11">
        <v>4121</v>
      </c>
      <c r="G2226" s="11">
        <v>8180</v>
      </c>
      <c r="H2226" s="11">
        <v>6452</v>
      </c>
    </row>
    <row r="2227" spans="1:8" x14ac:dyDescent="0.2">
      <c r="A2227" s="10">
        <v>84</v>
      </c>
      <c r="B2227" s="10" t="s">
        <v>2538</v>
      </c>
      <c r="C2227" s="10">
        <v>8493</v>
      </c>
      <c r="D2227" s="10" t="s">
        <v>2577</v>
      </c>
      <c r="E2227" s="11">
        <v>33390</v>
      </c>
      <c r="F2227" s="11">
        <v>36299</v>
      </c>
      <c r="G2227" s="11">
        <v>69689</v>
      </c>
      <c r="H2227" s="11">
        <v>61602</v>
      </c>
    </row>
    <row r="2228" spans="1:8" x14ac:dyDescent="0.2">
      <c r="A2228" s="10">
        <v>84</v>
      </c>
      <c r="B2228" s="10" t="s">
        <v>2538</v>
      </c>
      <c r="C2228" s="10">
        <v>8494</v>
      </c>
      <c r="D2228" s="10" t="s">
        <v>2578</v>
      </c>
      <c r="E2228" s="11">
        <v>5919</v>
      </c>
      <c r="F2228" s="11">
        <v>6199</v>
      </c>
      <c r="G2228" s="11">
        <v>12118</v>
      </c>
      <c r="H2228" s="11">
        <v>6109</v>
      </c>
    </row>
    <row r="2229" spans="1:8" x14ac:dyDescent="0.2">
      <c r="A2229" s="10">
        <v>84</v>
      </c>
      <c r="B2229" s="10" t="s">
        <v>2538</v>
      </c>
      <c r="C2229" s="10">
        <v>8495</v>
      </c>
      <c r="D2229" s="10" t="s">
        <v>2579</v>
      </c>
      <c r="E2229" s="11">
        <v>3575</v>
      </c>
      <c r="F2229" s="11">
        <v>3633</v>
      </c>
      <c r="G2229" s="11">
        <v>7208</v>
      </c>
      <c r="H2229" s="11">
        <v>3336</v>
      </c>
    </row>
    <row r="2230" spans="1:8" x14ac:dyDescent="0.2">
      <c r="A2230" s="10">
        <v>84</v>
      </c>
      <c r="B2230" s="10" t="s">
        <v>2538</v>
      </c>
      <c r="C2230" s="10">
        <v>8496</v>
      </c>
      <c r="D2230" s="10" t="s">
        <v>2580</v>
      </c>
      <c r="E2230" s="11">
        <v>4452</v>
      </c>
      <c r="F2230" s="11">
        <v>4836</v>
      </c>
      <c r="G2230" s="11">
        <v>9288</v>
      </c>
      <c r="H2230" s="11">
        <v>4989</v>
      </c>
    </row>
    <row r="2231" spans="1:8" x14ac:dyDescent="0.2">
      <c r="A2231" s="10">
        <v>84</v>
      </c>
      <c r="B2231" s="10" t="s">
        <v>2538</v>
      </c>
      <c r="C2231" s="10">
        <v>8497</v>
      </c>
      <c r="D2231" s="10" t="s">
        <v>2581</v>
      </c>
      <c r="E2231" s="11">
        <v>8526</v>
      </c>
      <c r="F2231" s="11">
        <v>9166</v>
      </c>
      <c r="G2231" s="11">
        <v>17692</v>
      </c>
      <c r="H2231" s="11">
        <v>9232</v>
      </c>
    </row>
    <row r="2232" spans="1:8" x14ac:dyDescent="0.2">
      <c r="A2232" s="10">
        <v>84</v>
      </c>
      <c r="B2232" s="10" t="s">
        <v>2538</v>
      </c>
      <c r="C2232" s="10">
        <v>8498</v>
      </c>
      <c r="D2232" s="10" t="s">
        <v>2582</v>
      </c>
      <c r="E2232" s="11">
        <v>9254</v>
      </c>
      <c r="F2232" s="11">
        <v>9729</v>
      </c>
      <c r="G2232" s="11">
        <v>18983</v>
      </c>
      <c r="H2232" s="11">
        <v>8609</v>
      </c>
    </row>
    <row r="2233" spans="1:8" x14ac:dyDescent="0.2">
      <c r="A2233" s="10">
        <v>84</v>
      </c>
      <c r="B2233" s="10" t="s">
        <v>2538</v>
      </c>
      <c r="C2233" s="10">
        <v>8499</v>
      </c>
      <c r="D2233" s="10" t="s">
        <v>2583</v>
      </c>
      <c r="E2233" s="11">
        <v>61825</v>
      </c>
      <c r="F2233" s="11">
        <v>69060</v>
      </c>
      <c r="G2233" s="11">
        <v>130885</v>
      </c>
      <c r="H2233" s="11">
        <v>79259</v>
      </c>
    </row>
    <row r="2234" spans="1:8" x14ac:dyDescent="0.2">
      <c r="A2234" s="10">
        <v>85</v>
      </c>
      <c r="B2234" s="10" t="s">
        <v>2584</v>
      </c>
      <c r="C2234" s="10">
        <v>8501</v>
      </c>
      <c r="D2234" s="10" t="s">
        <v>2585</v>
      </c>
      <c r="E2234" s="11">
        <v>35589</v>
      </c>
      <c r="F2234" s="11">
        <v>35295</v>
      </c>
      <c r="G2234" s="11">
        <v>70884</v>
      </c>
      <c r="H2234" s="11">
        <v>40595</v>
      </c>
    </row>
    <row r="2235" spans="1:8" x14ac:dyDescent="0.2">
      <c r="A2235" s="10">
        <v>85</v>
      </c>
      <c r="B2235" s="10" t="s">
        <v>2584</v>
      </c>
      <c r="C2235" s="10">
        <v>8502</v>
      </c>
      <c r="D2235" s="10" t="s">
        <v>2586</v>
      </c>
      <c r="E2235" s="11">
        <v>6413</v>
      </c>
      <c r="F2235" s="11">
        <v>6238</v>
      </c>
      <c r="G2235" s="11">
        <v>12651</v>
      </c>
      <c r="H2235" s="11">
        <v>5838</v>
      </c>
    </row>
    <row r="2236" spans="1:8" x14ac:dyDescent="0.2">
      <c r="A2236" s="10">
        <v>85</v>
      </c>
      <c r="B2236" s="10" t="s">
        <v>2584</v>
      </c>
      <c r="C2236" s="10">
        <v>8503</v>
      </c>
      <c r="D2236" s="10" t="s">
        <v>2587</v>
      </c>
      <c r="E2236" s="11">
        <v>10441</v>
      </c>
      <c r="F2236" s="11">
        <v>10188</v>
      </c>
      <c r="G2236" s="11">
        <v>20629</v>
      </c>
      <c r="H2236" s="11">
        <v>8463</v>
      </c>
    </row>
    <row r="2237" spans="1:8" x14ac:dyDescent="0.2">
      <c r="A2237" s="10">
        <v>85</v>
      </c>
      <c r="B2237" s="10" t="s">
        <v>2584</v>
      </c>
      <c r="C2237" s="10">
        <v>8504</v>
      </c>
      <c r="D2237" s="10" t="s">
        <v>2588</v>
      </c>
      <c r="E2237" s="11">
        <v>22683</v>
      </c>
      <c r="F2237" s="11">
        <v>21923</v>
      </c>
      <c r="G2237" s="11">
        <v>44606</v>
      </c>
      <c r="H2237" s="11">
        <v>23388</v>
      </c>
    </row>
    <row r="2238" spans="1:8" x14ac:dyDescent="0.2">
      <c r="A2238" s="10">
        <v>85</v>
      </c>
      <c r="B2238" s="10" t="s">
        <v>2584</v>
      </c>
      <c r="C2238" s="10">
        <v>8505</v>
      </c>
      <c r="D2238" s="10" t="s">
        <v>2589</v>
      </c>
      <c r="E2238" s="11">
        <v>7389</v>
      </c>
      <c r="F2238" s="11">
        <v>7461</v>
      </c>
      <c r="G2238" s="11">
        <v>14850</v>
      </c>
      <c r="H2238" s="11">
        <v>4845</v>
      </c>
    </row>
    <row r="2239" spans="1:8" x14ac:dyDescent="0.2">
      <c r="A2239" s="10">
        <v>85</v>
      </c>
      <c r="B2239" s="10" t="s">
        <v>2584</v>
      </c>
      <c r="C2239" s="10">
        <v>8594</v>
      </c>
      <c r="D2239" s="10" t="s">
        <v>2590</v>
      </c>
      <c r="E2239" s="11">
        <v>1697</v>
      </c>
      <c r="F2239" s="11">
        <v>1744</v>
      </c>
      <c r="G2239" s="11">
        <v>3441</v>
      </c>
      <c r="H2239" s="11">
        <v>2010</v>
      </c>
    </row>
    <row r="2240" spans="1:8" x14ac:dyDescent="0.2">
      <c r="A2240" s="10">
        <v>85</v>
      </c>
      <c r="B2240" s="10" t="s">
        <v>2584</v>
      </c>
      <c r="C2240" s="10">
        <v>8595</v>
      </c>
      <c r="D2240" s="10" t="s">
        <v>2591</v>
      </c>
      <c r="E2240" s="10">
        <v>765</v>
      </c>
      <c r="F2240" s="10">
        <v>798</v>
      </c>
      <c r="G2240" s="11">
        <v>1563</v>
      </c>
      <c r="H2240" s="10">
        <v>687</v>
      </c>
    </row>
    <row r="2241" spans="1:8" x14ac:dyDescent="0.2">
      <c r="A2241" s="10">
        <v>85</v>
      </c>
      <c r="B2241" s="10" t="s">
        <v>2584</v>
      </c>
      <c r="C2241" s="10">
        <v>8596</v>
      </c>
      <c r="D2241" s="10" t="s">
        <v>2592</v>
      </c>
      <c r="E2241" s="11">
        <v>1344</v>
      </c>
      <c r="F2241" s="11">
        <v>1287</v>
      </c>
      <c r="G2241" s="11">
        <v>2631</v>
      </c>
      <c r="H2241" s="11">
        <v>1244</v>
      </c>
    </row>
    <row r="2242" spans="1:8" x14ac:dyDescent="0.2">
      <c r="A2242" s="10">
        <v>85</v>
      </c>
      <c r="B2242" s="10" t="s">
        <v>2584</v>
      </c>
      <c r="C2242" s="10">
        <v>8597</v>
      </c>
      <c r="D2242" s="10" t="s">
        <v>2593</v>
      </c>
      <c r="E2242" s="11">
        <v>1159</v>
      </c>
      <c r="F2242" s="11">
        <v>1259</v>
      </c>
      <c r="G2242" s="11">
        <v>2418</v>
      </c>
      <c r="H2242" s="11">
        <v>1131</v>
      </c>
    </row>
    <row r="2243" spans="1:8" x14ac:dyDescent="0.2">
      <c r="A2243" s="10">
        <v>85</v>
      </c>
      <c r="B2243" s="10" t="s">
        <v>2584</v>
      </c>
      <c r="C2243" s="10">
        <v>8598</v>
      </c>
      <c r="D2243" s="10" t="s">
        <v>814</v>
      </c>
      <c r="E2243" s="11">
        <v>1220</v>
      </c>
      <c r="F2243" s="11">
        <v>1125</v>
      </c>
      <c r="G2243" s="11">
        <v>2345</v>
      </c>
      <c r="H2243" s="11">
        <v>1836</v>
      </c>
    </row>
    <row r="2244" spans="1:8" x14ac:dyDescent="0.2">
      <c r="A2244" s="10">
        <v>85</v>
      </c>
      <c r="B2244" s="10" t="s">
        <v>2584</v>
      </c>
      <c r="C2244" s="10">
        <v>8599</v>
      </c>
      <c r="D2244" s="10" t="s">
        <v>2594</v>
      </c>
      <c r="E2244" s="11">
        <v>8244</v>
      </c>
      <c r="F2244" s="11">
        <v>8665</v>
      </c>
      <c r="G2244" s="11">
        <v>16909</v>
      </c>
      <c r="H2244" s="11">
        <v>8333</v>
      </c>
    </row>
    <row r="2245" spans="1:8" x14ac:dyDescent="0.2">
      <c r="A2245" s="10">
        <v>86</v>
      </c>
      <c r="B2245" s="10" t="s">
        <v>2595</v>
      </c>
      <c r="C2245" s="10">
        <v>8601</v>
      </c>
      <c r="D2245" s="10" t="s">
        <v>2596</v>
      </c>
      <c r="E2245" s="11">
        <v>46282</v>
      </c>
      <c r="F2245" s="11">
        <v>47336</v>
      </c>
      <c r="G2245" s="11">
        <v>93618</v>
      </c>
      <c r="H2245" s="11">
        <v>47513</v>
      </c>
    </row>
    <row r="2246" spans="1:8" x14ac:dyDescent="0.2">
      <c r="A2246" s="10">
        <v>86</v>
      </c>
      <c r="B2246" s="10" t="s">
        <v>2595</v>
      </c>
      <c r="C2246" s="10">
        <v>8602</v>
      </c>
      <c r="D2246" s="10" t="s">
        <v>2597</v>
      </c>
      <c r="E2246" s="11">
        <v>41279</v>
      </c>
      <c r="F2246" s="11">
        <v>41506</v>
      </c>
      <c r="G2246" s="11">
        <v>82785</v>
      </c>
      <c r="H2246" s="11">
        <v>37440</v>
      </c>
    </row>
    <row r="2247" spans="1:8" x14ac:dyDescent="0.2">
      <c r="A2247" s="10">
        <v>86</v>
      </c>
      <c r="B2247" s="10" t="s">
        <v>2595</v>
      </c>
      <c r="C2247" s="10">
        <v>8603</v>
      </c>
      <c r="D2247" s="10" t="s">
        <v>2598</v>
      </c>
      <c r="E2247" s="11">
        <v>19659</v>
      </c>
      <c r="F2247" s="11">
        <v>20161</v>
      </c>
      <c r="G2247" s="11">
        <v>39820</v>
      </c>
      <c r="H2247" s="11">
        <v>19062</v>
      </c>
    </row>
    <row r="2248" spans="1:8" x14ac:dyDescent="0.2">
      <c r="A2248" s="10">
        <v>86</v>
      </c>
      <c r="B2248" s="10" t="s">
        <v>2595</v>
      </c>
      <c r="C2248" s="10">
        <v>8604</v>
      </c>
      <c r="D2248" s="10" t="s">
        <v>2599</v>
      </c>
      <c r="E2248" s="11">
        <v>27594</v>
      </c>
      <c r="F2248" s="11">
        <v>28722</v>
      </c>
      <c r="G2248" s="11">
        <v>56316</v>
      </c>
      <c r="H2248" s="11">
        <v>26186</v>
      </c>
    </row>
    <row r="2249" spans="1:8" x14ac:dyDescent="0.2">
      <c r="A2249" s="10">
        <v>86</v>
      </c>
      <c r="B2249" s="10" t="s">
        <v>2595</v>
      </c>
      <c r="C2249" s="10">
        <v>8605</v>
      </c>
      <c r="D2249" s="10" t="s">
        <v>2600</v>
      </c>
      <c r="E2249" s="11">
        <v>12994</v>
      </c>
      <c r="F2249" s="11">
        <v>12964</v>
      </c>
      <c r="G2249" s="11">
        <v>25958</v>
      </c>
      <c r="H2249" s="11">
        <v>12433</v>
      </c>
    </row>
    <row r="2250" spans="1:8" x14ac:dyDescent="0.2">
      <c r="A2250" s="10">
        <v>86</v>
      </c>
      <c r="B2250" s="10" t="s">
        <v>2595</v>
      </c>
      <c r="C2250" s="10">
        <v>8606</v>
      </c>
      <c r="D2250" s="10" t="s">
        <v>2601</v>
      </c>
      <c r="E2250" s="11">
        <v>11829</v>
      </c>
      <c r="F2250" s="11">
        <v>11426</v>
      </c>
      <c r="G2250" s="11">
        <v>23255</v>
      </c>
      <c r="H2250" s="11">
        <v>11354</v>
      </c>
    </row>
    <row r="2251" spans="1:8" x14ac:dyDescent="0.2">
      <c r="A2251" s="10">
        <v>86</v>
      </c>
      <c r="B2251" s="10" t="s">
        <v>2595</v>
      </c>
      <c r="C2251" s="10">
        <v>8607</v>
      </c>
      <c r="D2251" s="10" t="s">
        <v>2602</v>
      </c>
      <c r="E2251" s="11">
        <v>34696</v>
      </c>
      <c r="F2251" s="11">
        <v>35098</v>
      </c>
      <c r="G2251" s="11">
        <v>69794</v>
      </c>
      <c r="H2251" s="11">
        <v>33712</v>
      </c>
    </row>
    <row r="2252" spans="1:8" x14ac:dyDescent="0.2">
      <c r="A2252" s="10">
        <v>86</v>
      </c>
      <c r="B2252" s="10" t="s">
        <v>2595</v>
      </c>
      <c r="C2252" s="10">
        <v>8608</v>
      </c>
      <c r="D2252" s="10" t="s">
        <v>2603</v>
      </c>
      <c r="E2252" s="11">
        <v>10881</v>
      </c>
      <c r="F2252" s="11">
        <v>10855</v>
      </c>
      <c r="G2252" s="11">
        <v>21736</v>
      </c>
      <c r="H2252" s="11">
        <v>10400</v>
      </c>
    </row>
    <row r="2253" spans="1:8" x14ac:dyDescent="0.2">
      <c r="A2253" s="10">
        <v>86</v>
      </c>
      <c r="B2253" s="10" t="s">
        <v>2595</v>
      </c>
      <c r="C2253" s="10">
        <v>8685</v>
      </c>
      <c r="D2253" s="10" t="s">
        <v>2604</v>
      </c>
      <c r="E2253" s="11">
        <v>5037</v>
      </c>
      <c r="F2253" s="11">
        <v>5312</v>
      </c>
      <c r="G2253" s="11">
        <v>10349</v>
      </c>
      <c r="H2253" s="11">
        <v>4985</v>
      </c>
    </row>
    <row r="2254" spans="1:8" x14ac:dyDescent="0.2">
      <c r="A2254" s="10">
        <v>86</v>
      </c>
      <c r="B2254" s="10" t="s">
        <v>2595</v>
      </c>
      <c r="C2254" s="10">
        <v>8686</v>
      </c>
      <c r="D2254" s="10" t="s">
        <v>2605</v>
      </c>
      <c r="E2254" s="11">
        <v>2027</v>
      </c>
      <c r="F2254" s="11">
        <v>1986</v>
      </c>
      <c r="G2254" s="11">
        <v>4013</v>
      </c>
      <c r="H2254" s="11">
        <v>1719</v>
      </c>
    </row>
    <row r="2255" spans="1:8" x14ac:dyDescent="0.2">
      <c r="A2255" s="10">
        <v>86</v>
      </c>
      <c r="B2255" s="10" t="s">
        <v>2595</v>
      </c>
      <c r="C2255" s="10">
        <v>8687</v>
      </c>
      <c r="D2255" s="10" t="s">
        <v>1003</v>
      </c>
      <c r="E2255" s="11">
        <v>1348</v>
      </c>
      <c r="F2255" s="11">
        <v>1535</v>
      </c>
      <c r="G2255" s="11">
        <v>2883</v>
      </c>
      <c r="H2255" s="11">
        <v>1726</v>
      </c>
    </row>
    <row r="2256" spans="1:8" x14ac:dyDescent="0.2">
      <c r="A2256" s="10">
        <v>86</v>
      </c>
      <c r="B2256" s="10" t="s">
        <v>2595</v>
      </c>
      <c r="C2256" s="10">
        <v>8688</v>
      </c>
      <c r="D2256" s="10" t="s">
        <v>2606</v>
      </c>
      <c r="E2256" s="10">
        <v>760</v>
      </c>
      <c r="F2256" s="10">
        <v>753</v>
      </c>
      <c r="G2256" s="11">
        <v>1513</v>
      </c>
      <c r="H2256" s="10">
        <v>717</v>
      </c>
    </row>
    <row r="2257" spans="1:8" x14ac:dyDescent="0.2">
      <c r="A2257" s="10">
        <v>86</v>
      </c>
      <c r="B2257" s="10" t="s">
        <v>2595</v>
      </c>
      <c r="C2257" s="10">
        <v>8689</v>
      </c>
      <c r="D2257" s="10" t="s">
        <v>2607</v>
      </c>
      <c r="E2257" s="11">
        <v>1582</v>
      </c>
      <c r="F2257" s="11">
        <v>1701</v>
      </c>
      <c r="G2257" s="11">
        <v>3283</v>
      </c>
      <c r="H2257" s="11">
        <v>2038</v>
      </c>
    </row>
    <row r="2258" spans="1:8" x14ac:dyDescent="0.2">
      <c r="A2258" s="10">
        <v>86</v>
      </c>
      <c r="B2258" s="10" t="s">
        <v>2595</v>
      </c>
      <c r="C2258" s="10">
        <v>8690</v>
      </c>
      <c r="D2258" s="10" t="s">
        <v>2608</v>
      </c>
      <c r="E2258" s="11">
        <v>3105</v>
      </c>
      <c r="F2258" s="11">
        <v>3201</v>
      </c>
      <c r="G2258" s="11">
        <v>6306</v>
      </c>
      <c r="H2258" s="11">
        <v>3210</v>
      </c>
    </row>
    <row r="2259" spans="1:8" x14ac:dyDescent="0.2">
      <c r="A2259" s="10">
        <v>86</v>
      </c>
      <c r="B2259" s="10" t="s">
        <v>2595</v>
      </c>
      <c r="C2259" s="10">
        <v>8691</v>
      </c>
      <c r="D2259" s="10" t="s">
        <v>2609</v>
      </c>
      <c r="E2259" s="11">
        <v>1030</v>
      </c>
      <c r="F2259" s="11">
        <v>1101</v>
      </c>
      <c r="G2259" s="11">
        <v>2131</v>
      </c>
      <c r="H2259" s="11">
        <v>1212</v>
      </c>
    </row>
    <row r="2260" spans="1:8" x14ac:dyDescent="0.2">
      <c r="A2260" s="10">
        <v>86</v>
      </c>
      <c r="B2260" s="10" t="s">
        <v>2595</v>
      </c>
      <c r="C2260" s="10">
        <v>8692</v>
      </c>
      <c r="D2260" s="10" t="s">
        <v>2610</v>
      </c>
      <c r="E2260" s="11">
        <v>1740</v>
      </c>
      <c r="F2260" s="11">
        <v>1810</v>
      </c>
      <c r="G2260" s="11">
        <v>3550</v>
      </c>
      <c r="H2260" s="11">
        <v>2307</v>
      </c>
    </row>
    <row r="2261" spans="1:8" x14ac:dyDescent="0.2">
      <c r="A2261" s="10">
        <v>86</v>
      </c>
      <c r="B2261" s="10" t="s">
        <v>2595</v>
      </c>
      <c r="C2261" s="10">
        <v>8693</v>
      </c>
      <c r="D2261" s="10" t="s">
        <v>2611</v>
      </c>
      <c r="E2261" s="10">
        <v>582</v>
      </c>
      <c r="F2261" s="10">
        <v>657</v>
      </c>
      <c r="G2261" s="11">
        <v>1239</v>
      </c>
      <c r="H2261" s="10">
        <v>908</v>
      </c>
    </row>
    <row r="2262" spans="1:8" x14ac:dyDescent="0.2">
      <c r="A2262" s="10">
        <v>86</v>
      </c>
      <c r="B2262" s="10" t="s">
        <v>2595</v>
      </c>
      <c r="C2262" s="10">
        <v>8694</v>
      </c>
      <c r="D2262" s="10" t="s">
        <v>2612</v>
      </c>
      <c r="E2262" s="10">
        <v>920</v>
      </c>
      <c r="F2262" s="10">
        <v>959</v>
      </c>
      <c r="G2262" s="11">
        <v>1879</v>
      </c>
      <c r="H2262" s="11">
        <v>1346</v>
      </c>
    </row>
    <row r="2263" spans="1:8" x14ac:dyDescent="0.2">
      <c r="A2263" s="10">
        <v>86</v>
      </c>
      <c r="B2263" s="10" t="s">
        <v>2595</v>
      </c>
      <c r="C2263" s="10">
        <v>8695</v>
      </c>
      <c r="D2263" s="10" t="s">
        <v>2613</v>
      </c>
      <c r="E2263" s="10">
        <v>938</v>
      </c>
      <c r="F2263" s="11">
        <v>1046</v>
      </c>
      <c r="G2263" s="11">
        <v>1984</v>
      </c>
      <c r="H2263" s="11">
        <v>1439</v>
      </c>
    </row>
    <row r="2264" spans="1:8" x14ac:dyDescent="0.2">
      <c r="A2264" s="10">
        <v>86</v>
      </c>
      <c r="B2264" s="10" t="s">
        <v>2595</v>
      </c>
      <c r="C2264" s="10">
        <v>8696</v>
      </c>
      <c r="D2264" s="10" t="s">
        <v>2614</v>
      </c>
      <c r="E2264" s="11">
        <v>3184</v>
      </c>
      <c r="F2264" s="11">
        <v>3513</v>
      </c>
      <c r="G2264" s="11">
        <v>6697</v>
      </c>
      <c r="H2264" s="11">
        <v>4920</v>
      </c>
    </row>
    <row r="2265" spans="1:8" x14ac:dyDescent="0.2">
      <c r="A2265" s="10">
        <v>86</v>
      </c>
      <c r="B2265" s="10" t="s">
        <v>2595</v>
      </c>
      <c r="C2265" s="10">
        <v>8697</v>
      </c>
      <c r="D2265" s="10" t="s">
        <v>2615</v>
      </c>
      <c r="E2265" s="11">
        <v>2894</v>
      </c>
      <c r="F2265" s="11">
        <v>3044</v>
      </c>
      <c r="G2265" s="11">
        <v>5938</v>
      </c>
      <c r="H2265" s="11">
        <v>3466</v>
      </c>
    </row>
    <row r="2266" spans="1:8" x14ac:dyDescent="0.2">
      <c r="A2266" s="10">
        <v>86</v>
      </c>
      <c r="B2266" s="10" t="s">
        <v>2595</v>
      </c>
      <c r="C2266" s="10">
        <v>8698</v>
      </c>
      <c r="D2266" s="10" t="s">
        <v>2616</v>
      </c>
      <c r="E2266" s="11">
        <v>5050</v>
      </c>
      <c r="F2266" s="11">
        <v>5808</v>
      </c>
      <c r="G2266" s="11">
        <v>10858</v>
      </c>
      <c r="H2266" s="11">
        <v>7243</v>
      </c>
    </row>
    <row r="2267" spans="1:8" x14ac:dyDescent="0.2">
      <c r="A2267" s="10">
        <v>86</v>
      </c>
      <c r="B2267" s="10" t="s">
        <v>2595</v>
      </c>
      <c r="C2267" s="10">
        <v>8699</v>
      </c>
      <c r="D2267" s="10" t="s">
        <v>2617</v>
      </c>
      <c r="E2267" s="11">
        <v>14856</v>
      </c>
      <c r="F2267" s="11">
        <v>17292</v>
      </c>
      <c r="G2267" s="11">
        <v>32148</v>
      </c>
      <c r="H2267" s="11">
        <v>20812</v>
      </c>
    </row>
    <row r="2268" spans="1:8" x14ac:dyDescent="0.2">
      <c r="A2268" s="10">
        <v>90</v>
      </c>
      <c r="B2268" s="10" t="s">
        <v>2618</v>
      </c>
      <c r="C2268" s="10">
        <v>9001</v>
      </c>
      <c r="D2268" s="10" t="s">
        <v>2619</v>
      </c>
      <c r="E2268" s="11">
        <v>7272</v>
      </c>
      <c r="F2268" s="11">
        <v>7930</v>
      </c>
      <c r="G2268" s="11">
        <v>15202</v>
      </c>
      <c r="H2268" s="11">
        <v>5918</v>
      </c>
    </row>
    <row r="2269" spans="1:8" x14ac:dyDescent="0.2">
      <c r="A2269" s="10">
        <v>90</v>
      </c>
      <c r="B2269" s="10" t="s">
        <v>2618</v>
      </c>
      <c r="C2269" s="10">
        <v>9002</v>
      </c>
      <c r="D2269" s="10" t="s">
        <v>2620</v>
      </c>
      <c r="E2269" s="11">
        <v>21446</v>
      </c>
      <c r="F2269" s="11">
        <v>22447</v>
      </c>
      <c r="G2269" s="11">
        <v>43893</v>
      </c>
      <c r="H2269" s="11">
        <v>14551</v>
      </c>
    </row>
    <row r="2270" spans="1:8" x14ac:dyDescent="0.2">
      <c r="A2270" s="10">
        <v>90</v>
      </c>
      <c r="B2270" s="10" t="s">
        <v>2618</v>
      </c>
      <c r="C2270" s="10">
        <v>9003</v>
      </c>
      <c r="D2270" s="10" t="s">
        <v>2621</v>
      </c>
      <c r="E2270" s="11">
        <v>50876</v>
      </c>
      <c r="F2270" s="11">
        <v>51458</v>
      </c>
      <c r="G2270" s="11">
        <v>102334</v>
      </c>
      <c r="H2270" s="11">
        <v>29763</v>
      </c>
    </row>
    <row r="2271" spans="1:8" x14ac:dyDescent="0.2">
      <c r="A2271" s="10">
        <v>90</v>
      </c>
      <c r="B2271" s="10" t="s">
        <v>2618</v>
      </c>
      <c r="C2271" s="10">
        <v>9004</v>
      </c>
      <c r="D2271" s="10" t="s">
        <v>2622</v>
      </c>
      <c r="E2271" s="11">
        <v>31791</v>
      </c>
      <c r="F2271" s="11">
        <v>31167</v>
      </c>
      <c r="G2271" s="11">
        <v>62958</v>
      </c>
      <c r="H2271" s="11">
        <v>20460</v>
      </c>
    </row>
    <row r="2272" spans="1:8" x14ac:dyDescent="0.2">
      <c r="A2272" s="10">
        <v>90</v>
      </c>
      <c r="B2272" s="10" t="s">
        <v>2618</v>
      </c>
      <c r="C2272" s="10">
        <v>9005</v>
      </c>
      <c r="D2272" s="10" t="s">
        <v>2623</v>
      </c>
      <c r="E2272" s="11">
        <v>30974</v>
      </c>
      <c r="F2272" s="11">
        <v>29515</v>
      </c>
      <c r="G2272" s="11">
        <v>60489</v>
      </c>
      <c r="H2272" s="11">
        <v>17541</v>
      </c>
    </row>
    <row r="2273" spans="1:8" x14ac:dyDescent="0.2">
      <c r="A2273" s="10">
        <v>90</v>
      </c>
      <c r="B2273" s="10" t="s">
        <v>2618</v>
      </c>
      <c r="C2273" s="10">
        <v>9006</v>
      </c>
      <c r="D2273" s="10" t="s">
        <v>2624</v>
      </c>
      <c r="E2273" s="11">
        <v>40468</v>
      </c>
      <c r="F2273" s="11">
        <v>39840</v>
      </c>
      <c r="G2273" s="11">
        <v>80308</v>
      </c>
      <c r="H2273" s="11">
        <v>20407</v>
      </c>
    </row>
    <row r="2274" spans="1:8" x14ac:dyDescent="0.2">
      <c r="A2274" s="10">
        <v>90</v>
      </c>
      <c r="B2274" s="10" t="s">
        <v>2618</v>
      </c>
      <c r="C2274" s="10">
        <v>9007</v>
      </c>
      <c r="D2274" s="10" t="s">
        <v>2625</v>
      </c>
      <c r="E2274" s="11">
        <v>23485</v>
      </c>
      <c r="F2274" s="11">
        <v>23966</v>
      </c>
      <c r="G2274" s="11">
        <v>47451</v>
      </c>
      <c r="H2274" s="11">
        <v>20201</v>
      </c>
    </row>
    <row r="2275" spans="1:8" x14ac:dyDescent="0.2">
      <c r="A2275" s="10">
        <v>90</v>
      </c>
      <c r="B2275" s="10" t="s">
        <v>2618</v>
      </c>
      <c r="C2275" s="10">
        <v>9008</v>
      </c>
      <c r="D2275" s="10" t="s">
        <v>2626</v>
      </c>
      <c r="E2275" s="11">
        <v>7156</v>
      </c>
      <c r="F2275" s="11">
        <v>7453</v>
      </c>
      <c r="G2275" s="11">
        <v>14609</v>
      </c>
      <c r="H2275" s="11">
        <v>5499</v>
      </c>
    </row>
    <row r="2276" spans="1:8" x14ac:dyDescent="0.2">
      <c r="A2276" s="10">
        <v>90</v>
      </c>
      <c r="B2276" s="10" t="s">
        <v>2618</v>
      </c>
      <c r="C2276" s="10">
        <v>9009</v>
      </c>
      <c r="D2276" s="10" t="s">
        <v>2627</v>
      </c>
      <c r="E2276" s="11">
        <v>33783</v>
      </c>
      <c r="F2276" s="11">
        <v>34135</v>
      </c>
      <c r="G2276" s="11">
        <v>67918</v>
      </c>
      <c r="H2276" s="11">
        <v>23493</v>
      </c>
    </row>
    <row r="2277" spans="1:8" x14ac:dyDescent="0.2">
      <c r="A2277" s="10">
        <v>90</v>
      </c>
      <c r="B2277" s="10" t="s">
        <v>2618</v>
      </c>
      <c r="C2277" s="10">
        <v>9010</v>
      </c>
      <c r="D2277" s="10" t="s">
        <v>2628</v>
      </c>
      <c r="E2277" s="11">
        <v>29594</v>
      </c>
      <c r="F2277" s="11">
        <v>29333</v>
      </c>
      <c r="G2277" s="11">
        <v>58927</v>
      </c>
      <c r="H2277" s="11">
        <v>22395</v>
      </c>
    </row>
    <row r="2278" spans="1:8" x14ac:dyDescent="0.2">
      <c r="A2278" s="10">
        <v>90</v>
      </c>
      <c r="B2278" s="10" t="s">
        <v>2618</v>
      </c>
      <c r="C2278" s="10">
        <v>9011</v>
      </c>
      <c r="D2278" s="10" t="s">
        <v>2629</v>
      </c>
      <c r="E2278" s="11">
        <v>15637</v>
      </c>
      <c r="F2278" s="11">
        <v>17032</v>
      </c>
      <c r="G2278" s="11">
        <v>32669</v>
      </c>
      <c r="H2278" s="11">
        <v>15251</v>
      </c>
    </row>
    <row r="2279" spans="1:8" x14ac:dyDescent="0.2">
      <c r="A2279" s="10">
        <v>90</v>
      </c>
      <c r="B2279" s="10" t="s">
        <v>2618</v>
      </c>
      <c r="C2279" s="10">
        <v>9012</v>
      </c>
      <c r="D2279" s="10" t="s">
        <v>2630</v>
      </c>
      <c r="E2279" s="11">
        <v>11101</v>
      </c>
      <c r="F2279" s="11">
        <v>11964</v>
      </c>
      <c r="G2279" s="11">
        <v>23065</v>
      </c>
      <c r="H2279" s="11">
        <v>9810</v>
      </c>
    </row>
    <row r="2280" spans="1:8" x14ac:dyDescent="0.2">
      <c r="A2280" s="10">
        <v>90</v>
      </c>
      <c r="B2280" s="10" t="s">
        <v>2618</v>
      </c>
      <c r="C2280" s="10">
        <v>9013</v>
      </c>
      <c r="D2280" s="10" t="s">
        <v>2631</v>
      </c>
      <c r="E2280" s="11">
        <v>14787</v>
      </c>
      <c r="F2280" s="11">
        <v>15300</v>
      </c>
      <c r="G2280" s="11">
        <v>30087</v>
      </c>
      <c r="H2280" s="11">
        <v>10564</v>
      </c>
    </row>
    <row r="2281" spans="1:8" x14ac:dyDescent="0.2">
      <c r="A2281" s="10">
        <v>90</v>
      </c>
      <c r="B2281" s="10" t="s">
        <v>2618</v>
      </c>
      <c r="C2281" s="10">
        <v>9014</v>
      </c>
      <c r="D2281" s="10" t="s">
        <v>2632</v>
      </c>
      <c r="E2281" s="11">
        <v>5161</v>
      </c>
      <c r="F2281" s="11">
        <v>5299</v>
      </c>
      <c r="G2281" s="11">
        <v>10460</v>
      </c>
      <c r="H2281" s="11">
        <v>3991</v>
      </c>
    </row>
    <row r="2282" spans="1:8" x14ac:dyDescent="0.2">
      <c r="A2282" s="10">
        <v>90</v>
      </c>
      <c r="B2282" s="10" t="s">
        <v>2618</v>
      </c>
      <c r="C2282" s="10">
        <v>9015</v>
      </c>
      <c r="D2282" s="10" t="s">
        <v>2633</v>
      </c>
      <c r="E2282" s="11">
        <v>21415</v>
      </c>
      <c r="F2282" s="11">
        <v>22386</v>
      </c>
      <c r="G2282" s="11">
        <v>43801</v>
      </c>
      <c r="H2282" s="11">
        <v>15721</v>
      </c>
    </row>
    <row r="2283" spans="1:8" x14ac:dyDescent="0.2">
      <c r="A2283" s="10">
        <v>90</v>
      </c>
      <c r="B2283" s="10" t="s">
        <v>2618</v>
      </c>
      <c r="C2283" s="10">
        <v>9016</v>
      </c>
      <c r="D2283" s="10" t="s">
        <v>2634</v>
      </c>
      <c r="E2283" s="11">
        <v>5898</v>
      </c>
      <c r="F2283" s="11">
        <v>5888</v>
      </c>
      <c r="G2283" s="11">
        <v>11786</v>
      </c>
      <c r="H2283" s="11">
        <v>5470</v>
      </c>
    </row>
    <row r="2284" spans="1:8" x14ac:dyDescent="0.2">
      <c r="A2284" s="10">
        <v>90</v>
      </c>
      <c r="B2284" s="10" t="s">
        <v>2618</v>
      </c>
      <c r="C2284" s="10">
        <v>9066</v>
      </c>
      <c r="D2284" s="10" t="s">
        <v>2635</v>
      </c>
      <c r="E2284" s="11">
        <v>8439</v>
      </c>
      <c r="F2284" s="11">
        <v>8946</v>
      </c>
      <c r="G2284" s="11">
        <v>17385</v>
      </c>
      <c r="H2284" s="11">
        <v>6860</v>
      </c>
    </row>
    <row r="2285" spans="1:8" x14ac:dyDescent="0.2">
      <c r="A2285" s="10">
        <v>90</v>
      </c>
      <c r="B2285" s="10" t="s">
        <v>2618</v>
      </c>
      <c r="C2285" s="10">
        <v>9067</v>
      </c>
      <c r="D2285" s="10" t="s">
        <v>2636</v>
      </c>
      <c r="E2285" s="11">
        <v>4107</v>
      </c>
      <c r="F2285" s="11">
        <v>3502</v>
      </c>
      <c r="G2285" s="11">
        <v>7609</v>
      </c>
      <c r="H2285" s="11">
        <v>2938</v>
      </c>
    </row>
    <row r="2286" spans="1:8" x14ac:dyDescent="0.2">
      <c r="A2286" s="10">
        <v>90</v>
      </c>
      <c r="B2286" s="10" t="s">
        <v>2618</v>
      </c>
      <c r="C2286" s="10">
        <v>9068</v>
      </c>
      <c r="D2286" s="10" t="s">
        <v>2637</v>
      </c>
      <c r="E2286" s="11">
        <v>3737</v>
      </c>
      <c r="F2286" s="11">
        <v>4013</v>
      </c>
      <c r="G2286" s="11">
        <v>7750</v>
      </c>
      <c r="H2286" s="11">
        <v>2822</v>
      </c>
    </row>
    <row r="2287" spans="1:8" x14ac:dyDescent="0.2">
      <c r="A2287" s="10">
        <v>90</v>
      </c>
      <c r="B2287" s="10" t="s">
        <v>2618</v>
      </c>
      <c r="C2287" s="10">
        <v>9069</v>
      </c>
      <c r="D2287" s="10" t="s">
        <v>2638</v>
      </c>
      <c r="E2287" s="11">
        <v>5644</v>
      </c>
      <c r="F2287" s="11">
        <v>5982</v>
      </c>
      <c r="G2287" s="11">
        <v>11626</v>
      </c>
      <c r="H2287" s="11">
        <v>4057</v>
      </c>
    </row>
    <row r="2288" spans="1:8" x14ac:dyDescent="0.2">
      <c r="A2288" s="10">
        <v>90</v>
      </c>
      <c r="B2288" s="10" t="s">
        <v>2618</v>
      </c>
      <c r="C2288" s="10">
        <v>9070</v>
      </c>
      <c r="D2288" s="10" t="s">
        <v>2639</v>
      </c>
      <c r="E2288" s="11">
        <v>5904</v>
      </c>
      <c r="F2288" s="11">
        <v>6017</v>
      </c>
      <c r="G2288" s="11">
        <v>11921</v>
      </c>
      <c r="H2288" s="11">
        <v>3473</v>
      </c>
    </row>
    <row r="2289" spans="1:8" x14ac:dyDescent="0.2">
      <c r="A2289" s="10">
        <v>90</v>
      </c>
      <c r="B2289" s="10" t="s">
        <v>2618</v>
      </c>
      <c r="C2289" s="10">
        <v>9071</v>
      </c>
      <c r="D2289" s="10" t="s">
        <v>844</v>
      </c>
      <c r="E2289" s="11">
        <v>11781</v>
      </c>
      <c r="F2289" s="11">
        <v>11869</v>
      </c>
      <c r="G2289" s="11">
        <v>23650</v>
      </c>
      <c r="H2289" s="11">
        <v>11027</v>
      </c>
    </row>
    <row r="2290" spans="1:8" x14ac:dyDescent="0.2">
      <c r="A2290" s="10">
        <v>90</v>
      </c>
      <c r="B2290" s="10" t="s">
        <v>2618</v>
      </c>
      <c r="C2290" s="10">
        <v>9072</v>
      </c>
      <c r="D2290" s="10" t="s">
        <v>2640</v>
      </c>
      <c r="E2290" s="11">
        <v>7300</v>
      </c>
      <c r="F2290" s="11">
        <v>8200</v>
      </c>
      <c r="G2290" s="11">
        <v>15500</v>
      </c>
      <c r="H2290" s="11">
        <v>6875</v>
      </c>
    </row>
    <row r="2291" spans="1:8" x14ac:dyDescent="0.2">
      <c r="A2291" s="10">
        <v>90</v>
      </c>
      <c r="B2291" s="10" t="s">
        <v>2618</v>
      </c>
      <c r="C2291" s="10">
        <v>9073</v>
      </c>
      <c r="D2291" s="10" t="s">
        <v>2641</v>
      </c>
      <c r="E2291" s="11">
        <v>7835</v>
      </c>
      <c r="F2291" s="11">
        <v>8057</v>
      </c>
      <c r="G2291" s="11">
        <v>15892</v>
      </c>
      <c r="H2291" s="11">
        <v>4841</v>
      </c>
    </row>
    <row r="2292" spans="1:8" x14ac:dyDescent="0.2">
      <c r="A2292" s="10">
        <v>90</v>
      </c>
      <c r="B2292" s="10" t="s">
        <v>2618</v>
      </c>
      <c r="C2292" s="10">
        <v>9074</v>
      </c>
      <c r="D2292" s="10" t="s">
        <v>2032</v>
      </c>
      <c r="E2292" s="11">
        <v>4047</v>
      </c>
      <c r="F2292" s="11">
        <v>4312</v>
      </c>
      <c r="G2292" s="11">
        <v>8359</v>
      </c>
      <c r="H2292" s="11">
        <v>3689</v>
      </c>
    </row>
    <row r="2293" spans="1:8" x14ac:dyDescent="0.2">
      <c r="A2293" s="10">
        <v>90</v>
      </c>
      <c r="B2293" s="10" t="s">
        <v>2618</v>
      </c>
      <c r="C2293" s="10">
        <v>9075</v>
      </c>
      <c r="D2293" s="10" t="s">
        <v>2642</v>
      </c>
      <c r="E2293" s="11">
        <v>17014</v>
      </c>
      <c r="F2293" s="11">
        <v>18749</v>
      </c>
      <c r="G2293" s="11">
        <v>35763</v>
      </c>
      <c r="H2293" s="11">
        <v>16945</v>
      </c>
    </row>
    <row r="2294" spans="1:8" x14ac:dyDescent="0.2">
      <c r="A2294" s="10">
        <v>90</v>
      </c>
      <c r="B2294" s="10" t="s">
        <v>2618</v>
      </c>
      <c r="C2294" s="10">
        <v>9076</v>
      </c>
      <c r="D2294" s="10" t="s">
        <v>2643</v>
      </c>
      <c r="E2294" s="11">
        <v>20410</v>
      </c>
      <c r="F2294" s="11">
        <v>22757</v>
      </c>
      <c r="G2294" s="11">
        <v>43167</v>
      </c>
      <c r="H2294" s="11">
        <v>22492</v>
      </c>
    </row>
    <row r="2295" spans="1:8" x14ac:dyDescent="0.2">
      <c r="A2295" s="10">
        <v>90</v>
      </c>
      <c r="B2295" s="10" t="s">
        <v>2618</v>
      </c>
      <c r="C2295" s="10">
        <v>9077</v>
      </c>
      <c r="D2295" s="10" t="s">
        <v>2644</v>
      </c>
      <c r="E2295" s="11">
        <v>6394</v>
      </c>
      <c r="F2295" s="11">
        <v>7429</v>
      </c>
      <c r="G2295" s="11">
        <v>13823</v>
      </c>
      <c r="H2295" s="11">
        <v>9493</v>
      </c>
    </row>
    <row r="2296" spans="1:8" x14ac:dyDescent="0.2">
      <c r="A2296" s="10">
        <v>90</v>
      </c>
      <c r="B2296" s="10" t="s">
        <v>2618</v>
      </c>
      <c r="C2296" s="10">
        <v>9078</v>
      </c>
      <c r="D2296" s="10" t="s">
        <v>2645</v>
      </c>
      <c r="E2296" s="11">
        <v>20931</v>
      </c>
      <c r="F2296" s="11">
        <v>23852</v>
      </c>
      <c r="G2296" s="11">
        <v>44783</v>
      </c>
      <c r="H2296" s="11">
        <v>23597</v>
      </c>
    </row>
    <row r="2297" spans="1:8" x14ac:dyDescent="0.2">
      <c r="A2297" s="10">
        <v>90</v>
      </c>
      <c r="B2297" s="10" t="s">
        <v>2618</v>
      </c>
      <c r="C2297" s="10">
        <v>9079</v>
      </c>
      <c r="D2297" s="10" t="s">
        <v>2646</v>
      </c>
      <c r="E2297" s="11">
        <v>24657</v>
      </c>
      <c r="F2297" s="11">
        <v>28190</v>
      </c>
      <c r="G2297" s="11">
        <v>52847</v>
      </c>
      <c r="H2297" s="11">
        <v>28678</v>
      </c>
    </row>
    <row r="2298" spans="1:8" x14ac:dyDescent="0.2">
      <c r="A2298" s="10">
        <v>90</v>
      </c>
      <c r="B2298" s="10" t="s">
        <v>2618</v>
      </c>
      <c r="C2298" s="10">
        <v>9080</v>
      </c>
      <c r="D2298" s="10" t="s">
        <v>2647</v>
      </c>
      <c r="E2298" s="11">
        <v>21610</v>
      </c>
      <c r="F2298" s="11">
        <v>24487</v>
      </c>
      <c r="G2298" s="11">
        <v>46097</v>
      </c>
      <c r="H2298" s="11">
        <v>30251</v>
      </c>
    </row>
    <row r="2299" spans="1:8" x14ac:dyDescent="0.2">
      <c r="A2299" s="10">
        <v>90</v>
      </c>
      <c r="B2299" s="10" t="s">
        <v>2618</v>
      </c>
      <c r="C2299" s="10">
        <v>9081</v>
      </c>
      <c r="D2299" s="10" t="s">
        <v>2648</v>
      </c>
      <c r="E2299" s="11">
        <v>19852</v>
      </c>
      <c r="F2299" s="11">
        <v>20281</v>
      </c>
      <c r="G2299" s="11">
        <v>40133</v>
      </c>
      <c r="H2299" s="11">
        <v>14173</v>
      </c>
    </row>
    <row r="2300" spans="1:8" x14ac:dyDescent="0.2">
      <c r="A2300" s="10">
        <v>90</v>
      </c>
      <c r="B2300" s="10" t="s">
        <v>2618</v>
      </c>
      <c r="C2300" s="10">
        <v>9082</v>
      </c>
      <c r="D2300" s="10" t="s">
        <v>2649</v>
      </c>
      <c r="E2300" s="11">
        <v>1872</v>
      </c>
      <c r="F2300" s="11">
        <v>2132</v>
      </c>
      <c r="G2300" s="11">
        <v>4004</v>
      </c>
      <c r="H2300" s="11">
        <v>1831</v>
      </c>
    </row>
    <row r="2301" spans="1:8" x14ac:dyDescent="0.2">
      <c r="A2301" s="10">
        <v>90</v>
      </c>
      <c r="B2301" s="10" t="s">
        <v>2618</v>
      </c>
      <c r="C2301" s="10">
        <v>9083</v>
      </c>
      <c r="D2301" s="10" t="s">
        <v>2650</v>
      </c>
      <c r="E2301" s="11">
        <v>3660</v>
      </c>
      <c r="F2301" s="11">
        <v>4094</v>
      </c>
      <c r="G2301" s="11">
        <v>7754</v>
      </c>
      <c r="H2301" s="11">
        <v>4992</v>
      </c>
    </row>
    <row r="2302" spans="1:8" x14ac:dyDescent="0.2">
      <c r="A2302" s="10">
        <v>90</v>
      </c>
      <c r="B2302" s="10" t="s">
        <v>2618</v>
      </c>
      <c r="C2302" s="10">
        <v>9084</v>
      </c>
      <c r="D2302" s="10" t="s">
        <v>2651</v>
      </c>
      <c r="E2302" s="11">
        <v>3916</v>
      </c>
      <c r="F2302" s="11">
        <v>4154</v>
      </c>
      <c r="G2302" s="11">
        <v>8070</v>
      </c>
      <c r="H2302" s="11">
        <v>3252</v>
      </c>
    </row>
    <row r="2303" spans="1:8" x14ac:dyDescent="0.2">
      <c r="A2303" s="10">
        <v>90</v>
      </c>
      <c r="B2303" s="10" t="s">
        <v>2618</v>
      </c>
      <c r="C2303" s="10">
        <v>9085</v>
      </c>
      <c r="D2303" s="10" t="s">
        <v>2652</v>
      </c>
      <c r="E2303" s="11">
        <v>7703</v>
      </c>
      <c r="F2303" s="11">
        <v>8163</v>
      </c>
      <c r="G2303" s="11">
        <v>15866</v>
      </c>
      <c r="H2303" s="11">
        <v>6450</v>
      </c>
    </row>
    <row r="2304" spans="1:8" x14ac:dyDescent="0.2">
      <c r="A2304" s="10">
        <v>90</v>
      </c>
      <c r="B2304" s="10" t="s">
        <v>2618</v>
      </c>
      <c r="C2304" s="10">
        <v>9086</v>
      </c>
      <c r="D2304" s="10" t="s">
        <v>2653</v>
      </c>
      <c r="E2304" s="11">
        <v>3138</v>
      </c>
      <c r="F2304" s="11">
        <v>3322</v>
      </c>
      <c r="G2304" s="11">
        <v>6460</v>
      </c>
      <c r="H2304" s="11">
        <v>2170</v>
      </c>
    </row>
    <row r="2305" spans="1:8" x14ac:dyDescent="0.2">
      <c r="A2305" s="10">
        <v>90</v>
      </c>
      <c r="B2305" s="10" t="s">
        <v>2618</v>
      </c>
      <c r="C2305" s="10">
        <v>9087</v>
      </c>
      <c r="D2305" s="10" t="s">
        <v>2654</v>
      </c>
      <c r="E2305" s="11">
        <v>1388</v>
      </c>
      <c r="F2305" s="11">
        <v>1551</v>
      </c>
      <c r="G2305" s="11">
        <v>2939</v>
      </c>
      <c r="H2305" s="11">
        <v>1190</v>
      </c>
    </row>
    <row r="2306" spans="1:8" x14ac:dyDescent="0.2">
      <c r="A2306" s="10">
        <v>90</v>
      </c>
      <c r="B2306" s="10" t="s">
        <v>2618</v>
      </c>
      <c r="C2306" s="10">
        <v>9088</v>
      </c>
      <c r="D2306" s="10" t="s">
        <v>2655</v>
      </c>
      <c r="E2306" s="11">
        <v>2315</v>
      </c>
      <c r="F2306" s="11">
        <v>2554</v>
      </c>
      <c r="G2306" s="11">
        <v>4869</v>
      </c>
      <c r="H2306" s="11">
        <v>2704</v>
      </c>
    </row>
    <row r="2307" spans="1:8" x14ac:dyDescent="0.2">
      <c r="A2307" s="10">
        <v>90</v>
      </c>
      <c r="B2307" s="10" t="s">
        <v>2618</v>
      </c>
      <c r="C2307" s="10">
        <v>9089</v>
      </c>
      <c r="D2307" s="10" t="s">
        <v>2656</v>
      </c>
      <c r="E2307" s="11">
        <v>2006</v>
      </c>
      <c r="F2307" s="11">
        <v>2208</v>
      </c>
      <c r="G2307" s="11">
        <v>4214</v>
      </c>
      <c r="H2307" s="11">
        <v>2029</v>
      </c>
    </row>
    <row r="2308" spans="1:8" x14ac:dyDescent="0.2">
      <c r="A2308" s="10">
        <v>90</v>
      </c>
      <c r="B2308" s="10" t="s">
        <v>2618</v>
      </c>
      <c r="C2308" s="10">
        <v>9090</v>
      </c>
      <c r="D2308" s="10" t="s">
        <v>2657</v>
      </c>
      <c r="E2308" s="11">
        <v>5240</v>
      </c>
      <c r="F2308" s="11">
        <v>5480</v>
      </c>
      <c r="G2308" s="11">
        <v>10720</v>
      </c>
      <c r="H2308" s="11">
        <v>3648</v>
      </c>
    </row>
    <row r="2309" spans="1:8" x14ac:dyDescent="0.2">
      <c r="A2309" s="10">
        <v>90</v>
      </c>
      <c r="B2309" s="10" t="s">
        <v>2618</v>
      </c>
      <c r="C2309" s="10">
        <v>9091</v>
      </c>
      <c r="D2309" s="10" t="s">
        <v>2658</v>
      </c>
      <c r="E2309" s="10">
        <v>640</v>
      </c>
      <c r="F2309" s="10">
        <v>688</v>
      </c>
      <c r="G2309" s="11">
        <v>1328</v>
      </c>
      <c r="H2309" s="10">
        <v>809</v>
      </c>
    </row>
    <row r="2310" spans="1:8" x14ac:dyDescent="0.2">
      <c r="A2310" s="10">
        <v>90</v>
      </c>
      <c r="B2310" s="10" t="s">
        <v>2618</v>
      </c>
      <c r="C2310" s="10">
        <v>9092</v>
      </c>
      <c r="D2310" s="10" t="s">
        <v>2659</v>
      </c>
      <c r="E2310" s="11">
        <v>1370</v>
      </c>
      <c r="F2310" s="11">
        <v>1329</v>
      </c>
      <c r="G2310" s="11">
        <v>2699</v>
      </c>
      <c r="H2310" s="11">
        <v>1125</v>
      </c>
    </row>
    <row r="2311" spans="1:8" x14ac:dyDescent="0.2">
      <c r="A2311" s="10">
        <v>90</v>
      </c>
      <c r="B2311" s="10" t="s">
        <v>2618</v>
      </c>
      <c r="C2311" s="10">
        <v>9093</v>
      </c>
      <c r="D2311" s="10" t="s">
        <v>2660</v>
      </c>
      <c r="E2311" s="11">
        <v>2939</v>
      </c>
      <c r="F2311" s="11">
        <v>2991</v>
      </c>
      <c r="G2311" s="11">
        <v>5930</v>
      </c>
      <c r="H2311" s="11">
        <v>3858</v>
      </c>
    </row>
    <row r="2312" spans="1:8" x14ac:dyDescent="0.2">
      <c r="A2312" s="10">
        <v>90</v>
      </c>
      <c r="B2312" s="10" t="s">
        <v>2618</v>
      </c>
      <c r="C2312" s="10">
        <v>9094</v>
      </c>
      <c r="D2312" s="10" t="s">
        <v>2661</v>
      </c>
      <c r="E2312" s="11">
        <v>3291</v>
      </c>
      <c r="F2312" s="11">
        <v>3418</v>
      </c>
      <c r="G2312" s="11">
        <v>6709</v>
      </c>
      <c r="H2312" s="11">
        <v>3478</v>
      </c>
    </row>
    <row r="2313" spans="1:8" x14ac:dyDescent="0.2">
      <c r="A2313" s="10">
        <v>90</v>
      </c>
      <c r="B2313" s="10" t="s">
        <v>2618</v>
      </c>
      <c r="C2313" s="10">
        <v>9095</v>
      </c>
      <c r="D2313" s="10" t="s">
        <v>2662</v>
      </c>
      <c r="E2313" s="11">
        <v>1353</v>
      </c>
      <c r="F2313" s="11">
        <v>1477</v>
      </c>
      <c r="G2313" s="11">
        <v>2830</v>
      </c>
      <c r="H2313" s="11">
        <v>1336</v>
      </c>
    </row>
    <row r="2314" spans="1:8" x14ac:dyDescent="0.2">
      <c r="A2314" s="10">
        <v>90</v>
      </c>
      <c r="B2314" s="10" t="s">
        <v>2618</v>
      </c>
      <c r="C2314" s="10">
        <v>9096</v>
      </c>
      <c r="D2314" s="10" t="s">
        <v>2663</v>
      </c>
      <c r="E2314" s="11">
        <v>13456</v>
      </c>
      <c r="F2314" s="11">
        <v>14894</v>
      </c>
      <c r="G2314" s="11">
        <v>28350</v>
      </c>
      <c r="H2314" s="11">
        <v>13986</v>
      </c>
    </row>
    <row r="2315" spans="1:8" x14ac:dyDescent="0.2">
      <c r="A2315" s="10">
        <v>90</v>
      </c>
      <c r="B2315" s="10" t="s">
        <v>2618</v>
      </c>
      <c r="C2315" s="10">
        <v>9097</v>
      </c>
      <c r="D2315" s="10" t="s">
        <v>2664</v>
      </c>
      <c r="E2315" s="11">
        <v>10347</v>
      </c>
      <c r="F2315" s="11">
        <v>10949</v>
      </c>
      <c r="G2315" s="11">
        <v>21296</v>
      </c>
      <c r="H2315" s="11">
        <v>9238</v>
      </c>
    </row>
    <row r="2316" spans="1:8" x14ac:dyDescent="0.2">
      <c r="A2316" s="10">
        <v>90</v>
      </c>
      <c r="B2316" s="10" t="s">
        <v>2618</v>
      </c>
      <c r="C2316" s="10">
        <v>9098</v>
      </c>
      <c r="D2316" s="10" t="s">
        <v>2665</v>
      </c>
      <c r="E2316" s="11">
        <v>64864</v>
      </c>
      <c r="F2316" s="11">
        <v>75987</v>
      </c>
      <c r="G2316" s="11">
        <v>140851</v>
      </c>
      <c r="H2316" s="11">
        <v>70703</v>
      </c>
    </row>
    <row r="2317" spans="1:8" x14ac:dyDescent="0.2">
      <c r="A2317" s="10">
        <v>90</v>
      </c>
      <c r="B2317" s="10" t="s">
        <v>2618</v>
      </c>
      <c r="C2317" s="10">
        <v>9099</v>
      </c>
      <c r="D2317" s="10" t="s">
        <v>2666</v>
      </c>
      <c r="E2317" s="11">
        <v>25798</v>
      </c>
      <c r="F2317" s="11">
        <v>28158</v>
      </c>
      <c r="G2317" s="11">
        <v>53956</v>
      </c>
      <c r="H2317" s="11">
        <v>27878</v>
      </c>
    </row>
    <row r="2318" spans="1:8" x14ac:dyDescent="0.2">
      <c r="A2318" s="10">
        <v>91</v>
      </c>
      <c r="B2318" s="10" t="s">
        <v>2667</v>
      </c>
      <c r="C2318" s="10">
        <v>9101</v>
      </c>
      <c r="D2318" s="10" t="s">
        <v>2668</v>
      </c>
      <c r="E2318" s="11">
        <v>32816</v>
      </c>
      <c r="F2318" s="11">
        <v>33625</v>
      </c>
      <c r="G2318" s="11">
        <v>66441</v>
      </c>
      <c r="H2318" s="11">
        <v>19610</v>
      </c>
    </row>
    <row r="2319" spans="1:8" x14ac:dyDescent="0.2">
      <c r="A2319" s="10">
        <v>91</v>
      </c>
      <c r="B2319" s="10" t="s">
        <v>2667</v>
      </c>
      <c r="C2319" s="10">
        <v>9102</v>
      </c>
      <c r="D2319" s="10" t="s">
        <v>2669</v>
      </c>
      <c r="E2319" s="11">
        <v>11067</v>
      </c>
      <c r="F2319" s="11">
        <v>11161</v>
      </c>
      <c r="G2319" s="11">
        <v>22228</v>
      </c>
      <c r="H2319" s="11">
        <v>6347</v>
      </c>
    </row>
    <row r="2320" spans="1:8" x14ac:dyDescent="0.2">
      <c r="A2320" s="10">
        <v>91</v>
      </c>
      <c r="B2320" s="10" t="s">
        <v>2667</v>
      </c>
      <c r="C2320" s="10">
        <v>9103</v>
      </c>
      <c r="D2320" s="10" t="s">
        <v>2670</v>
      </c>
      <c r="E2320" s="11">
        <v>17766</v>
      </c>
      <c r="F2320" s="11">
        <v>17717</v>
      </c>
      <c r="G2320" s="11">
        <v>35483</v>
      </c>
      <c r="H2320" s="11">
        <v>12380</v>
      </c>
    </row>
    <row r="2321" spans="1:8" x14ac:dyDescent="0.2">
      <c r="A2321" s="10">
        <v>91</v>
      </c>
      <c r="B2321" s="10" t="s">
        <v>2667</v>
      </c>
      <c r="C2321" s="10">
        <v>9104</v>
      </c>
      <c r="D2321" s="10" t="s">
        <v>2671</v>
      </c>
      <c r="E2321" s="11">
        <v>14873</v>
      </c>
      <c r="F2321" s="11">
        <v>15070</v>
      </c>
      <c r="G2321" s="11">
        <v>29943</v>
      </c>
      <c r="H2321" s="11">
        <v>9197</v>
      </c>
    </row>
    <row r="2322" spans="1:8" x14ac:dyDescent="0.2">
      <c r="A2322" s="10">
        <v>91</v>
      </c>
      <c r="B2322" s="10" t="s">
        <v>2667</v>
      </c>
      <c r="C2322" s="10">
        <v>9105</v>
      </c>
      <c r="D2322" s="10" t="s">
        <v>2672</v>
      </c>
      <c r="E2322" s="11">
        <v>34386</v>
      </c>
      <c r="F2322" s="11">
        <v>34751</v>
      </c>
      <c r="G2322" s="11">
        <v>69137</v>
      </c>
      <c r="H2322" s="11">
        <v>22266</v>
      </c>
    </row>
    <row r="2323" spans="1:8" x14ac:dyDescent="0.2">
      <c r="A2323" s="10">
        <v>91</v>
      </c>
      <c r="B2323" s="10" t="s">
        <v>2667</v>
      </c>
      <c r="C2323" s="10">
        <v>9106</v>
      </c>
      <c r="D2323" s="10" t="s">
        <v>2673</v>
      </c>
      <c r="E2323" s="11">
        <v>10770</v>
      </c>
      <c r="F2323" s="11">
        <v>10601</v>
      </c>
      <c r="G2323" s="11">
        <v>21371</v>
      </c>
      <c r="H2323" s="11">
        <v>7074</v>
      </c>
    </row>
    <row r="2324" spans="1:8" x14ac:dyDescent="0.2">
      <c r="A2324" s="10">
        <v>91</v>
      </c>
      <c r="B2324" s="10" t="s">
        <v>2667</v>
      </c>
      <c r="C2324" s="10">
        <v>9107</v>
      </c>
      <c r="D2324" s="10" t="s">
        <v>2674</v>
      </c>
      <c r="E2324" s="11">
        <v>9531</v>
      </c>
      <c r="F2324" s="11">
        <v>9171</v>
      </c>
      <c r="G2324" s="11">
        <v>18702</v>
      </c>
      <c r="H2324" s="11">
        <v>6715</v>
      </c>
    </row>
    <row r="2325" spans="1:8" x14ac:dyDescent="0.2">
      <c r="A2325" s="10">
        <v>91</v>
      </c>
      <c r="B2325" s="10" t="s">
        <v>2667</v>
      </c>
      <c r="C2325" s="10">
        <v>9193</v>
      </c>
      <c r="D2325" s="10" t="s">
        <v>2675</v>
      </c>
      <c r="E2325" s="11">
        <v>10529</v>
      </c>
      <c r="F2325" s="11">
        <v>9964</v>
      </c>
      <c r="G2325" s="11">
        <v>20493</v>
      </c>
      <c r="H2325" s="11">
        <v>9640</v>
      </c>
    </row>
    <row r="2326" spans="1:8" x14ac:dyDescent="0.2">
      <c r="A2326" s="10">
        <v>91</v>
      </c>
      <c r="B2326" s="10" t="s">
        <v>2667</v>
      </c>
      <c r="C2326" s="10">
        <v>9194</v>
      </c>
      <c r="D2326" s="10" t="s">
        <v>2676</v>
      </c>
      <c r="E2326" s="11">
        <v>1603</v>
      </c>
      <c r="F2326" s="11">
        <v>1626</v>
      </c>
      <c r="G2326" s="11">
        <v>3229</v>
      </c>
      <c r="H2326" s="11">
        <v>1271</v>
      </c>
    </row>
    <row r="2327" spans="1:8" x14ac:dyDescent="0.2">
      <c r="A2327" s="10">
        <v>91</v>
      </c>
      <c r="B2327" s="10" t="s">
        <v>2667</v>
      </c>
      <c r="C2327" s="10">
        <v>9195</v>
      </c>
      <c r="D2327" s="10" t="s">
        <v>1083</v>
      </c>
      <c r="E2327" s="11">
        <v>2326</v>
      </c>
      <c r="F2327" s="11">
        <v>2570</v>
      </c>
      <c r="G2327" s="11">
        <v>4896</v>
      </c>
      <c r="H2327" s="11">
        <v>2953</v>
      </c>
    </row>
    <row r="2328" spans="1:8" x14ac:dyDescent="0.2">
      <c r="A2328" s="10">
        <v>91</v>
      </c>
      <c r="B2328" s="10" t="s">
        <v>2667</v>
      </c>
      <c r="C2328" s="10">
        <v>9196</v>
      </c>
      <c r="D2328" s="10" t="s">
        <v>2677</v>
      </c>
      <c r="E2328" s="11">
        <v>2684</v>
      </c>
      <c r="F2328" s="11">
        <v>2783</v>
      </c>
      <c r="G2328" s="11">
        <v>5467</v>
      </c>
      <c r="H2328" s="11">
        <v>2028</v>
      </c>
    </row>
    <row r="2329" spans="1:8" x14ac:dyDescent="0.2">
      <c r="A2329" s="10">
        <v>91</v>
      </c>
      <c r="B2329" s="10" t="s">
        <v>2667</v>
      </c>
      <c r="C2329" s="10">
        <v>9197</v>
      </c>
      <c r="D2329" s="10" t="s">
        <v>2678</v>
      </c>
      <c r="E2329" s="11">
        <v>1094</v>
      </c>
      <c r="F2329" s="11">
        <v>1221</v>
      </c>
      <c r="G2329" s="11">
        <v>2315</v>
      </c>
      <c r="H2329" s="11">
        <v>1046</v>
      </c>
    </row>
    <row r="2330" spans="1:8" x14ac:dyDescent="0.2">
      <c r="A2330" s="10">
        <v>91</v>
      </c>
      <c r="B2330" s="10" t="s">
        <v>2667</v>
      </c>
      <c r="C2330" s="10">
        <v>9198</v>
      </c>
      <c r="D2330" s="10" t="s">
        <v>2679</v>
      </c>
      <c r="E2330" s="11">
        <v>2007</v>
      </c>
      <c r="F2330" s="11">
        <v>2030</v>
      </c>
      <c r="G2330" s="11">
        <v>4037</v>
      </c>
      <c r="H2330" s="11">
        <v>1041</v>
      </c>
    </row>
    <row r="2331" spans="1:8" x14ac:dyDescent="0.2">
      <c r="A2331" s="10">
        <v>91</v>
      </c>
      <c r="B2331" s="10" t="s">
        <v>2667</v>
      </c>
      <c r="C2331" s="10">
        <v>9199</v>
      </c>
      <c r="D2331" s="10" t="s">
        <v>2680</v>
      </c>
      <c r="E2331" s="11">
        <v>10215</v>
      </c>
      <c r="F2331" s="11">
        <v>10922</v>
      </c>
      <c r="G2331" s="11">
        <v>21137</v>
      </c>
      <c r="H2331" s="11">
        <v>10207</v>
      </c>
    </row>
    <row r="2332" spans="1:8" x14ac:dyDescent="0.2">
      <c r="A2332" s="10">
        <v>92</v>
      </c>
      <c r="B2332" s="10" t="s">
        <v>2681</v>
      </c>
      <c r="C2332" s="10">
        <v>9201</v>
      </c>
      <c r="D2332" s="10" t="s">
        <v>2682</v>
      </c>
      <c r="E2332" s="11">
        <v>46421</v>
      </c>
      <c r="F2332" s="11">
        <v>50340</v>
      </c>
      <c r="G2332" s="11">
        <v>96761</v>
      </c>
      <c r="H2332" s="11">
        <v>43309</v>
      </c>
    </row>
    <row r="2333" spans="1:8" x14ac:dyDescent="0.2">
      <c r="A2333" s="10">
        <v>92</v>
      </c>
      <c r="B2333" s="10" t="s">
        <v>2681</v>
      </c>
      <c r="C2333" s="10">
        <v>9202</v>
      </c>
      <c r="D2333" s="10" t="s">
        <v>2683</v>
      </c>
      <c r="E2333" s="11">
        <v>37295</v>
      </c>
      <c r="F2333" s="11">
        <v>38060</v>
      </c>
      <c r="G2333" s="11">
        <v>75355</v>
      </c>
      <c r="H2333" s="11">
        <v>25257</v>
      </c>
    </row>
    <row r="2334" spans="1:8" x14ac:dyDescent="0.2">
      <c r="A2334" s="10">
        <v>92</v>
      </c>
      <c r="B2334" s="10" t="s">
        <v>2681</v>
      </c>
      <c r="C2334" s="10">
        <v>9203</v>
      </c>
      <c r="D2334" s="10" t="s">
        <v>2684</v>
      </c>
      <c r="E2334" s="11">
        <v>27718</v>
      </c>
      <c r="F2334" s="11">
        <v>28645</v>
      </c>
      <c r="G2334" s="11">
        <v>56363</v>
      </c>
      <c r="H2334" s="11">
        <v>18750</v>
      </c>
    </row>
    <row r="2335" spans="1:8" x14ac:dyDescent="0.2">
      <c r="A2335" s="10">
        <v>92</v>
      </c>
      <c r="B2335" s="10" t="s">
        <v>2681</v>
      </c>
      <c r="C2335" s="10">
        <v>9204</v>
      </c>
      <c r="D2335" s="10" t="s">
        <v>2685</v>
      </c>
      <c r="E2335" s="11">
        <v>30666</v>
      </c>
      <c r="F2335" s="11">
        <v>31394</v>
      </c>
      <c r="G2335" s="11">
        <v>62060</v>
      </c>
      <c r="H2335" s="11">
        <v>22375</v>
      </c>
    </row>
    <row r="2336" spans="1:8" x14ac:dyDescent="0.2">
      <c r="A2336" s="10">
        <v>92</v>
      </c>
      <c r="B2336" s="10" t="s">
        <v>2681</v>
      </c>
      <c r="C2336" s="10">
        <v>9205</v>
      </c>
      <c r="D2336" s="10" t="s">
        <v>2686</v>
      </c>
      <c r="E2336" s="11">
        <v>17651</v>
      </c>
      <c r="F2336" s="11">
        <v>17239</v>
      </c>
      <c r="G2336" s="11">
        <v>34890</v>
      </c>
      <c r="H2336" s="11">
        <v>13112</v>
      </c>
    </row>
    <row r="2337" spans="1:8" x14ac:dyDescent="0.2">
      <c r="A2337" s="10">
        <v>92</v>
      </c>
      <c r="B2337" s="10" t="s">
        <v>2681</v>
      </c>
      <c r="C2337" s="10">
        <v>9206</v>
      </c>
      <c r="D2337" s="10" t="s">
        <v>2687</v>
      </c>
      <c r="E2337" s="11">
        <v>38286</v>
      </c>
      <c r="F2337" s="11">
        <v>39412</v>
      </c>
      <c r="G2337" s="11">
        <v>77698</v>
      </c>
      <c r="H2337" s="11">
        <v>27826</v>
      </c>
    </row>
    <row r="2338" spans="1:8" x14ac:dyDescent="0.2">
      <c r="A2338" s="10">
        <v>92</v>
      </c>
      <c r="B2338" s="10" t="s">
        <v>2681</v>
      </c>
      <c r="C2338" s="10">
        <v>9207</v>
      </c>
      <c r="D2338" s="10" t="s">
        <v>2688</v>
      </c>
      <c r="E2338" s="11">
        <v>20002</v>
      </c>
      <c r="F2338" s="11">
        <v>20267</v>
      </c>
      <c r="G2338" s="11">
        <v>40269</v>
      </c>
      <c r="H2338" s="11">
        <v>14381</v>
      </c>
    </row>
    <row r="2339" spans="1:8" x14ac:dyDescent="0.2">
      <c r="A2339" s="10">
        <v>92</v>
      </c>
      <c r="B2339" s="10" t="s">
        <v>2681</v>
      </c>
      <c r="C2339" s="10">
        <v>9208</v>
      </c>
      <c r="D2339" s="10" t="s">
        <v>2689</v>
      </c>
      <c r="E2339" s="11">
        <v>19839</v>
      </c>
      <c r="F2339" s="11">
        <v>21050</v>
      </c>
      <c r="G2339" s="11">
        <v>40889</v>
      </c>
      <c r="H2339" s="11">
        <v>14157</v>
      </c>
    </row>
    <row r="2340" spans="1:8" x14ac:dyDescent="0.2">
      <c r="A2340" s="10">
        <v>92</v>
      </c>
      <c r="B2340" s="10" t="s">
        <v>2681</v>
      </c>
      <c r="C2340" s="10">
        <v>9209</v>
      </c>
      <c r="D2340" s="10" t="s">
        <v>2690</v>
      </c>
      <c r="E2340" s="11">
        <v>13174</v>
      </c>
      <c r="F2340" s="11">
        <v>13518</v>
      </c>
      <c r="G2340" s="11">
        <v>26692</v>
      </c>
      <c r="H2340" s="11">
        <v>10197</v>
      </c>
    </row>
    <row r="2341" spans="1:8" x14ac:dyDescent="0.2">
      <c r="A2341" s="10">
        <v>92</v>
      </c>
      <c r="B2341" s="10" t="s">
        <v>2681</v>
      </c>
      <c r="C2341" s="10">
        <v>9210</v>
      </c>
      <c r="D2341" s="10" t="s">
        <v>2691</v>
      </c>
      <c r="E2341" s="11">
        <v>8420</v>
      </c>
      <c r="F2341" s="11">
        <v>8331</v>
      </c>
      <c r="G2341" s="11">
        <v>16751</v>
      </c>
      <c r="H2341" s="11">
        <v>5144</v>
      </c>
    </row>
    <row r="2342" spans="1:8" x14ac:dyDescent="0.2">
      <c r="A2342" s="10">
        <v>92</v>
      </c>
      <c r="B2342" s="10" t="s">
        <v>2681</v>
      </c>
      <c r="C2342" s="10">
        <v>9286</v>
      </c>
      <c r="D2342" s="10" t="s">
        <v>2692</v>
      </c>
      <c r="E2342" s="11">
        <v>1155</v>
      </c>
      <c r="F2342" s="11">
        <v>1272</v>
      </c>
      <c r="G2342" s="11">
        <v>2427</v>
      </c>
      <c r="H2342" s="11">
        <v>1379</v>
      </c>
    </row>
    <row r="2343" spans="1:8" x14ac:dyDescent="0.2">
      <c r="A2343" s="10">
        <v>92</v>
      </c>
      <c r="B2343" s="10" t="s">
        <v>2681</v>
      </c>
      <c r="C2343" s="10">
        <v>9287</v>
      </c>
      <c r="D2343" s="10" t="s">
        <v>2693</v>
      </c>
      <c r="E2343" s="11">
        <v>1611</v>
      </c>
      <c r="F2343" s="11">
        <v>1806</v>
      </c>
      <c r="G2343" s="11">
        <v>3417</v>
      </c>
      <c r="H2343" s="11">
        <v>1618</v>
      </c>
    </row>
    <row r="2344" spans="1:8" x14ac:dyDescent="0.2">
      <c r="A2344" s="10">
        <v>92</v>
      </c>
      <c r="B2344" s="10" t="s">
        <v>2681</v>
      </c>
      <c r="C2344" s="10">
        <v>9288</v>
      </c>
      <c r="D2344" s="10" t="s">
        <v>2694</v>
      </c>
      <c r="E2344" s="11">
        <v>1466</v>
      </c>
      <c r="F2344" s="11">
        <v>1488</v>
      </c>
      <c r="G2344" s="11">
        <v>2954</v>
      </c>
      <c r="H2344" s="11">
        <v>1411</v>
      </c>
    </row>
    <row r="2345" spans="1:8" x14ac:dyDescent="0.2">
      <c r="A2345" s="10">
        <v>92</v>
      </c>
      <c r="B2345" s="10" t="s">
        <v>2681</v>
      </c>
      <c r="C2345" s="10">
        <v>9289</v>
      </c>
      <c r="D2345" s="10" t="s">
        <v>2695</v>
      </c>
      <c r="E2345" s="11">
        <v>1780</v>
      </c>
      <c r="F2345" s="11">
        <v>1457</v>
      </c>
      <c r="G2345" s="11">
        <v>3237</v>
      </c>
      <c r="H2345" s="11">
        <v>1476</v>
      </c>
    </row>
    <row r="2346" spans="1:8" x14ac:dyDescent="0.2">
      <c r="A2346" s="10">
        <v>92</v>
      </c>
      <c r="B2346" s="10" t="s">
        <v>2681</v>
      </c>
      <c r="C2346" s="10">
        <v>9290</v>
      </c>
      <c r="D2346" s="10" t="s">
        <v>2696</v>
      </c>
      <c r="E2346" s="11">
        <v>1927</v>
      </c>
      <c r="F2346" s="11">
        <v>2049</v>
      </c>
      <c r="G2346" s="11">
        <v>3976</v>
      </c>
      <c r="H2346" s="11">
        <v>1888</v>
      </c>
    </row>
    <row r="2347" spans="1:8" x14ac:dyDescent="0.2">
      <c r="A2347" s="10">
        <v>92</v>
      </c>
      <c r="B2347" s="10" t="s">
        <v>2681</v>
      </c>
      <c r="C2347" s="10">
        <v>9291</v>
      </c>
      <c r="D2347" s="10" t="s">
        <v>2697</v>
      </c>
      <c r="E2347" s="10">
        <v>619</v>
      </c>
      <c r="F2347" s="10">
        <v>683</v>
      </c>
      <c r="G2347" s="11">
        <v>1302</v>
      </c>
      <c r="H2347" s="10">
        <v>664</v>
      </c>
    </row>
    <row r="2348" spans="1:8" x14ac:dyDescent="0.2">
      <c r="A2348" s="10">
        <v>92</v>
      </c>
      <c r="B2348" s="10" t="s">
        <v>2681</v>
      </c>
      <c r="C2348" s="10">
        <v>9292</v>
      </c>
      <c r="D2348" s="10" t="s">
        <v>2698</v>
      </c>
      <c r="E2348" s="11">
        <v>1013</v>
      </c>
      <c r="F2348" s="11">
        <v>1068</v>
      </c>
      <c r="G2348" s="11">
        <v>2081</v>
      </c>
      <c r="H2348" s="10">
        <v>790</v>
      </c>
    </row>
    <row r="2349" spans="1:8" x14ac:dyDescent="0.2">
      <c r="A2349" s="10">
        <v>92</v>
      </c>
      <c r="B2349" s="10" t="s">
        <v>2681</v>
      </c>
      <c r="C2349" s="10">
        <v>9293</v>
      </c>
      <c r="D2349" s="10" t="s">
        <v>2699</v>
      </c>
      <c r="E2349" s="11">
        <v>1096</v>
      </c>
      <c r="F2349" s="11">
        <v>1238</v>
      </c>
      <c r="G2349" s="11">
        <v>2334</v>
      </c>
      <c r="H2349" s="11">
        <v>1117</v>
      </c>
    </row>
    <row r="2350" spans="1:8" x14ac:dyDescent="0.2">
      <c r="A2350" s="10">
        <v>92</v>
      </c>
      <c r="B2350" s="10" t="s">
        <v>2681</v>
      </c>
      <c r="C2350" s="10">
        <v>9294</v>
      </c>
      <c r="D2350" s="10" t="s">
        <v>809</v>
      </c>
      <c r="E2350" s="10">
        <v>645</v>
      </c>
      <c r="F2350" s="10">
        <v>655</v>
      </c>
      <c r="G2350" s="11">
        <v>1300</v>
      </c>
      <c r="H2350" s="10">
        <v>670</v>
      </c>
    </row>
    <row r="2351" spans="1:8" x14ac:dyDescent="0.2">
      <c r="A2351" s="10">
        <v>92</v>
      </c>
      <c r="B2351" s="10" t="s">
        <v>2681</v>
      </c>
      <c r="C2351" s="10">
        <v>9295</v>
      </c>
      <c r="D2351" s="10" t="s">
        <v>2700</v>
      </c>
      <c r="E2351" s="11">
        <v>3432</v>
      </c>
      <c r="F2351" s="11">
        <v>3987</v>
      </c>
      <c r="G2351" s="11">
        <v>7419</v>
      </c>
      <c r="H2351" s="11">
        <v>3874</v>
      </c>
    </row>
    <row r="2352" spans="1:8" x14ac:dyDescent="0.2">
      <c r="A2352" s="10">
        <v>92</v>
      </c>
      <c r="B2352" s="10" t="s">
        <v>2681</v>
      </c>
      <c r="C2352" s="10">
        <v>9296</v>
      </c>
      <c r="D2352" s="10" t="s">
        <v>2701</v>
      </c>
      <c r="E2352" s="11">
        <v>1848</v>
      </c>
      <c r="F2352" s="11">
        <v>2009</v>
      </c>
      <c r="G2352" s="11">
        <v>3857</v>
      </c>
      <c r="H2352" s="11">
        <v>1819</v>
      </c>
    </row>
    <row r="2353" spans="1:8" x14ac:dyDescent="0.2">
      <c r="A2353" s="10">
        <v>92</v>
      </c>
      <c r="B2353" s="10" t="s">
        <v>2681</v>
      </c>
      <c r="C2353" s="10">
        <v>9297</v>
      </c>
      <c r="D2353" s="10" t="s">
        <v>2702</v>
      </c>
      <c r="E2353" s="11">
        <v>3691</v>
      </c>
      <c r="F2353" s="11">
        <v>4103</v>
      </c>
      <c r="G2353" s="11">
        <v>7794</v>
      </c>
      <c r="H2353" s="11">
        <v>4232</v>
      </c>
    </row>
    <row r="2354" spans="1:8" x14ac:dyDescent="0.2">
      <c r="A2354" s="10">
        <v>92</v>
      </c>
      <c r="B2354" s="10" t="s">
        <v>2681</v>
      </c>
      <c r="C2354" s="10">
        <v>9298</v>
      </c>
      <c r="D2354" s="10" t="s">
        <v>2703</v>
      </c>
      <c r="E2354" s="11">
        <v>5483</v>
      </c>
      <c r="F2354" s="11">
        <v>5705</v>
      </c>
      <c r="G2354" s="11">
        <v>11188</v>
      </c>
      <c r="H2354" s="11">
        <v>5143</v>
      </c>
    </row>
    <row r="2355" spans="1:8" x14ac:dyDescent="0.2">
      <c r="A2355" s="10">
        <v>92</v>
      </c>
      <c r="B2355" s="10" t="s">
        <v>2681</v>
      </c>
      <c r="C2355" s="10">
        <v>9299</v>
      </c>
      <c r="D2355" s="10" t="s">
        <v>2704</v>
      </c>
      <c r="E2355" s="11">
        <v>24807</v>
      </c>
      <c r="F2355" s="11">
        <v>29138</v>
      </c>
      <c r="G2355" s="11">
        <v>53945</v>
      </c>
      <c r="H2355" s="11">
        <v>26264</v>
      </c>
    </row>
    <row r="2356" spans="1:8" x14ac:dyDescent="0.2">
      <c r="A2356" s="10">
        <v>93</v>
      </c>
      <c r="B2356" s="10" t="s">
        <v>2705</v>
      </c>
      <c r="C2356" s="10">
        <v>9301</v>
      </c>
      <c r="D2356" s="10" t="s">
        <v>2706</v>
      </c>
      <c r="E2356" s="11">
        <v>42603</v>
      </c>
      <c r="F2356" s="11">
        <v>46931</v>
      </c>
      <c r="G2356" s="11">
        <v>89534</v>
      </c>
      <c r="H2356" s="11">
        <v>36125</v>
      </c>
    </row>
    <row r="2357" spans="1:8" x14ac:dyDescent="0.2">
      <c r="A2357" s="10">
        <v>93</v>
      </c>
      <c r="B2357" s="10" t="s">
        <v>2705</v>
      </c>
      <c r="C2357" s="10">
        <v>9302</v>
      </c>
      <c r="D2357" s="10" t="s">
        <v>2707</v>
      </c>
      <c r="E2357" s="11">
        <v>14689</v>
      </c>
      <c r="F2357" s="11">
        <v>14882</v>
      </c>
      <c r="G2357" s="11">
        <v>29571</v>
      </c>
      <c r="H2357" s="11">
        <v>9934</v>
      </c>
    </row>
    <row r="2358" spans="1:8" x14ac:dyDescent="0.2">
      <c r="A2358" s="10">
        <v>93</v>
      </c>
      <c r="B2358" s="10" t="s">
        <v>2705</v>
      </c>
      <c r="C2358" s="10">
        <v>9303</v>
      </c>
      <c r="D2358" s="10" t="s">
        <v>2708</v>
      </c>
      <c r="E2358" s="11">
        <v>15074</v>
      </c>
      <c r="F2358" s="11">
        <v>15762</v>
      </c>
      <c r="G2358" s="11">
        <v>30836</v>
      </c>
      <c r="H2358" s="11">
        <v>12083</v>
      </c>
    </row>
    <row r="2359" spans="1:8" x14ac:dyDescent="0.2">
      <c r="A2359" s="10">
        <v>93</v>
      </c>
      <c r="B2359" s="10" t="s">
        <v>2705</v>
      </c>
      <c r="C2359" s="10">
        <v>9304</v>
      </c>
      <c r="D2359" s="10" t="s">
        <v>2709</v>
      </c>
      <c r="E2359" s="11">
        <v>7123</v>
      </c>
      <c r="F2359" s="11">
        <v>7215</v>
      </c>
      <c r="G2359" s="11">
        <v>14338</v>
      </c>
      <c r="H2359" s="11">
        <v>4992</v>
      </c>
    </row>
    <row r="2360" spans="1:8" x14ac:dyDescent="0.2">
      <c r="A2360" s="10">
        <v>93</v>
      </c>
      <c r="B2360" s="10" t="s">
        <v>2705</v>
      </c>
      <c r="C2360" s="10">
        <v>9305</v>
      </c>
      <c r="D2360" s="10" t="s">
        <v>2710</v>
      </c>
      <c r="E2360" s="11">
        <v>37631</v>
      </c>
      <c r="F2360" s="11">
        <v>40840</v>
      </c>
      <c r="G2360" s="11">
        <v>78471</v>
      </c>
      <c r="H2360" s="11">
        <v>31374</v>
      </c>
    </row>
    <row r="2361" spans="1:8" x14ac:dyDescent="0.2">
      <c r="A2361" s="10">
        <v>93</v>
      </c>
      <c r="B2361" s="10" t="s">
        <v>2705</v>
      </c>
      <c r="C2361" s="10">
        <v>9306</v>
      </c>
      <c r="D2361" s="10" t="s">
        <v>2711</v>
      </c>
      <c r="E2361" s="11">
        <v>16042</v>
      </c>
      <c r="F2361" s="11">
        <v>16641</v>
      </c>
      <c r="G2361" s="11">
        <v>32683</v>
      </c>
      <c r="H2361" s="11">
        <v>11544</v>
      </c>
    </row>
    <row r="2362" spans="1:8" x14ac:dyDescent="0.2">
      <c r="A2362" s="10">
        <v>93</v>
      </c>
      <c r="B2362" s="10" t="s">
        <v>2705</v>
      </c>
      <c r="C2362" s="10">
        <v>9307</v>
      </c>
      <c r="D2362" s="10" t="s">
        <v>2712</v>
      </c>
      <c r="E2362" s="11">
        <v>8993</v>
      </c>
      <c r="F2362" s="11">
        <v>9026</v>
      </c>
      <c r="G2362" s="11">
        <v>18019</v>
      </c>
      <c r="H2362" s="11">
        <v>7138</v>
      </c>
    </row>
    <row r="2363" spans="1:8" x14ac:dyDescent="0.2">
      <c r="A2363" s="10">
        <v>93</v>
      </c>
      <c r="B2363" s="10" t="s">
        <v>2705</v>
      </c>
      <c r="C2363" s="10">
        <v>9308</v>
      </c>
      <c r="D2363" s="10" t="s">
        <v>2713</v>
      </c>
      <c r="E2363" s="11">
        <v>21390</v>
      </c>
      <c r="F2363" s="11">
        <v>21810</v>
      </c>
      <c r="G2363" s="11">
        <v>43200</v>
      </c>
      <c r="H2363" s="11">
        <v>16564</v>
      </c>
    </row>
    <row r="2364" spans="1:8" x14ac:dyDescent="0.2">
      <c r="A2364" s="10">
        <v>93</v>
      </c>
      <c r="B2364" s="10" t="s">
        <v>2705</v>
      </c>
      <c r="C2364" s="10">
        <v>9309</v>
      </c>
      <c r="D2364" s="10" t="s">
        <v>2714</v>
      </c>
      <c r="E2364" s="11">
        <v>8928</v>
      </c>
      <c r="F2364" s="11">
        <v>9106</v>
      </c>
      <c r="G2364" s="11">
        <v>18034</v>
      </c>
      <c r="H2364" s="11">
        <v>6797</v>
      </c>
    </row>
    <row r="2365" spans="1:8" x14ac:dyDescent="0.2">
      <c r="A2365" s="10">
        <v>93</v>
      </c>
      <c r="B2365" s="10" t="s">
        <v>2705</v>
      </c>
      <c r="C2365" s="10">
        <v>9310</v>
      </c>
      <c r="D2365" s="10" t="s">
        <v>2715</v>
      </c>
      <c r="E2365" s="11">
        <v>13126</v>
      </c>
      <c r="F2365" s="11">
        <v>13667</v>
      </c>
      <c r="G2365" s="11">
        <v>26793</v>
      </c>
      <c r="H2365" s="11">
        <v>11251</v>
      </c>
    </row>
    <row r="2366" spans="1:8" x14ac:dyDescent="0.2">
      <c r="A2366" s="10">
        <v>93</v>
      </c>
      <c r="B2366" s="10" t="s">
        <v>2705</v>
      </c>
      <c r="C2366" s="10">
        <v>9311</v>
      </c>
      <c r="D2366" s="10" t="s">
        <v>2716</v>
      </c>
      <c r="E2366" s="11">
        <v>5122</v>
      </c>
      <c r="F2366" s="11">
        <v>5270</v>
      </c>
      <c r="G2366" s="11">
        <v>10392</v>
      </c>
      <c r="H2366" s="11">
        <v>3790</v>
      </c>
    </row>
    <row r="2367" spans="1:8" x14ac:dyDescent="0.2">
      <c r="A2367" s="10">
        <v>93</v>
      </c>
      <c r="B2367" s="10" t="s">
        <v>2705</v>
      </c>
      <c r="C2367" s="10">
        <v>9382</v>
      </c>
      <c r="D2367" s="10" t="s">
        <v>2717</v>
      </c>
      <c r="E2367" s="11">
        <v>3603</v>
      </c>
      <c r="F2367" s="11">
        <v>3583</v>
      </c>
      <c r="G2367" s="11">
        <v>7186</v>
      </c>
      <c r="H2367" s="11">
        <v>2281</v>
      </c>
    </row>
    <row r="2368" spans="1:8" x14ac:dyDescent="0.2">
      <c r="A2368" s="10">
        <v>93</v>
      </c>
      <c r="B2368" s="10" t="s">
        <v>2705</v>
      </c>
      <c r="C2368" s="10">
        <v>9383</v>
      </c>
      <c r="D2368" s="10" t="s">
        <v>2718</v>
      </c>
      <c r="E2368" s="11">
        <v>3632</v>
      </c>
      <c r="F2368" s="11">
        <v>3688</v>
      </c>
      <c r="G2368" s="11">
        <v>7320</v>
      </c>
      <c r="H2368" s="11">
        <v>2390</v>
      </c>
    </row>
    <row r="2369" spans="1:8" x14ac:dyDescent="0.2">
      <c r="A2369" s="10">
        <v>93</v>
      </c>
      <c r="B2369" s="10" t="s">
        <v>2705</v>
      </c>
      <c r="C2369" s="10">
        <v>9384</v>
      </c>
      <c r="D2369" s="10" t="s">
        <v>2719</v>
      </c>
      <c r="E2369" s="11">
        <v>4881</v>
      </c>
      <c r="F2369" s="11">
        <v>5085</v>
      </c>
      <c r="G2369" s="11">
        <v>9966</v>
      </c>
      <c r="H2369" s="11">
        <v>3624</v>
      </c>
    </row>
    <row r="2370" spans="1:8" x14ac:dyDescent="0.2">
      <c r="A2370" s="10">
        <v>93</v>
      </c>
      <c r="B2370" s="10" t="s">
        <v>2705</v>
      </c>
      <c r="C2370" s="10">
        <v>9385</v>
      </c>
      <c r="D2370" s="10" t="s">
        <v>2720</v>
      </c>
      <c r="E2370" s="11">
        <v>1892</v>
      </c>
      <c r="F2370" s="11">
        <v>1945</v>
      </c>
      <c r="G2370" s="11">
        <v>3837</v>
      </c>
      <c r="H2370" s="11">
        <v>1498</v>
      </c>
    </row>
    <row r="2371" spans="1:8" x14ac:dyDescent="0.2">
      <c r="A2371" s="10">
        <v>93</v>
      </c>
      <c r="B2371" s="10" t="s">
        <v>2705</v>
      </c>
      <c r="C2371" s="10">
        <v>9386</v>
      </c>
      <c r="D2371" s="10" t="s">
        <v>2721</v>
      </c>
      <c r="E2371" s="11">
        <v>2249</v>
      </c>
      <c r="F2371" s="11">
        <v>2325</v>
      </c>
      <c r="G2371" s="11">
        <v>4574</v>
      </c>
      <c r="H2371" s="11">
        <v>1729</v>
      </c>
    </row>
    <row r="2372" spans="1:8" x14ac:dyDescent="0.2">
      <c r="A2372" s="10">
        <v>93</v>
      </c>
      <c r="B2372" s="10" t="s">
        <v>2705</v>
      </c>
      <c r="C2372" s="10">
        <v>9387</v>
      </c>
      <c r="D2372" s="10" t="s">
        <v>2722</v>
      </c>
      <c r="E2372" s="11">
        <v>4781</v>
      </c>
      <c r="F2372" s="11">
        <v>4138</v>
      </c>
      <c r="G2372" s="11">
        <v>8919</v>
      </c>
      <c r="H2372" s="11">
        <v>3688</v>
      </c>
    </row>
    <row r="2373" spans="1:8" x14ac:dyDescent="0.2">
      <c r="A2373" s="10">
        <v>93</v>
      </c>
      <c r="B2373" s="10" t="s">
        <v>2705</v>
      </c>
      <c r="C2373" s="10">
        <v>9388</v>
      </c>
      <c r="D2373" s="10" t="s">
        <v>2636</v>
      </c>
      <c r="E2373" s="11">
        <v>5045</v>
      </c>
      <c r="F2373" s="11">
        <v>5294</v>
      </c>
      <c r="G2373" s="11">
        <v>10339</v>
      </c>
      <c r="H2373" s="11">
        <v>3784</v>
      </c>
    </row>
    <row r="2374" spans="1:8" x14ac:dyDescent="0.2">
      <c r="A2374" s="10">
        <v>93</v>
      </c>
      <c r="B2374" s="10" t="s">
        <v>2705</v>
      </c>
      <c r="C2374" s="10">
        <v>9389</v>
      </c>
      <c r="D2374" s="10" t="s">
        <v>703</v>
      </c>
      <c r="E2374" s="11">
        <v>3687</v>
      </c>
      <c r="F2374" s="11">
        <v>3782</v>
      </c>
      <c r="G2374" s="11">
        <v>7469</v>
      </c>
      <c r="H2374" s="11">
        <v>3288</v>
      </c>
    </row>
    <row r="2375" spans="1:8" x14ac:dyDescent="0.2">
      <c r="A2375" s="10">
        <v>93</v>
      </c>
      <c r="B2375" s="10" t="s">
        <v>2705</v>
      </c>
      <c r="C2375" s="10">
        <v>9390</v>
      </c>
      <c r="D2375" s="10" t="s">
        <v>2723</v>
      </c>
      <c r="E2375" s="11">
        <v>4233</v>
      </c>
      <c r="F2375" s="11">
        <v>4459</v>
      </c>
      <c r="G2375" s="11">
        <v>8692</v>
      </c>
      <c r="H2375" s="11">
        <v>3081</v>
      </c>
    </row>
    <row r="2376" spans="1:8" x14ac:dyDescent="0.2">
      <c r="A2376" s="10">
        <v>93</v>
      </c>
      <c r="B2376" s="10" t="s">
        <v>2705</v>
      </c>
      <c r="C2376" s="10">
        <v>9391</v>
      </c>
      <c r="D2376" s="10" t="s">
        <v>2724</v>
      </c>
      <c r="E2376" s="11">
        <v>1900</v>
      </c>
      <c r="F2376" s="11">
        <v>2090</v>
      </c>
      <c r="G2376" s="11">
        <v>3990</v>
      </c>
      <c r="H2376" s="11">
        <v>1934</v>
      </c>
    </row>
    <row r="2377" spans="1:8" x14ac:dyDescent="0.2">
      <c r="A2377" s="10">
        <v>93</v>
      </c>
      <c r="B2377" s="10" t="s">
        <v>2705</v>
      </c>
      <c r="C2377" s="10">
        <v>9392</v>
      </c>
      <c r="D2377" s="10" t="s">
        <v>2725</v>
      </c>
      <c r="E2377" s="11">
        <v>2015</v>
      </c>
      <c r="F2377" s="11">
        <v>2087</v>
      </c>
      <c r="G2377" s="11">
        <v>4102</v>
      </c>
      <c r="H2377" s="11">
        <v>1828</v>
      </c>
    </row>
    <row r="2378" spans="1:8" x14ac:dyDescent="0.2">
      <c r="A2378" s="10">
        <v>93</v>
      </c>
      <c r="B2378" s="10" t="s">
        <v>2705</v>
      </c>
      <c r="C2378" s="10">
        <v>9393</v>
      </c>
      <c r="D2378" s="10" t="s">
        <v>2726</v>
      </c>
      <c r="E2378" s="11">
        <v>1447</v>
      </c>
      <c r="F2378" s="11">
        <v>1610</v>
      </c>
      <c r="G2378" s="11">
        <v>3057</v>
      </c>
      <c r="H2378" s="11">
        <v>1546</v>
      </c>
    </row>
    <row r="2379" spans="1:8" x14ac:dyDescent="0.2">
      <c r="A2379" s="10">
        <v>93</v>
      </c>
      <c r="B2379" s="10" t="s">
        <v>2705</v>
      </c>
      <c r="C2379" s="10">
        <v>9394</v>
      </c>
      <c r="D2379" s="10" t="s">
        <v>2727</v>
      </c>
      <c r="E2379" s="11">
        <v>1009</v>
      </c>
      <c r="F2379" s="11">
        <v>1153</v>
      </c>
      <c r="G2379" s="11">
        <v>2162</v>
      </c>
      <c r="H2379" s="10">
        <v>811</v>
      </c>
    </row>
    <row r="2380" spans="1:8" x14ac:dyDescent="0.2">
      <c r="A2380" s="10">
        <v>93</v>
      </c>
      <c r="B2380" s="10" t="s">
        <v>2705</v>
      </c>
      <c r="C2380" s="10">
        <v>9395</v>
      </c>
      <c r="D2380" s="10" t="s">
        <v>2728</v>
      </c>
      <c r="E2380" s="10">
        <v>890</v>
      </c>
      <c r="F2380" s="11">
        <v>1072</v>
      </c>
      <c r="G2380" s="11">
        <v>1962</v>
      </c>
      <c r="H2380" s="11">
        <v>1212</v>
      </c>
    </row>
    <row r="2381" spans="1:8" x14ac:dyDescent="0.2">
      <c r="A2381" s="10">
        <v>93</v>
      </c>
      <c r="B2381" s="10" t="s">
        <v>2705</v>
      </c>
      <c r="C2381" s="10">
        <v>9396</v>
      </c>
      <c r="D2381" s="10" t="s">
        <v>2729</v>
      </c>
      <c r="E2381" s="11">
        <v>2949</v>
      </c>
      <c r="F2381" s="11">
        <v>3227</v>
      </c>
      <c r="G2381" s="11">
        <v>6176</v>
      </c>
      <c r="H2381" s="11">
        <v>3579</v>
      </c>
    </row>
    <row r="2382" spans="1:8" x14ac:dyDescent="0.2">
      <c r="A2382" s="10">
        <v>93</v>
      </c>
      <c r="B2382" s="10" t="s">
        <v>2705</v>
      </c>
      <c r="C2382" s="10">
        <v>9397</v>
      </c>
      <c r="D2382" s="10" t="s">
        <v>2730</v>
      </c>
      <c r="E2382" s="11">
        <v>2051</v>
      </c>
      <c r="F2382" s="11">
        <v>2187</v>
      </c>
      <c r="G2382" s="11">
        <v>4238</v>
      </c>
      <c r="H2382" s="11">
        <v>1609</v>
      </c>
    </row>
    <row r="2383" spans="1:8" x14ac:dyDescent="0.2">
      <c r="A2383" s="10">
        <v>93</v>
      </c>
      <c r="B2383" s="10" t="s">
        <v>2705</v>
      </c>
      <c r="C2383" s="10">
        <v>9398</v>
      </c>
      <c r="D2383" s="10" t="s">
        <v>2731</v>
      </c>
      <c r="E2383" s="11">
        <v>1623</v>
      </c>
      <c r="F2383" s="11">
        <v>1788</v>
      </c>
      <c r="G2383" s="11">
        <v>3411</v>
      </c>
      <c r="H2383" s="11">
        <v>1678</v>
      </c>
    </row>
    <row r="2384" spans="1:8" x14ac:dyDescent="0.2">
      <c r="A2384" s="10">
        <v>93</v>
      </c>
      <c r="B2384" s="10" t="s">
        <v>2705</v>
      </c>
      <c r="C2384" s="10">
        <v>9399</v>
      </c>
      <c r="D2384" s="10" t="s">
        <v>2732</v>
      </c>
      <c r="E2384" s="11">
        <v>13852</v>
      </c>
      <c r="F2384" s="11">
        <v>16317</v>
      </c>
      <c r="G2384" s="11">
        <v>30169</v>
      </c>
      <c r="H2384" s="11">
        <v>16615</v>
      </c>
    </row>
    <row r="2385" spans="1:8" x14ac:dyDescent="0.2">
      <c r="A2385" s="10">
        <v>94</v>
      </c>
      <c r="B2385" s="10" t="s">
        <v>2733</v>
      </c>
      <c r="C2385" s="10">
        <v>9401</v>
      </c>
      <c r="D2385" s="10" t="s">
        <v>2734</v>
      </c>
      <c r="E2385" s="11">
        <v>44632</v>
      </c>
      <c r="F2385" s="11">
        <v>46805</v>
      </c>
      <c r="G2385" s="11">
        <v>91437</v>
      </c>
      <c r="H2385" s="11">
        <v>33717</v>
      </c>
    </row>
    <row r="2386" spans="1:8" x14ac:dyDescent="0.2">
      <c r="A2386" s="10">
        <v>94</v>
      </c>
      <c r="B2386" s="10" t="s">
        <v>2733</v>
      </c>
      <c r="C2386" s="10">
        <v>9402</v>
      </c>
      <c r="D2386" s="10" t="s">
        <v>2735</v>
      </c>
      <c r="E2386" s="11">
        <v>30823</v>
      </c>
      <c r="F2386" s="11">
        <v>32294</v>
      </c>
      <c r="G2386" s="11">
        <v>63117</v>
      </c>
      <c r="H2386" s="11">
        <v>18698</v>
      </c>
    </row>
    <row r="2387" spans="1:8" x14ac:dyDescent="0.2">
      <c r="A2387" s="10">
        <v>94</v>
      </c>
      <c r="B2387" s="10" t="s">
        <v>2733</v>
      </c>
      <c r="C2387" s="10">
        <v>9403</v>
      </c>
      <c r="D2387" s="10" t="s">
        <v>2736</v>
      </c>
      <c r="E2387" s="11">
        <v>30475</v>
      </c>
      <c r="F2387" s="11">
        <v>30901</v>
      </c>
      <c r="G2387" s="11">
        <v>61376</v>
      </c>
      <c r="H2387" s="11">
        <v>14493</v>
      </c>
    </row>
    <row r="2388" spans="1:8" x14ac:dyDescent="0.2">
      <c r="A2388" s="10">
        <v>94</v>
      </c>
      <c r="B2388" s="10" t="s">
        <v>2733</v>
      </c>
      <c r="C2388" s="10">
        <v>9404</v>
      </c>
      <c r="D2388" s="10" t="s">
        <v>2737</v>
      </c>
      <c r="E2388" s="11">
        <v>18363</v>
      </c>
      <c r="F2388" s="11">
        <v>19031</v>
      </c>
      <c r="G2388" s="11">
        <v>37394</v>
      </c>
      <c r="H2388" s="11">
        <v>10039</v>
      </c>
    </row>
    <row r="2389" spans="1:8" x14ac:dyDescent="0.2">
      <c r="A2389" s="10">
        <v>94</v>
      </c>
      <c r="B2389" s="10" t="s">
        <v>2733</v>
      </c>
      <c r="C2389" s="10">
        <v>9405</v>
      </c>
      <c r="D2389" s="10" t="s">
        <v>2738</v>
      </c>
      <c r="E2389" s="11">
        <v>28830</v>
      </c>
      <c r="F2389" s="11">
        <v>29394</v>
      </c>
      <c r="G2389" s="11">
        <v>58224</v>
      </c>
      <c r="H2389" s="11">
        <v>13685</v>
      </c>
    </row>
    <row r="2390" spans="1:8" x14ac:dyDescent="0.2">
      <c r="A2390" s="10">
        <v>94</v>
      </c>
      <c r="B2390" s="10" t="s">
        <v>2733</v>
      </c>
      <c r="C2390" s="10">
        <v>9406</v>
      </c>
      <c r="D2390" s="10" t="s">
        <v>2739</v>
      </c>
      <c r="E2390" s="11">
        <v>12906</v>
      </c>
      <c r="F2390" s="11">
        <v>13306</v>
      </c>
      <c r="G2390" s="11">
        <v>26212</v>
      </c>
      <c r="H2390" s="11">
        <v>6218</v>
      </c>
    </row>
    <row r="2391" spans="1:8" x14ac:dyDescent="0.2">
      <c r="A2391" s="10">
        <v>94</v>
      </c>
      <c r="B2391" s="10" t="s">
        <v>2733</v>
      </c>
      <c r="C2391" s="10">
        <v>9407</v>
      </c>
      <c r="D2391" s="10" t="s">
        <v>2740</v>
      </c>
      <c r="E2391" s="11">
        <v>28555</v>
      </c>
      <c r="F2391" s="11">
        <v>29784</v>
      </c>
      <c r="G2391" s="11">
        <v>58339</v>
      </c>
      <c r="H2391" s="11">
        <v>14331</v>
      </c>
    </row>
    <row r="2392" spans="1:8" x14ac:dyDescent="0.2">
      <c r="A2392" s="10">
        <v>94</v>
      </c>
      <c r="B2392" s="10" t="s">
        <v>2733</v>
      </c>
      <c r="C2392" s="10">
        <v>9408</v>
      </c>
      <c r="D2392" s="10" t="s">
        <v>2741</v>
      </c>
      <c r="E2392" s="11">
        <v>6506</v>
      </c>
      <c r="F2392" s="11">
        <v>6746</v>
      </c>
      <c r="G2392" s="11">
        <v>13252</v>
      </c>
      <c r="H2392" s="11">
        <v>3645</v>
      </c>
    </row>
    <row r="2393" spans="1:8" x14ac:dyDescent="0.2">
      <c r="A2393" s="10">
        <v>94</v>
      </c>
      <c r="B2393" s="10" t="s">
        <v>2733</v>
      </c>
      <c r="C2393" s="10">
        <v>9409</v>
      </c>
      <c r="D2393" s="10" t="s">
        <v>2742</v>
      </c>
      <c r="E2393" s="11">
        <v>36391</v>
      </c>
      <c r="F2393" s="11">
        <v>36861</v>
      </c>
      <c r="G2393" s="11">
        <v>73252</v>
      </c>
      <c r="H2393" s="11">
        <v>17067</v>
      </c>
    </row>
    <row r="2394" spans="1:8" x14ac:dyDescent="0.2">
      <c r="A2394" s="10">
        <v>94</v>
      </c>
      <c r="B2394" s="10" t="s">
        <v>2733</v>
      </c>
      <c r="C2394" s="10">
        <v>9410</v>
      </c>
      <c r="D2394" s="10" t="s">
        <v>2743</v>
      </c>
      <c r="E2394" s="11">
        <v>46438</v>
      </c>
      <c r="F2394" s="11">
        <v>46759</v>
      </c>
      <c r="G2394" s="11">
        <v>93197</v>
      </c>
      <c r="H2394" s="11">
        <v>22771</v>
      </c>
    </row>
    <row r="2395" spans="1:8" x14ac:dyDescent="0.2">
      <c r="A2395" s="10">
        <v>94</v>
      </c>
      <c r="B2395" s="10" t="s">
        <v>2733</v>
      </c>
      <c r="C2395" s="10">
        <v>9411</v>
      </c>
      <c r="D2395" s="10" t="s">
        <v>2744</v>
      </c>
      <c r="E2395" s="11">
        <v>9658</v>
      </c>
      <c r="F2395" s="11">
        <v>9883</v>
      </c>
      <c r="G2395" s="11">
        <v>19541</v>
      </c>
      <c r="H2395" s="11">
        <v>4678</v>
      </c>
    </row>
    <row r="2396" spans="1:8" x14ac:dyDescent="0.2">
      <c r="A2396" s="10">
        <v>94</v>
      </c>
      <c r="B2396" s="10" t="s">
        <v>2733</v>
      </c>
      <c r="C2396" s="10">
        <v>9412</v>
      </c>
      <c r="D2396" s="10" t="s">
        <v>2745</v>
      </c>
      <c r="E2396" s="11">
        <v>8910</v>
      </c>
      <c r="F2396" s="11">
        <v>9088</v>
      </c>
      <c r="G2396" s="11">
        <v>17998</v>
      </c>
      <c r="H2396" s="11">
        <v>4803</v>
      </c>
    </row>
    <row r="2397" spans="1:8" x14ac:dyDescent="0.2">
      <c r="A2397" s="10">
        <v>94</v>
      </c>
      <c r="B2397" s="10" t="s">
        <v>2733</v>
      </c>
      <c r="C2397" s="10">
        <v>9488</v>
      </c>
      <c r="D2397" s="10" t="s">
        <v>2746</v>
      </c>
      <c r="E2397" s="11">
        <v>2519</v>
      </c>
      <c r="F2397" s="11">
        <v>2671</v>
      </c>
      <c r="G2397" s="11">
        <v>5190</v>
      </c>
      <c r="H2397" s="11">
        <v>1453</v>
      </c>
    </row>
    <row r="2398" spans="1:8" x14ac:dyDescent="0.2">
      <c r="A2398" s="10">
        <v>94</v>
      </c>
      <c r="B2398" s="10" t="s">
        <v>2733</v>
      </c>
      <c r="C2398" s="10">
        <v>9489</v>
      </c>
      <c r="D2398" s="10" t="s">
        <v>2747</v>
      </c>
      <c r="E2398" s="11">
        <v>3182</v>
      </c>
      <c r="F2398" s="11">
        <v>3064</v>
      </c>
      <c r="G2398" s="11">
        <v>6246</v>
      </c>
      <c r="H2398" s="11">
        <v>2016</v>
      </c>
    </row>
    <row r="2399" spans="1:8" x14ac:dyDescent="0.2">
      <c r="A2399" s="10">
        <v>94</v>
      </c>
      <c r="B2399" s="10" t="s">
        <v>2733</v>
      </c>
      <c r="C2399" s="10">
        <v>9490</v>
      </c>
      <c r="D2399" s="10" t="s">
        <v>404</v>
      </c>
      <c r="E2399" s="11">
        <v>5255</v>
      </c>
      <c r="F2399" s="11">
        <v>5356</v>
      </c>
      <c r="G2399" s="11">
        <v>10611</v>
      </c>
      <c r="H2399" s="11">
        <v>2468</v>
      </c>
    </row>
    <row r="2400" spans="1:8" x14ac:dyDescent="0.2">
      <c r="A2400" s="10">
        <v>94</v>
      </c>
      <c r="B2400" s="10" t="s">
        <v>2733</v>
      </c>
      <c r="C2400" s="10">
        <v>9491</v>
      </c>
      <c r="D2400" s="10" t="s">
        <v>2748</v>
      </c>
      <c r="E2400" s="11">
        <v>1362</v>
      </c>
      <c r="F2400" s="11">
        <v>1541</v>
      </c>
      <c r="G2400" s="11">
        <v>2903</v>
      </c>
      <c r="H2400" s="10">
        <v>759</v>
      </c>
    </row>
    <row r="2401" spans="1:8" x14ac:dyDescent="0.2">
      <c r="A2401" s="10">
        <v>94</v>
      </c>
      <c r="B2401" s="10" t="s">
        <v>2733</v>
      </c>
      <c r="C2401" s="10">
        <v>9492</v>
      </c>
      <c r="D2401" s="10" t="s">
        <v>2749</v>
      </c>
      <c r="E2401" s="11">
        <v>2500</v>
      </c>
      <c r="F2401" s="11">
        <v>2526</v>
      </c>
      <c r="G2401" s="11">
        <v>5026</v>
      </c>
      <c r="H2401" s="11">
        <v>1308</v>
      </c>
    </row>
    <row r="2402" spans="1:8" x14ac:dyDescent="0.2">
      <c r="A2402" s="10">
        <v>94</v>
      </c>
      <c r="B2402" s="10" t="s">
        <v>2733</v>
      </c>
      <c r="C2402" s="10">
        <v>9493</v>
      </c>
      <c r="D2402" s="10" t="s">
        <v>2750</v>
      </c>
      <c r="E2402" s="11">
        <v>5517</v>
      </c>
      <c r="F2402" s="11">
        <v>5533</v>
      </c>
      <c r="G2402" s="11">
        <v>11050</v>
      </c>
      <c r="H2402" s="11">
        <v>2915</v>
      </c>
    </row>
    <row r="2403" spans="1:8" x14ac:dyDescent="0.2">
      <c r="A2403" s="10">
        <v>94</v>
      </c>
      <c r="B2403" s="10" t="s">
        <v>2733</v>
      </c>
      <c r="C2403" s="10">
        <v>9494</v>
      </c>
      <c r="D2403" s="10" t="s">
        <v>2751</v>
      </c>
      <c r="E2403" s="11">
        <v>3112</v>
      </c>
      <c r="F2403" s="11">
        <v>3132</v>
      </c>
      <c r="G2403" s="11">
        <v>6244</v>
      </c>
      <c r="H2403" s="11">
        <v>2101</v>
      </c>
    </row>
    <row r="2404" spans="1:8" x14ac:dyDescent="0.2">
      <c r="A2404" s="10">
        <v>94</v>
      </c>
      <c r="B2404" s="10" t="s">
        <v>2733</v>
      </c>
      <c r="C2404" s="10">
        <v>9495</v>
      </c>
      <c r="D2404" s="10" t="s">
        <v>666</v>
      </c>
      <c r="E2404" s="11">
        <v>9400</v>
      </c>
      <c r="F2404" s="11">
        <v>6618</v>
      </c>
      <c r="G2404" s="11">
        <v>16018</v>
      </c>
      <c r="H2404" s="11">
        <v>6152</v>
      </c>
    </row>
    <row r="2405" spans="1:8" x14ac:dyDescent="0.2">
      <c r="A2405" s="10">
        <v>94</v>
      </c>
      <c r="B2405" s="10" t="s">
        <v>2733</v>
      </c>
      <c r="C2405" s="10">
        <v>9496</v>
      </c>
      <c r="D2405" s="10" t="s">
        <v>2752</v>
      </c>
      <c r="E2405" s="11">
        <v>1469</v>
      </c>
      <c r="F2405" s="11">
        <v>1603</v>
      </c>
      <c r="G2405" s="11">
        <v>3072</v>
      </c>
      <c r="H2405" s="11">
        <v>1469</v>
      </c>
    </row>
    <row r="2406" spans="1:8" x14ac:dyDescent="0.2">
      <c r="A2406" s="10">
        <v>94</v>
      </c>
      <c r="B2406" s="10" t="s">
        <v>2733</v>
      </c>
      <c r="C2406" s="10">
        <v>9497</v>
      </c>
      <c r="D2406" s="10" t="s">
        <v>2753</v>
      </c>
      <c r="E2406" s="11">
        <v>1593</v>
      </c>
      <c r="F2406" s="11">
        <v>1825</v>
      </c>
      <c r="G2406" s="11">
        <v>3418</v>
      </c>
      <c r="H2406" s="11">
        <v>1933</v>
      </c>
    </row>
    <row r="2407" spans="1:8" x14ac:dyDescent="0.2">
      <c r="A2407" s="10">
        <v>94</v>
      </c>
      <c r="B2407" s="10" t="s">
        <v>2733</v>
      </c>
      <c r="C2407" s="10">
        <v>9498</v>
      </c>
      <c r="D2407" s="10" t="s">
        <v>2754</v>
      </c>
      <c r="E2407" s="11">
        <v>7156</v>
      </c>
      <c r="F2407" s="11">
        <v>7378</v>
      </c>
      <c r="G2407" s="11">
        <v>14534</v>
      </c>
      <c r="H2407" s="11">
        <v>4727</v>
      </c>
    </row>
    <row r="2408" spans="1:8" x14ac:dyDescent="0.2">
      <c r="A2408" s="10">
        <v>94</v>
      </c>
      <c r="B2408" s="10" t="s">
        <v>2733</v>
      </c>
      <c r="C2408" s="10">
        <v>9499</v>
      </c>
      <c r="D2408" s="10" t="s">
        <v>2755</v>
      </c>
      <c r="E2408" s="11">
        <v>20980</v>
      </c>
      <c r="F2408" s="11">
        <v>22273</v>
      </c>
      <c r="G2408" s="11">
        <v>43253</v>
      </c>
      <c r="H2408" s="11">
        <v>16563</v>
      </c>
    </row>
    <row r="2409" spans="1:8" x14ac:dyDescent="0.2">
      <c r="A2409" s="10">
        <v>95</v>
      </c>
      <c r="B2409" s="10" t="s">
        <v>2756</v>
      </c>
      <c r="C2409" s="10">
        <v>9501</v>
      </c>
      <c r="D2409" s="10" t="s">
        <v>2757</v>
      </c>
      <c r="E2409" s="11">
        <v>38800</v>
      </c>
      <c r="F2409" s="11">
        <v>39786</v>
      </c>
      <c r="G2409" s="11">
        <v>78586</v>
      </c>
      <c r="H2409" s="11">
        <v>20212</v>
      </c>
    </row>
    <row r="2410" spans="1:8" x14ac:dyDescent="0.2">
      <c r="A2410" s="10">
        <v>95</v>
      </c>
      <c r="B2410" s="10" t="s">
        <v>2756</v>
      </c>
      <c r="C2410" s="10">
        <v>9502</v>
      </c>
      <c r="D2410" s="10" t="s">
        <v>2758</v>
      </c>
      <c r="E2410" s="11">
        <v>18751</v>
      </c>
      <c r="F2410" s="11">
        <v>17716</v>
      </c>
      <c r="G2410" s="11">
        <v>36467</v>
      </c>
      <c r="H2410" s="11">
        <v>16253</v>
      </c>
    </row>
    <row r="2411" spans="1:8" x14ac:dyDescent="0.2">
      <c r="A2411" s="10">
        <v>95</v>
      </c>
      <c r="B2411" s="10" t="s">
        <v>2756</v>
      </c>
      <c r="C2411" s="10">
        <v>9503</v>
      </c>
      <c r="D2411" s="10" t="s">
        <v>2759</v>
      </c>
      <c r="E2411" s="11">
        <v>29480</v>
      </c>
      <c r="F2411" s="11">
        <v>28578</v>
      </c>
      <c r="G2411" s="11">
        <v>58058</v>
      </c>
      <c r="H2411" s="11">
        <v>16646</v>
      </c>
    </row>
    <row r="2412" spans="1:8" x14ac:dyDescent="0.2">
      <c r="A2412" s="10">
        <v>95</v>
      </c>
      <c r="B2412" s="10" t="s">
        <v>2756</v>
      </c>
      <c r="C2412" s="10">
        <v>9504</v>
      </c>
      <c r="D2412" s="10" t="s">
        <v>2760</v>
      </c>
      <c r="E2412" s="11">
        <v>12941</v>
      </c>
      <c r="F2412" s="11">
        <v>11953</v>
      </c>
      <c r="G2412" s="11">
        <v>24894</v>
      </c>
      <c r="H2412" s="11">
        <v>9444</v>
      </c>
    </row>
    <row r="2413" spans="1:8" x14ac:dyDescent="0.2">
      <c r="A2413" s="10">
        <v>95</v>
      </c>
      <c r="B2413" s="10" t="s">
        <v>2756</v>
      </c>
      <c r="C2413" s="10">
        <v>9505</v>
      </c>
      <c r="D2413" s="10" t="s">
        <v>2761</v>
      </c>
      <c r="E2413" s="11">
        <v>31859</v>
      </c>
      <c r="F2413" s="11">
        <v>31696</v>
      </c>
      <c r="G2413" s="11">
        <v>63555</v>
      </c>
      <c r="H2413" s="11">
        <v>15280</v>
      </c>
    </row>
    <row r="2414" spans="1:8" x14ac:dyDescent="0.2">
      <c r="A2414" s="10">
        <v>95</v>
      </c>
      <c r="B2414" s="10" t="s">
        <v>2756</v>
      </c>
      <c r="C2414" s="10">
        <v>9506</v>
      </c>
      <c r="D2414" s="10" t="s">
        <v>2762</v>
      </c>
      <c r="E2414" s="11">
        <v>43642</v>
      </c>
      <c r="F2414" s="11">
        <v>44607</v>
      </c>
      <c r="G2414" s="11">
        <v>88249</v>
      </c>
      <c r="H2414" s="11">
        <v>21827</v>
      </c>
    </row>
    <row r="2415" spans="1:8" x14ac:dyDescent="0.2">
      <c r="A2415" s="10">
        <v>95</v>
      </c>
      <c r="B2415" s="10" t="s">
        <v>2756</v>
      </c>
      <c r="C2415" s="10">
        <v>9507</v>
      </c>
      <c r="D2415" s="10" t="s">
        <v>2763</v>
      </c>
      <c r="E2415" s="11">
        <v>13416</v>
      </c>
      <c r="F2415" s="11">
        <v>12801</v>
      </c>
      <c r="G2415" s="11">
        <v>26217</v>
      </c>
      <c r="H2415" s="11">
        <v>7475</v>
      </c>
    </row>
    <row r="2416" spans="1:8" x14ac:dyDescent="0.2">
      <c r="A2416" s="10">
        <v>95</v>
      </c>
      <c r="B2416" s="10" t="s">
        <v>2756</v>
      </c>
      <c r="C2416" s="10">
        <v>9508</v>
      </c>
      <c r="D2416" s="10" t="s">
        <v>2764</v>
      </c>
      <c r="E2416" s="11">
        <v>15754</v>
      </c>
      <c r="F2416" s="11">
        <v>15469</v>
      </c>
      <c r="G2416" s="11">
        <v>31223</v>
      </c>
      <c r="H2416" s="11">
        <v>6703</v>
      </c>
    </row>
    <row r="2417" spans="1:8" x14ac:dyDescent="0.2">
      <c r="A2417" s="10">
        <v>95</v>
      </c>
      <c r="B2417" s="10" t="s">
        <v>2756</v>
      </c>
      <c r="C2417" s="10">
        <v>9590</v>
      </c>
      <c r="D2417" s="10" t="s">
        <v>2765</v>
      </c>
      <c r="E2417" s="11">
        <v>18302</v>
      </c>
      <c r="F2417" s="11">
        <v>19783</v>
      </c>
      <c r="G2417" s="11">
        <v>38085</v>
      </c>
      <c r="H2417" s="11">
        <v>17414</v>
      </c>
    </row>
    <row r="2418" spans="1:8" x14ac:dyDescent="0.2">
      <c r="A2418" s="10">
        <v>95</v>
      </c>
      <c r="B2418" s="10" t="s">
        <v>2756</v>
      </c>
      <c r="C2418" s="10">
        <v>9591</v>
      </c>
      <c r="D2418" s="10" t="s">
        <v>2766</v>
      </c>
      <c r="E2418" s="11">
        <v>2451</v>
      </c>
      <c r="F2418" s="11">
        <v>2209</v>
      </c>
      <c r="G2418" s="11">
        <v>4660</v>
      </c>
      <c r="H2418" s="11">
        <v>2076</v>
      </c>
    </row>
    <row r="2419" spans="1:8" x14ac:dyDescent="0.2">
      <c r="A2419" s="10">
        <v>95</v>
      </c>
      <c r="B2419" s="10" t="s">
        <v>2756</v>
      </c>
      <c r="C2419" s="10">
        <v>9592</v>
      </c>
      <c r="D2419" s="10" t="s">
        <v>2767</v>
      </c>
      <c r="E2419" s="11">
        <v>2949</v>
      </c>
      <c r="F2419" s="11">
        <v>3076</v>
      </c>
      <c r="G2419" s="11">
        <v>6025</v>
      </c>
      <c r="H2419" s="11">
        <v>1811</v>
      </c>
    </row>
    <row r="2420" spans="1:8" x14ac:dyDescent="0.2">
      <c r="A2420" s="10">
        <v>95</v>
      </c>
      <c r="B2420" s="10" t="s">
        <v>2756</v>
      </c>
      <c r="C2420" s="10">
        <v>9593</v>
      </c>
      <c r="D2420" s="10" t="s">
        <v>2768</v>
      </c>
      <c r="E2420" s="11">
        <v>2537</v>
      </c>
      <c r="F2420" s="11">
        <v>2594</v>
      </c>
      <c r="G2420" s="11">
        <v>5131</v>
      </c>
      <c r="H2420" s="11">
        <v>1960</v>
      </c>
    </row>
    <row r="2421" spans="1:8" x14ac:dyDescent="0.2">
      <c r="A2421" s="10">
        <v>95</v>
      </c>
      <c r="B2421" s="10" t="s">
        <v>2756</v>
      </c>
      <c r="C2421" s="10">
        <v>9594</v>
      </c>
      <c r="D2421" s="10" t="s">
        <v>2769</v>
      </c>
      <c r="E2421" s="11">
        <v>1246</v>
      </c>
      <c r="F2421" s="11">
        <v>1215</v>
      </c>
      <c r="G2421" s="11">
        <v>2461</v>
      </c>
      <c r="H2421" s="10">
        <v>812</v>
      </c>
    </row>
    <row r="2422" spans="1:8" x14ac:dyDescent="0.2">
      <c r="A2422" s="10">
        <v>95</v>
      </c>
      <c r="B2422" s="10" t="s">
        <v>2756</v>
      </c>
      <c r="C2422" s="10">
        <v>9595</v>
      </c>
      <c r="D2422" s="10" t="s">
        <v>2770</v>
      </c>
      <c r="E2422" s="10">
        <v>719</v>
      </c>
      <c r="F2422" s="10">
        <v>706</v>
      </c>
      <c r="G2422" s="11">
        <v>1425</v>
      </c>
      <c r="H2422" s="10">
        <v>603</v>
      </c>
    </row>
    <row r="2423" spans="1:8" x14ac:dyDescent="0.2">
      <c r="A2423" s="10">
        <v>95</v>
      </c>
      <c r="B2423" s="10" t="s">
        <v>2756</v>
      </c>
      <c r="C2423" s="10">
        <v>9596</v>
      </c>
      <c r="D2423" s="10" t="s">
        <v>2771</v>
      </c>
      <c r="E2423" s="11">
        <v>1268</v>
      </c>
      <c r="F2423" s="11">
        <v>1275</v>
      </c>
      <c r="G2423" s="11">
        <v>2543</v>
      </c>
      <c r="H2423" s="11">
        <v>1060</v>
      </c>
    </row>
    <row r="2424" spans="1:8" x14ac:dyDescent="0.2">
      <c r="A2424" s="10">
        <v>95</v>
      </c>
      <c r="B2424" s="10" t="s">
        <v>2756</v>
      </c>
      <c r="C2424" s="10">
        <v>9597</v>
      </c>
      <c r="D2424" s="10" t="s">
        <v>2772</v>
      </c>
      <c r="E2424" s="10">
        <v>514</v>
      </c>
      <c r="F2424" s="10">
        <v>527</v>
      </c>
      <c r="G2424" s="11">
        <v>1041</v>
      </c>
      <c r="H2424" s="10">
        <v>393</v>
      </c>
    </row>
    <row r="2425" spans="1:8" x14ac:dyDescent="0.2">
      <c r="A2425" s="10">
        <v>95</v>
      </c>
      <c r="B2425" s="10" t="s">
        <v>2756</v>
      </c>
      <c r="C2425" s="10">
        <v>9598</v>
      </c>
      <c r="D2425" s="10" t="s">
        <v>2773</v>
      </c>
      <c r="E2425" s="11">
        <v>12437</v>
      </c>
      <c r="F2425" s="11">
        <v>13467</v>
      </c>
      <c r="G2425" s="11">
        <v>25904</v>
      </c>
      <c r="H2425" s="11">
        <v>11651</v>
      </c>
    </row>
    <row r="2426" spans="1:8" x14ac:dyDescent="0.2">
      <c r="A2426" s="10">
        <v>95</v>
      </c>
      <c r="B2426" s="10" t="s">
        <v>2756</v>
      </c>
      <c r="C2426" s="10">
        <v>9599</v>
      </c>
      <c r="D2426" s="10" t="s">
        <v>2774</v>
      </c>
      <c r="E2426" s="11">
        <v>27635</v>
      </c>
      <c r="F2426" s="11">
        <v>30815</v>
      </c>
      <c r="G2426" s="11">
        <v>58450</v>
      </c>
      <c r="H2426" s="11">
        <v>29664</v>
      </c>
    </row>
    <row r="2427" spans="1:8" x14ac:dyDescent="0.2">
      <c r="A2427" s="10">
        <v>96</v>
      </c>
      <c r="B2427" s="10" t="s">
        <v>2775</v>
      </c>
      <c r="C2427" s="10">
        <v>9601</v>
      </c>
      <c r="D2427" s="10" t="s">
        <v>2776</v>
      </c>
      <c r="E2427" s="11">
        <v>44411</v>
      </c>
      <c r="F2427" s="11">
        <v>44203</v>
      </c>
      <c r="G2427" s="11">
        <v>88614</v>
      </c>
      <c r="H2427" s="11">
        <v>28297</v>
      </c>
    </row>
    <row r="2428" spans="1:8" x14ac:dyDescent="0.2">
      <c r="A2428" s="10">
        <v>96</v>
      </c>
      <c r="B2428" s="10" t="s">
        <v>2775</v>
      </c>
      <c r="C2428" s="10">
        <v>9602</v>
      </c>
      <c r="D2428" s="10" t="s">
        <v>2777</v>
      </c>
      <c r="E2428" s="11">
        <v>27379</v>
      </c>
      <c r="F2428" s="11">
        <v>28121</v>
      </c>
      <c r="G2428" s="11">
        <v>55500</v>
      </c>
      <c r="H2428" s="11">
        <v>12788</v>
      </c>
    </row>
    <row r="2429" spans="1:8" x14ac:dyDescent="0.2">
      <c r="A2429" s="10">
        <v>96</v>
      </c>
      <c r="B2429" s="10" t="s">
        <v>2775</v>
      </c>
      <c r="C2429" s="10">
        <v>9603</v>
      </c>
      <c r="D2429" s="10" t="s">
        <v>2778</v>
      </c>
      <c r="E2429" s="11">
        <v>20807</v>
      </c>
      <c r="F2429" s="11">
        <v>21493</v>
      </c>
      <c r="G2429" s="11">
        <v>42300</v>
      </c>
      <c r="H2429" s="11">
        <v>9876</v>
      </c>
    </row>
    <row r="2430" spans="1:8" x14ac:dyDescent="0.2">
      <c r="A2430" s="10">
        <v>96</v>
      </c>
      <c r="B2430" s="10" t="s">
        <v>2775</v>
      </c>
      <c r="C2430" s="10">
        <v>9604</v>
      </c>
      <c r="D2430" s="10" t="s">
        <v>2779</v>
      </c>
      <c r="E2430" s="11">
        <v>22357</v>
      </c>
      <c r="F2430" s="11">
        <v>22972</v>
      </c>
      <c r="G2430" s="11">
        <v>45329</v>
      </c>
      <c r="H2430" s="11">
        <v>11101</v>
      </c>
    </row>
    <row r="2431" spans="1:8" x14ac:dyDescent="0.2">
      <c r="A2431" s="10">
        <v>96</v>
      </c>
      <c r="B2431" s="10" t="s">
        <v>2775</v>
      </c>
      <c r="C2431" s="10">
        <v>9605</v>
      </c>
      <c r="D2431" s="10" t="s">
        <v>2780</v>
      </c>
      <c r="E2431" s="11">
        <v>39255</v>
      </c>
      <c r="F2431" s="11">
        <v>40607</v>
      </c>
      <c r="G2431" s="11">
        <v>79862</v>
      </c>
      <c r="H2431" s="11">
        <v>18377</v>
      </c>
    </row>
    <row r="2432" spans="1:8" x14ac:dyDescent="0.2">
      <c r="A2432" s="10">
        <v>96</v>
      </c>
      <c r="B2432" s="10" t="s">
        <v>2775</v>
      </c>
      <c r="C2432" s="10">
        <v>9606</v>
      </c>
      <c r="D2432" s="10" t="s">
        <v>2781</v>
      </c>
      <c r="E2432" s="11">
        <v>34281</v>
      </c>
      <c r="F2432" s="11">
        <v>34309</v>
      </c>
      <c r="G2432" s="11">
        <v>68590</v>
      </c>
      <c r="H2432" s="11">
        <v>16441</v>
      </c>
    </row>
    <row r="2433" spans="1:8" x14ac:dyDescent="0.2">
      <c r="A2433" s="10">
        <v>96</v>
      </c>
      <c r="B2433" s="10" t="s">
        <v>2775</v>
      </c>
      <c r="C2433" s="10">
        <v>9607</v>
      </c>
      <c r="D2433" s="10" t="s">
        <v>2782</v>
      </c>
      <c r="E2433" s="11">
        <v>19201</v>
      </c>
      <c r="F2433" s="11">
        <v>18678</v>
      </c>
      <c r="G2433" s="11">
        <v>37879</v>
      </c>
      <c r="H2433" s="11">
        <v>10045</v>
      </c>
    </row>
    <row r="2434" spans="1:8" x14ac:dyDescent="0.2">
      <c r="A2434" s="10">
        <v>96</v>
      </c>
      <c r="B2434" s="10" t="s">
        <v>2775</v>
      </c>
      <c r="C2434" s="10">
        <v>9608</v>
      </c>
      <c r="D2434" s="10" t="s">
        <v>2783</v>
      </c>
      <c r="E2434" s="11">
        <v>22201</v>
      </c>
      <c r="F2434" s="11">
        <v>22633</v>
      </c>
      <c r="G2434" s="11">
        <v>44834</v>
      </c>
      <c r="H2434" s="11">
        <v>10977</v>
      </c>
    </row>
    <row r="2435" spans="1:8" x14ac:dyDescent="0.2">
      <c r="A2435" s="10">
        <v>96</v>
      </c>
      <c r="B2435" s="10" t="s">
        <v>2775</v>
      </c>
      <c r="C2435" s="10">
        <v>9609</v>
      </c>
      <c r="D2435" s="10" t="s">
        <v>2784</v>
      </c>
      <c r="E2435" s="11">
        <v>11786</v>
      </c>
      <c r="F2435" s="11">
        <v>11357</v>
      </c>
      <c r="G2435" s="11">
        <v>23143</v>
      </c>
      <c r="H2435" s="11">
        <v>7666</v>
      </c>
    </row>
    <row r="2436" spans="1:8" x14ac:dyDescent="0.2">
      <c r="A2436" s="10">
        <v>96</v>
      </c>
      <c r="B2436" s="10" t="s">
        <v>2775</v>
      </c>
      <c r="C2436" s="10">
        <v>9610</v>
      </c>
      <c r="D2436" s="10" t="s">
        <v>2785</v>
      </c>
      <c r="E2436" s="11">
        <v>19057</v>
      </c>
      <c r="F2436" s="11">
        <v>20215</v>
      </c>
      <c r="G2436" s="11">
        <v>39272</v>
      </c>
      <c r="H2436" s="11">
        <v>11845</v>
      </c>
    </row>
    <row r="2437" spans="1:8" x14ac:dyDescent="0.2">
      <c r="A2437" s="10">
        <v>96</v>
      </c>
      <c r="B2437" s="10" t="s">
        <v>2775</v>
      </c>
      <c r="C2437" s="10">
        <v>9611</v>
      </c>
      <c r="D2437" s="10" t="s">
        <v>2786</v>
      </c>
      <c r="E2437" s="11">
        <v>24342</v>
      </c>
      <c r="F2437" s="11">
        <v>24998</v>
      </c>
      <c r="G2437" s="11">
        <v>49340</v>
      </c>
      <c r="H2437" s="11">
        <v>12786</v>
      </c>
    </row>
    <row r="2438" spans="1:8" x14ac:dyDescent="0.2">
      <c r="A2438" s="10">
        <v>96</v>
      </c>
      <c r="B2438" s="10" t="s">
        <v>2775</v>
      </c>
      <c r="C2438" s="10">
        <v>9612</v>
      </c>
      <c r="D2438" s="10" t="s">
        <v>2787</v>
      </c>
      <c r="E2438" s="11">
        <v>20540</v>
      </c>
      <c r="F2438" s="11">
        <v>19989</v>
      </c>
      <c r="G2438" s="11">
        <v>40529</v>
      </c>
      <c r="H2438" s="11">
        <v>10159</v>
      </c>
    </row>
    <row r="2439" spans="1:8" x14ac:dyDescent="0.2">
      <c r="A2439" s="10">
        <v>96</v>
      </c>
      <c r="B2439" s="10" t="s">
        <v>2775</v>
      </c>
      <c r="C2439" s="10">
        <v>9613</v>
      </c>
      <c r="D2439" s="10" t="s">
        <v>2788</v>
      </c>
      <c r="E2439" s="11">
        <v>20774</v>
      </c>
      <c r="F2439" s="11">
        <v>20945</v>
      </c>
      <c r="G2439" s="11">
        <v>41719</v>
      </c>
      <c r="H2439" s="11">
        <v>10241</v>
      </c>
    </row>
    <row r="2440" spans="1:8" x14ac:dyDescent="0.2">
      <c r="A2440" s="10">
        <v>96</v>
      </c>
      <c r="B2440" s="10" t="s">
        <v>2775</v>
      </c>
      <c r="C2440" s="10">
        <v>9686</v>
      </c>
      <c r="D2440" s="10" t="s">
        <v>2789</v>
      </c>
      <c r="E2440" s="11">
        <v>3400</v>
      </c>
      <c r="F2440" s="11">
        <v>3578</v>
      </c>
      <c r="G2440" s="11">
        <v>6978</v>
      </c>
      <c r="H2440" s="11">
        <v>2172</v>
      </c>
    </row>
    <row r="2441" spans="1:8" x14ac:dyDescent="0.2">
      <c r="A2441" s="10">
        <v>96</v>
      </c>
      <c r="B2441" s="10" t="s">
        <v>2775</v>
      </c>
      <c r="C2441" s="10">
        <v>9687</v>
      </c>
      <c r="D2441" s="10" t="s">
        <v>2790</v>
      </c>
      <c r="E2441" s="11">
        <v>1754</v>
      </c>
      <c r="F2441" s="11">
        <v>1685</v>
      </c>
      <c r="G2441" s="11">
        <v>3439</v>
      </c>
      <c r="H2441" s="11">
        <v>1650</v>
      </c>
    </row>
    <row r="2442" spans="1:8" x14ac:dyDescent="0.2">
      <c r="A2442" s="10">
        <v>96</v>
      </c>
      <c r="B2442" s="10" t="s">
        <v>2775</v>
      </c>
      <c r="C2442" s="10">
        <v>9688</v>
      </c>
      <c r="D2442" s="10" t="s">
        <v>2791</v>
      </c>
      <c r="E2442" s="11">
        <v>2561</v>
      </c>
      <c r="F2442" s="11">
        <v>2708</v>
      </c>
      <c r="G2442" s="11">
        <v>5269</v>
      </c>
      <c r="H2442" s="11">
        <v>1731</v>
      </c>
    </row>
    <row r="2443" spans="1:8" x14ac:dyDescent="0.2">
      <c r="A2443" s="10">
        <v>96</v>
      </c>
      <c r="B2443" s="10" t="s">
        <v>2775</v>
      </c>
      <c r="C2443" s="10">
        <v>9689</v>
      </c>
      <c r="D2443" s="10" t="s">
        <v>2792</v>
      </c>
      <c r="E2443" s="11">
        <v>2553</v>
      </c>
      <c r="F2443" s="11">
        <v>2716</v>
      </c>
      <c r="G2443" s="11">
        <v>5269</v>
      </c>
      <c r="H2443" s="11">
        <v>1484</v>
      </c>
    </row>
    <row r="2444" spans="1:8" x14ac:dyDescent="0.2">
      <c r="A2444" s="10">
        <v>96</v>
      </c>
      <c r="B2444" s="10" t="s">
        <v>2775</v>
      </c>
      <c r="C2444" s="10">
        <v>9690</v>
      </c>
      <c r="D2444" s="10" t="s">
        <v>2793</v>
      </c>
      <c r="E2444" s="11">
        <v>2635</v>
      </c>
      <c r="F2444" s="11">
        <v>2565</v>
      </c>
      <c r="G2444" s="11">
        <v>5200</v>
      </c>
      <c r="H2444" s="11">
        <v>1924</v>
      </c>
    </row>
    <row r="2445" spans="1:8" x14ac:dyDescent="0.2">
      <c r="A2445" s="10">
        <v>96</v>
      </c>
      <c r="B2445" s="10" t="s">
        <v>2775</v>
      </c>
      <c r="C2445" s="10">
        <v>9691</v>
      </c>
      <c r="D2445" s="10" t="s">
        <v>2794</v>
      </c>
      <c r="E2445" s="11">
        <v>3672</v>
      </c>
      <c r="F2445" s="11">
        <v>3817</v>
      </c>
      <c r="G2445" s="11">
        <v>7489</v>
      </c>
      <c r="H2445" s="11">
        <v>3753</v>
      </c>
    </row>
    <row r="2446" spans="1:8" x14ac:dyDescent="0.2">
      <c r="A2446" s="10">
        <v>96</v>
      </c>
      <c r="B2446" s="10" t="s">
        <v>2775</v>
      </c>
      <c r="C2446" s="10">
        <v>9692</v>
      </c>
      <c r="D2446" s="10" t="s">
        <v>2795</v>
      </c>
      <c r="E2446" s="11">
        <v>4399</v>
      </c>
      <c r="F2446" s="11">
        <v>4280</v>
      </c>
      <c r="G2446" s="11">
        <v>8679</v>
      </c>
      <c r="H2446" s="11">
        <v>1842</v>
      </c>
    </row>
    <row r="2447" spans="1:8" x14ac:dyDescent="0.2">
      <c r="A2447" s="10">
        <v>96</v>
      </c>
      <c r="B2447" s="10" t="s">
        <v>2775</v>
      </c>
      <c r="C2447" s="10">
        <v>9693</v>
      </c>
      <c r="D2447" s="10" t="s">
        <v>2796</v>
      </c>
      <c r="E2447" s="11">
        <v>3251</v>
      </c>
      <c r="F2447" s="11">
        <v>3501</v>
      </c>
      <c r="G2447" s="11">
        <v>6752</v>
      </c>
      <c r="H2447" s="11">
        <v>3920</v>
      </c>
    </row>
    <row r="2448" spans="1:8" x14ac:dyDescent="0.2">
      <c r="A2448" s="10">
        <v>96</v>
      </c>
      <c r="B2448" s="10" t="s">
        <v>2775</v>
      </c>
      <c r="C2448" s="10">
        <v>9694</v>
      </c>
      <c r="D2448" s="10" t="s">
        <v>2797</v>
      </c>
      <c r="E2448" s="11">
        <v>1549</v>
      </c>
      <c r="F2448" s="11">
        <v>1538</v>
      </c>
      <c r="G2448" s="11">
        <v>3087</v>
      </c>
      <c r="H2448" s="11">
        <v>1148</v>
      </c>
    </row>
    <row r="2449" spans="1:8" x14ac:dyDescent="0.2">
      <c r="A2449" s="10">
        <v>96</v>
      </c>
      <c r="B2449" s="10" t="s">
        <v>2775</v>
      </c>
      <c r="C2449" s="10">
        <v>9695</v>
      </c>
      <c r="D2449" s="10" t="s">
        <v>2798</v>
      </c>
      <c r="E2449" s="11">
        <v>4857</v>
      </c>
      <c r="F2449" s="11">
        <v>4863</v>
      </c>
      <c r="G2449" s="11">
        <v>9720</v>
      </c>
      <c r="H2449" s="11">
        <v>2380</v>
      </c>
    </row>
    <row r="2450" spans="1:8" x14ac:dyDescent="0.2">
      <c r="A2450" s="10">
        <v>96</v>
      </c>
      <c r="B2450" s="10" t="s">
        <v>2775</v>
      </c>
      <c r="C2450" s="10">
        <v>9696</v>
      </c>
      <c r="D2450" s="10" t="s">
        <v>2799</v>
      </c>
      <c r="E2450" s="11">
        <v>2472</v>
      </c>
      <c r="F2450" s="11">
        <v>2696</v>
      </c>
      <c r="G2450" s="11">
        <v>5168</v>
      </c>
      <c r="H2450" s="11">
        <v>1501</v>
      </c>
    </row>
    <row r="2451" spans="1:8" x14ac:dyDescent="0.2">
      <c r="A2451" s="10">
        <v>96</v>
      </c>
      <c r="B2451" s="10" t="s">
        <v>2775</v>
      </c>
      <c r="C2451" s="10">
        <v>9697</v>
      </c>
      <c r="D2451" s="10" t="s">
        <v>2800</v>
      </c>
      <c r="E2451" s="11">
        <v>9814</v>
      </c>
      <c r="F2451" s="11">
        <v>10377</v>
      </c>
      <c r="G2451" s="11">
        <v>20191</v>
      </c>
      <c r="H2451" s="11">
        <v>6005</v>
      </c>
    </row>
    <row r="2452" spans="1:8" x14ac:dyDescent="0.2">
      <c r="A2452" s="10">
        <v>96</v>
      </c>
      <c r="B2452" s="10" t="s">
        <v>2775</v>
      </c>
      <c r="C2452" s="10">
        <v>9698</v>
      </c>
      <c r="D2452" s="10" t="s">
        <v>2801</v>
      </c>
      <c r="E2452" s="11">
        <v>18723</v>
      </c>
      <c r="F2452" s="11">
        <v>20858</v>
      </c>
      <c r="G2452" s="11">
        <v>39581</v>
      </c>
      <c r="H2452" s="11">
        <v>15884</v>
      </c>
    </row>
    <row r="2453" spans="1:8" x14ac:dyDescent="0.2">
      <c r="A2453" s="10">
        <v>96</v>
      </c>
      <c r="B2453" s="10" t="s">
        <v>2775</v>
      </c>
      <c r="C2453" s="10">
        <v>9699</v>
      </c>
      <c r="D2453" s="10" t="s">
        <v>2802</v>
      </c>
      <c r="E2453" s="11">
        <v>19601</v>
      </c>
      <c r="F2453" s="11">
        <v>20662</v>
      </c>
      <c r="G2453" s="11">
        <v>40263</v>
      </c>
      <c r="H2453" s="11">
        <v>16671</v>
      </c>
    </row>
  </sheetData>
  <autoFilter ref="C1:C2453" xr:uid="{384F0459-A9F8-40B5-831E-D46F1050F9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FF7B-72C6-4179-8069-AB42683CA63E}">
  <dimension ref="A3:F59"/>
  <sheetViews>
    <sheetView workbookViewId="0">
      <selection activeCell="E5" sqref="E5"/>
    </sheetView>
  </sheetViews>
  <sheetFormatPr defaultRowHeight="14.25" x14ac:dyDescent="0.2"/>
  <cols>
    <col min="1" max="1" width="27" bestFit="1" customWidth="1"/>
    <col min="2" max="2" width="9.125" bestFit="1" customWidth="1"/>
    <col min="3" max="3" width="26" bestFit="1" customWidth="1"/>
    <col min="4" max="4" width="24" bestFit="1" customWidth="1"/>
    <col min="5" max="6" width="30" bestFit="1" customWidth="1"/>
  </cols>
  <sheetData>
    <row r="3" spans="1:6" x14ac:dyDescent="0.2">
      <c r="A3" s="59" t="s">
        <v>2989</v>
      </c>
      <c r="B3" t="s">
        <v>2991</v>
      </c>
      <c r="D3" s="59" t="s">
        <v>2989</v>
      </c>
      <c r="E3" t="s">
        <v>2995</v>
      </c>
    </row>
    <row r="4" spans="1:6" x14ac:dyDescent="0.2">
      <c r="A4" s="60" t="s">
        <v>3005</v>
      </c>
      <c r="B4" s="62">
        <v>10906861</v>
      </c>
      <c r="D4" s="60" t="s">
        <v>3005</v>
      </c>
      <c r="E4" s="62">
        <v>6337823</v>
      </c>
    </row>
    <row r="5" spans="1:6" x14ac:dyDescent="0.2">
      <c r="A5" s="60" t="s">
        <v>2999</v>
      </c>
      <c r="B5" s="62">
        <v>9164591</v>
      </c>
      <c r="D5" s="60" t="s">
        <v>2999</v>
      </c>
      <c r="E5" s="62">
        <v>3859627</v>
      </c>
    </row>
    <row r="6" spans="1:6" x14ac:dyDescent="0.2">
      <c r="A6" s="60" t="s">
        <v>2998</v>
      </c>
      <c r="B6" s="62">
        <v>4277070</v>
      </c>
      <c r="D6" s="60" t="s">
        <v>2998</v>
      </c>
      <c r="E6" s="62">
        <v>2071835</v>
      </c>
    </row>
    <row r="7" spans="1:6" x14ac:dyDescent="0.2">
      <c r="A7" s="60" t="s">
        <v>2997</v>
      </c>
      <c r="B7" s="62">
        <v>4194410</v>
      </c>
      <c r="D7" s="60" t="s">
        <v>2997</v>
      </c>
      <c r="E7" s="62">
        <v>2370294</v>
      </c>
    </row>
    <row r="8" spans="1:6" x14ac:dyDescent="0.2">
      <c r="A8" s="60" t="s">
        <v>3006</v>
      </c>
      <c r="B8" s="62">
        <v>21619050</v>
      </c>
      <c r="D8" s="60" t="s">
        <v>3006</v>
      </c>
      <c r="E8" s="62">
        <v>7686839</v>
      </c>
    </row>
    <row r="9" spans="1:6" x14ac:dyDescent="0.2">
      <c r="A9" s="60" t="s">
        <v>3000</v>
      </c>
      <c r="B9" s="62">
        <v>9520292</v>
      </c>
      <c r="D9" s="60" t="s">
        <v>3000</v>
      </c>
      <c r="E9" s="62">
        <v>3931492</v>
      </c>
    </row>
    <row r="10" spans="1:6" x14ac:dyDescent="0.2">
      <c r="A10" s="60" t="s">
        <v>2996</v>
      </c>
      <c r="B10" s="62">
        <v>6268936</v>
      </c>
      <c r="D10" s="60" t="s">
        <v>2996</v>
      </c>
      <c r="E10" s="62">
        <v>2870609</v>
      </c>
    </row>
    <row r="11" spans="1:6" x14ac:dyDescent="0.2">
      <c r="A11" s="60" t="s">
        <v>2990</v>
      </c>
      <c r="B11" s="62">
        <v>65951210</v>
      </c>
      <c r="D11" s="60" t="s">
        <v>2990</v>
      </c>
      <c r="E11" s="62">
        <v>29128519</v>
      </c>
    </row>
    <row r="14" spans="1:6" x14ac:dyDescent="0.2">
      <c r="A14" s="59" t="s">
        <v>2989</v>
      </c>
      <c r="B14" t="s">
        <v>2991</v>
      </c>
      <c r="D14" s="75"/>
      <c r="E14" s="76"/>
      <c r="F14" s="77"/>
    </row>
    <row r="15" spans="1:6" x14ac:dyDescent="0.2">
      <c r="A15" s="60" t="s">
        <v>1890</v>
      </c>
      <c r="B15" s="62">
        <v>454764</v>
      </c>
      <c r="D15" s="78"/>
      <c r="E15" s="79"/>
      <c r="F15" s="80"/>
    </row>
    <row r="16" spans="1:6" x14ac:dyDescent="0.2">
      <c r="A16" s="60" t="s">
        <v>1868</v>
      </c>
      <c r="B16" s="62">
        <v>470507</v>
      </c>
      <c r="D16" s="78"/>
      <c r="E16" s="79"/>
      <c r="F16" s="80"/>
    </row>
    <row r="17" spans="1:6" x14ac:dyDescent="0.2">
      <c r="A17" s="60" t="s">
        <v>1772</v>
      </c>
      <c r="B17" s="62">
        <v>704126</v>
      </c>
      <c r="D17" s="78"/>
      <c r="E17" s="79"/>
      <c r="F17" s="80"/>
    </row>
    <row r="18" spans="1:6" x14ac:dyDescent="0.2">
      <c r="A18" s="60" t="s">
        <v>1923</v>
      </c>
      <c r="B18" s="62">
        <v>1297657</v>
      </c>
      <c r="D18" s="78"/>
      <c r="E18" s="79"/>
      <c r="F18" s="80"/>
    </row>
    <row r="19" spans="1:6" x14ac:dyDescent="0.2">
      <c r="A19" s="60" t="s">
        <v>1665</v>
      </c>
      <c r="B19" s="62">
        <v>1799019</v>
      </c>
      <c r="D19" s="78"/>
      <c r="E19" s="79"/>
      <c r="F19" s="80"/>
    </row>
    <row r="20" spans="1:6" x14ac:dyDescent="0.2">
      <c r="A20" s="60" t="s">
        <v>2990</v>
      </c>
      <c r="B20" s="62">
        <v>4726073</v>
      </c>
      <c r="D20" s="78"/>
      <c r="E20" s="79"/>
      <c r="F20" s="80"/>
    </row>
    <row r="21" spans="1:6" x14ac:dyDescent="0.2">
      <c r="D21" s="78"/>
      <c r="E21" s="79"/>
      <c r="F21" s="80"/>
    </row>
    <row r="22" spans="1:6" x14ac:dyDescent="0.2">
      <c r="A22" s="59" t="s">
        <v>2989</v>
      </c>
      <c r="B22" t="s">
        <v>2991</v>
      </c>
      <c r="D22" s="78"/>
      <c r="E22" s="79"/>
      <c r="F22" s="80"/>
    </row>
    <row r="23" spans="1:6" x14ac:dyDescent="0.2">
      <c r="A23" s="60" t="s">
        <v>1890</v>
      </c>
      <c r="B23" s="62">
        <v>454764</v>
      </c>
      <c r="D23" s="78"/>
      <c r="E23" s="79"/>
      <c r="F23" s="80"/>
    </row>
    <row r="24" spans="1:6" x14ac:dyDescent="0.2">
      <c r="A24" s="60" t="s">
        <v>1809</v>
      </c>
      <c r="B24" s="62">
        <v>436283</v>
      </c>
      <c r="D24" s="78"/>
      <c r="E24" s="79"/>
      <c r="F24" s="80"/>
    </row>
    <row r="25" spans="1:6" x14ac:dyDescent="0.2">
      <c r="A25" s="60" t="s">
        <v>1841</v>
      </c>
      <c r="B25" s="62">
        <v>421745</v>
      </c>
      <c r="D25" s="78"/>
      <c r="E25" s="79"/>
      <c r="F25" s="80"/>
    </row>
    <row r="26" spans="1:6" x14ac:dyDescent="0.2">
      <c r="A26" s="60" t="s">
        <v>1741</v>
      </c>
      <c r="B26" s="62">
        <v>396753</v>
      </c>
      <c r="D26" s="78"/>
      <c r="E26" s="79"/>
      <c r="F26" s="80"/>
    </row>
    <row r="27" spans="1:6" x14ac:dyDescent="0.2">
      <c r="A27" s="60" t="s">
        <v>1974</v>
      </c>
      <c r="B27" s="62">
        <v>288082</v>
      </c>
      <c r="D27" s="78"/>
      <c r="E27" s="79"/>
      <c r="F27" s="80"/>
    </row>
    <row r="28" spans="1:6" x14ac:dyDescent="0.2">
      <c r="A28" s="60" t="s">
        <v>2990</v>
      </c>
      <c r="B28" s="62">
        <v>1997627</v>
      </c>
      <c r="D28" s="78"/>
      <c r="E28" s="79"/>
      <c r="F28" s="80"/>
    </row>
    <row r="29" spans="1:6" x14ac:dyDescent="0.2">
      <c r="D29" s="78"/>
      <c r="E29" s="79"/>
      <c r="F29" s="80"/>
    </row>
    <row r="30" spans="1:6" x14ac:dyDescent="0.2">
      <c r="A30" s="59" t="s">
        <v>2989</v>
      </c>
      <c r="B30" t="s">
        <v>2995</v>
      </c>
      <c r="D30" s="78"/>
      <c r="E30" s="79"/>
      <c r="F30" s="80"/>
    </row>
    <row r="31" spans="1:6" x14ac:dyDescent="0.2">
      <c r="A31" s="60" t="s">
        <v>1923</v>
      </c>
      <c r="B31" s="62">
        <v>594808</v>
      </c>
      <c r="D31" s="81"/>
      <c r="E31" s="82"/>
      <c r="F31" s="83"/>
    </row>
    <row r="32" spans="1:6" x14ac:dyDescent="0.2">
      <c r="A32" s="60" t="s">
        <v>1665</v>
      </c>
      <c r="B32" s="62">
        <v>900484</v>
      </c>
    </row>
    <row r="33" spans="1:2" x14ac:dyDescent="0.2">
      <c r="A33" s="60" t="s">
        <v>1890</v>
      </c>
      <c r="B33" s="62">
        <v>204387</v>
      </c>
    </row>
    <row r="34" spans="1:2" x14ac:dyDescent="0.2">
      <c r="A34" s="60" t="s">
        <v>1772</v>
      </c>
      <c r="B34" s="62">
        <v>307969</v>
      </c>
    </row>
    <row r="35" spans="1:2" x14ac:dyDescent="0.2">
      <c r="A35" s="60" t="s">
        <v>1741</v>
      </c>
      <c r="B35" s="62">
        <v>193492</v>
      </c>
    </row>
    <row r="36" spans="1:2" x14ac:dyDescent="0.2">
      <c r="A36" s="60" t="s">
        <v>2990</v>
      </c>
      <c r="B36" s="62">
        <v>2201140</v>
      </c>
    </row>
    <row r="38" spans="1:2" x14ac:dyDescent="0.2">
      <c r="A38" s="59" t="s">
        <v>2989</v>
      </c>
      <c r="B38" t="s">
        <v>2993</v>
      </c>
    </row>
    <row r="39" spans="1:2" x14ac:dyDescent="0.2">
      <c r="A39" s="60" t="s">
        <v>1890</v>
      </c>
      <c r="B39" s="62">
        <v>220378</v>
      </c>
    </row>
    <row r="40" spans="1:2" x14ac:dyDescent="0.2">
      <c r="A40" s="60" t="s">
        <v>1868</v>
      </c>
      <c r="B40" s="62">
        <v>234647</v>
      </c>
    </row>
    <row r="41" spans="1:2" x14ac:dyDescent="0.2">
      <c r="A41" s="60" t="s">
        <v>1772</v>
      </c>
      <c r="B41" s="62">
        <v>341663</v>
      </c>
    </row>
    <row r="42" spans="1:2" x14ac:dyDescent="0.2">
      <c r="A42" s="60" t="s">
        <v>1923</v>
      </c>
      <c r="B42" s="62">
        <v>628811</v>
      </c>
    </row>
    <row r="43" spans="1:2" x14ac:dyDescent="0.2">
      <c r="A43" s="60" t="s">
        <v>1665</v>
      </c>
      <c r="B43" s="62">
        <v>865486</v>
      </c>
    </row>
    <row r="44" spans="1:2" x14ac:dyDescent="0.2">
      <c r="A44" s="60" t="s">
        <v>2990</v>
      </c>
      <c r="B44" s="62">
        <v>2290985</v>
      </c>
    </row>
    <row r="46" spans="1:2" x14ac:dyDescent="0.2">
      <c r="A46" s="59" t="s">
        <v>2989</v>
      </c>
      <c r="B46" t="s">
        <v>2994</v>
      </c>
    </row>
    <row r="47" spans="1:2" x14ac:dyDescent="0.2">
      <c r="A47" s="60" t="s">
        <v>1890</v>
      </c>
      <c r="B47" s="62">
        <v>234386</v>
      </c>
    </row>
    <row r="48" spans="1:2" x14ac:dyDescent="0.2">
      <c r="A48" s="60" t="s">
        <v>1868</v>
      </c>
      <c r="B48" s="62">
        <v>235860</v>
      </c>
    </row>
    <row r="49" spans="1:2" x14ac:dyDescent="0.2">
      <c r="A49" s="60" t="s">
        <v>1772</v>
      </c>
      <c r="B49" s="62">
        <v>362463</v>
      </c>
    </row>
    <row r="50" spans="1:2" x14ac:dyDescent="0.2">
      <c r="A50" s="60" t="s">
        <v>1923</v>
      </c>
      <c r="B50" s="62">
        <v>668846</v>
      </c>
    </row>
    <row r="51" spans="1:2" x14ac:dyDescent="0.2">
      <c r="A51" s="60" t="s">
        <v>1665</v>
      </c>
      <c r="B51" s="62">
        <v>933533</v>
      </c>
    </row>
    <row r="52" spans="1:2" x14ac:dyDescent="0.2">
      <c r="A52" s="60" t="s">
        <v>2990</v>
      </c>
      <c r="B52" s="62">
        <v>2435088</v>
      </c>
    </row>
    <row r="55" spans="1:2" x14ac:dyDescent="0.2">
      <c r="A55" s="59" t="s">
        <v>3008</v>
      </c>
    </row>
    <row r="56" spans="1:2" x14ac:dyDescent="0.2">
      <c r="A56" s="60" t="s">
        <v>2991</v>
      </c>
      <c r="B56" s="62">
        <v>6268936</v>
      </c>
    </row>
    <row r="57" spans="1:2" x14ac:dyDescent="0.2">
      <c r="A57" s="60" t="s">
        <v>2993</v>
      </c>
      <c r="B57" s="62">
        <v>3040738</v>
      </c>
    </row>
    <row r="58" spans="1:2" x14ac:dyDescent="0.2">
      <c r="A58" s="60" t="s">
        <v>2994</v>
      </c>
      <c r="B58" s="62">
        <v>3228198</v>
      </c>
    </row>
    <row r="59" spans="1:2" x14ac:dyDescent="0.2">
      <c r="A59" s="60" t="s">
        <v>2995</v>
      </c>
      <c r="B59" s="62">
        <v>2870609</v>
      </c>
    </row>
  </sheetData>
  <pageMargins left="0.7" right="0.7" top="0.75" bottom="0.75" header="0.3" footer="0.3"/>
  <pageSetup paperSize="9" orientation="portrait" horizontalDpi="1200" verticalDpi="1200"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FC69-A15F-42A7-9142-7438BD034B8E}">
  <dimension ref="A1:M33"/>
  <sheetViews>
    <sheetView tabSelected="1" zoomScale="50" zoomScaleNormal="50" workbookViewId="0">
      <selection activeCell="AG36" sqref="AG36"/>
    </sheetView>
  </sheetViews>
  <sheetFormatPr defaultRowHeight="14.25" x14ac:dyDescent="0.2"/>
  <cols>
    <col min="1" max="3" width="9" style="69"/>
    <col min="4" max="16384" width="9" style="68"/>
  </cols>
  <sheetData>
    <row r="1" spans="1:13" s="70" customFormat="1" x14ac:dyDescent="0.2">
      <c r="A1" s="69"/>
      <c r="B1" s="69"/>
      <c r="C1" s="69"/>
    </row>
    <row r="2" spans="1:13" s="70" customFormat="1" x14ac:dyDescent="0.2">
      <c r="A2" s="69"/>
      <c r="B2" s="69"/>
      <c r="C2" s="69"/>
    </row>
    <row r="3" spans="1:13" s="70" customFormat="1" ht="40.5" x14ac:dyDescent="0.85">
      <c r="A3" s="69"/>
      <c r="B3" s="69"/>
      <c r="C3" s="69"/>
      <c r="M3" s="71" t="s">
        <v>3007</v>
      </c>
    </row>
    <row r="4" spans="1:13" s="70" customFormat="1" x14ac:dyDescent="0.2">
      <c r="A4" s="69"/>
      <c r="B4" s="69"/>
      <c r="C4" s="69"/>
    </row>
    <row r="5" spans="1:13" s="70" customFormat="1" x14ac:dyDescent="0.2">
      <c r="A5" s="69"/>
      <c r="B5" s="69"/>
      <c r="C5" s="69"/>
    </row>
    <row r="33" spans="7:7" ht="29.25" x14ac:dyDescent="0.2">
      <c r="G33" s="74" t="s">
        <v>3010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9BB6-7C58-4DE0-9405-789BAD5D10FD}">
  <dimension ref="A1:H78"/>
  <sheetViews>
    <sheetView zoomScale="75" zoomScaleNormal="75" workbookViewId="0">
      <selection activeCell="G2" sqref="G2"/>
    </sheetView>
  </sheetViews>
  <sheetFormatPr defaultRowHeight="14.25" x14ac:dyDescent="0.2"/>
  <cols>
    <col min="1" max="1" width="25.875" customWidth="1"/>
    <col min="2" max="2" width="19.5" bestFit="1" customWidth="1"/>
    <col min="3" max="3" width="19" customWidth="1"/>
    <col min="4" max="4" width="18.25" customWidth="1"/>
    <col min="5" max="5" width="17.125" customWidth="1"/>
    <col min="6" max="6" width="23.25" customWidth="1"/>
    <col min="7" max="7" width="11.375" customWidth="1"/>
    <col min="8" max="8" width="11.625" customWidth="1"/>
  </cols>
  <sheetData>
    <row r="1" spans="1:8" x14ac:dyDescent="0.2">
      <c r="A1" s="57" t="s">
        <v>3001</v>
      </c>
      <c r="B1" s="57" t="s">
        <v>330</v>
      </c>
      <c r="C1" s="57" t="s">
        <v>335</v>
      </c>
      <c r="D1" s="57" t="s">
        <v>333</v>
      </c>
      <c r="E1" s="57" t="s">
        <v>334</v>
      </c>
      <c r="F1" s="57" t="s">
        <v>336</v>
      </c>
      <c r="G1" s="72" t="s">
        <v>2884</v>
      </c>
      <c r="H1" s="72" t="s">
        <v>3009</v>
      </c>
    </row>
    <row r="2" spans="1:8" x14ac:dyDescent="0.2">
      <c r="A2" t="s">
        <v>3005</v>
      </c>
      <c r="B2" s="60" t="s">
        <v>338</v>
      </c>
      <c r="C2" s="62">
        <v>5455020</v>
      </c>
      <c r="D2" s="62">
        <v>2544400</v>
      </c>
      <c r="E2" s="62">
        <v>2910620</v>
      </c>
      <c r="F2" s="62">
        <v>3304462</v>
      </c>
      <c r="G2" s="73">
        <f>D2/C2*100</f>
        <v>46.643275368376287</v>
      </c>
      <c r="H2" s="73">
        <f>E2/C2*100</f>
        <v>53.35672463162372</v>
      </c>
    </row>
    <row r="3" spans="1:8" x14ac:dyDescent="0.2">
      <c r="A3" t="s">
        <v>3005</v>
      </c>
      <c r="B3" s="60" t="s">
        <v>2346</v>
      </c>
      <c r="C3" s="62">
        <v>925758</v>
      </c>
      <c r="D3" s="62">
        <v>443395</v>
      </c>
      <c r="E3" s="62">
        <v>482363</v>
      </c>
      <c r="F3" s="62">
        <v>442482</v>
      </c>
      <c r="G3" s="73">
        <f t="shared" ref="G3:G66" si="0">D3/C3*100</f>
        <v>47.895346300004974</v>
      </c>
      <c r="H3" s="73">
        <f t="shared" ref="H3:H66" si="1">E3/C3*100</f>
        <v>52.104653699995026</v>
      </c>
    </row>
    <row r="4" spans="1:8" x14ac:dyDescent="0.2">
      <c r="A4" t="s">
        <v>3005</v>
      </c>
      <c r="B4" s="60" t="s">
        <v>413</v>
      </c>
      <c r="C4" s="62">
        <v>1317919</v>
      </c>
      <c r="D4" s="62">
        <v>609722</v>
      </c>
      <c r="E4" s="62">
        <v>708197</v>
      </c>
      <c r="F4" s="62">
        <v>768221</v>
      </c>
      <c r="G4" s="73">
        <f t="shared" si="0"/>
        <v>46.263996497508572</v>
      </c>
      <c r="H4" s="73">
        <f t="shared" si="1"/>
        <v>53.736003502491428</v>
      </c>
    </row>
    <row r="5" spans="1:8" x14ac:dyDescent="0.2">
      <c r="A5" t="s">
        <v>3005</v>
      </c>
      <c r="B5" s="60" t="s">
        <v>435</v>
      </c>
      <c r="C5" s="62">
        <v>1236471</v>
      </c>
      <c r="D5" s="62">
        <v>584170</v>
      </c>
      <c r="E5" s="62">
        <v>652301</v>
      </c>
      <c r="F5" s="62">
        <v>716096</v>
      </c>
      <c r="G5" s="73">
        <f t="shared" si="0"/>
        <v>47.244941450304943</v>
      </c>
      <c r="H5" s="73">
        <f t="shared" si="1"/>
        <v>52.755058549695057</v>
      </c>
    </row>
    <row r="6" spans="1:8" x14ac:dyDescent="0.2">
      <c r="A6" t="s">
        <v>3005</v>
      </c>
      <c r="B6" s="60" t="s">
        <v>389</v>
      </c>
      <c r="C6" s="62">
        <v>1380826</v>
      </c>
      <c r="D6" s="62">
        <v>654057</v>
      </c>
      <c r="E6" s="62">
        <v>726769</v>
      </c>
      <c r="F6" s="62">
        <v>783230</v>
      </c>
      <c r="G6" s="73">
        <f t="shared" si="0"/>
        <v>47.367083180646944</v>
      </c>
      <c r="H6" s="73">
        <f t="shared" si="1"/>
        <v>52.632916819353056</v>
      </c>
    </row>
    <row r="7" spans="1:8" x14ac:dyDescent="0.2">
      <c r="A7" t="s">
        <v>3005</v>
      </c>
      <c r="B7" s="60" t="s">
        <v>2372</v>
      </c>
      <c r="C7" s="62">
        <v>590867</v>
      </c>
      <c r="D7" s="62">
        <v>283460</v>
      </c>
      <c r="E7" s="62">
        <v>307407</v>
      </c>
      <c r="F7" s="62">
        <v>323332</v>
      </c>
      <c r="G7" s="73">
        <f t="shared" si="0"/>
        <v>47.973571040521811</v>
      </c>
      <c r="H7" s="73">
        <f t="shared" si="1"/>
        <v>52.026428959478189</v>
      </c>
    </row>
    <row r="8" spans="1:8" x14ac:dyDescent="0.2">
      <c r="A8" t="s">
        <v>2999</v>
      </c>
      <c r="B8" s="60" t="s">
        <v>2040</v>
      </c>
      <c r="C8" s="62">
        <v>700862</v>
      </c>
      <c r="D8" s="62">
        <v>345166</v>
      </c>
      <c r="E8" s="62">
        <v>355696</v>
      </c>
      <c r="F8" s="62">
        <v>291549</v>
      </c>
      <c r="G8" s="73">
        <f t="shared" si="0"/>
        <v>49.248782213902309</v>
      </c>
      <c r="H8" s="73">
        <f t="shared" si="1"/>
        <v>50.751217786097691</v>
      </c>
    </row>
    <row r="9" spans="1:8" x14ac:dyDescent="0.2">
      <c r="A9" t="s">
        <v>2999</v>
      </c>
      <c r="B9" s="60" t="s">
        <v>576</v>
      </c>
      <c r="C9" s="62">
        <v>313759</v>
      </c>
      <c r="D9" s="62">
        <v>150495</v>
      </c>
      <c r="E9" s="62">
        <v>163264</v>
      </c>
      <c r="F9" s="62">
        <v>132908</v>
      </c>
      <c r="G9" s="73">
        <f t="shared" si="0"/>
        <v>47.96515797156416</v>
      </c>
      <c r="H9" s="73">
        <f t="shared" si="1"/>
        <v>52.034842028435833</v>
      </c>
    </row>
    <row r="10" spans="1:8" x14ac:dyDescent="0.2">
      <c r="A10" t="s">
        <v>2999</v>
      </c>
      <c r="B10" s="60" t="s">
        <v>837</v>
      </c>
      <c r="C10" s="62">
        <v>259770</v>
      </c>
      <c r="D10" s="62">
        <v>128349</v>
      </c>
      <c r="E10" s="62">
        <v>131421</v>
      </c>
      <c r="F10" s="62">
        <v>111246</v>
      </c>
      <c r="G10" s="73">
        <f t="shared" si="0"/>
        <v>49.408707702968009</v>
      </c>
      <c r="H10" s="73">
        <f t="shared" si="1"/>
        <v>50.591292297031984</v>
      </c>
    </row>
    <row r="11" spans="1:8" x14ac:dyDescent="0.2">
      <c r="A11" t="s">
        <v>2999</v>
      </c>
      <c r="B11" s="60" t="s">
        <v>1987</v>
      </c>
      <c r="C11" s="62">
        <v>1014401</v>
      </c>
      <c r="D11" s="62">
        <v>493281</v>
      </c>
      <c r="E11" s="62">
        <v>521120</v>
      </c>
      <c r="F11" s="62">
        <v>437370</v>
      </c>
      <c r="G11" s="73">
        <f t="shared" si="0"/>
        <v>48.627810895296832</v>
      </c>
      <c r="H11" s="73">
        <f t="shared" si="1"/>
        <v>51.372189104703168</v>
      </c>
    </row>
    <row r="12" spans="1:8" x14ac:dyDescent="0.2">
      <c r="A12" t="s">
        <v>2999</v>
      </c>
      <c r="B12" s="60" t="s">
        <v>462</v>
      </c>
      <c r="C12" s="62">
        <v>822720</v>
      </c>
      <c r="D12" s="62">
        <v>394331</v>
      </c>
      <c r="E12" s="62">
        <v>428389</v>
      </c>
      <c r="F12" s="62">
        <v>362285</v>
      </c>
      <c r="G12" s="73">
        <f t="shared" si="0"/>
        <v>47.930158498638662</v>
      </c>
      <c r="H12" s="73">
        <f t="shared" si="1"/>
        <v>52.069841501361338</v>
      </c>
    </row>
    <row r="13" spans="1:8" x14ac:dyDescent="0.2">
      <c r="A13" t="s">
        <v>2999</v>
      </c>
      <c r="B13" s="60" t="s">
        <v>2150</v>
      </c>
      <c r="C13" s="62">
        <v>517308</v>
      </c>
      <c r="D13" s="62">
        <v>251787</v>
      </c>
      <c r="E13" s="62">
        <v>265521</v>
      </c>
      <c r="F13" s="62">
        <v>206966</v>
      </c>
      <c r="G13" s="73">
        <f t="shared" si="0"/>
        <v>48.672550975434362</v>
      </c>
      <c r="H13" s="73">
        <f t="shared" si="1"/>
        <v>51.327449024565638</v>
      </c>
    </row>
    <row r="14" spans="1:8" x14ac:dyDescent="0.2">
      <c r="A14" t="s">
        <v>2999</v>
      </c>
      <c r="B14" s="60" t="s">
        <v>2121</v>
      </c>
      <c r="C14" s="62">
        <v>839116</v>
      </c>
      <c r="D14" s="62">
        <v>409596</v>
      </c>
      <c r="E14" s="62">
        <v>429520</v>
      </c>
      <c r="F14" s="62">
        <v>372740</v>
      </c>
      <c r="G14" s="73">
        <f t="shared" si="0"/>
        <v>48.81279823051878</v>
      </c>
      <c r="H14" s="73">
        <f t="shared" si="1"/>
        <v>51.18720176948122</v>
      </c>
    </row>
    <row r="15" spans="1:8" x14ac:dyDescent="0.2">
      <c r="A15" t="s">
        <v>2999</v>
      </c>
      <c r="B15" s="60" t="s">
        <v>2185</v>
      </c>
      <c r="C15" s="62">
        <v>960718</v>
      </c>
      <c r="D15" s="62">
        <v>472067</v>
      </c>
      <c r="E15" s="62">
        <v>488651</v>
      </c>
      <c r="F15" s="62">
        <v>382224</v>
      </c>
      <c r="G15" s="73">
        <f t="shared" si="0"/>
        <v>49.13689553021802</v>
      </c>
      <c r="H15" s="73">
        <f t="shared" si="1"/>
        <v>50.863104469781973</v>
      </c>
    </row>
    <row r="16" spans="1:8" x14ac:dyDescent="0.2">
      <c r="A16" t="s">
        <v>2999</v>
      </c>
      <c r="B16" s="60" t="s">
        <v>532</v>
      </c>
      <c r="C16" s="62">
        <v>725266</v>
      </c>
      <c r="D16" s="62">
        <v>360040</v>
      </c>
      <c r="E16" s="62">
        <v>365226</v>
      </c>
      <c r="F16" s="62">
        <v>306787</v>
      </c>
      <c r="G16" s="73">
        <f t="shared" si="0"/>
        <v>49.642476001908264</v>
      </c>
      <c r="H16" s="73">
        <f t="shared" si="1"/>
        <v>50.357523998091736</v>
      </c>
    </row>
    <row r="17" spans="1:8" x14ac:dyDescent="0.2">
      <c r="A17" t="s">
        <v>2999</v>
      </c>
      <c r="B17" s="60" t="s">
        <v>2384</v>
      </c>
      <c r="C17" s="62">
        <v>186784</v>
      </c>
      <c r="D17" s="62">
        <v>89040</v>
      </c>
      <c r="E17" s="62">
        <v>97744</v>
      </c>
      <c r="F17" s="62">
        <v>77393</v>
      </c>
      <c r="G17" s="73">
        <f t="shared" si="0"/>
        <v>47.670035977385645</v>
      </c>
      <c r="H17" s="73">
        <f t="shared" si="1"/>
        <v>52.329964022614362</v>
      </c>
    </row>
    <row r="18" spans="1:8" x14ac:dyDescent="0.2">
      <c r="A18" t="s">
        <v>2999</v>
      </c>
      <c r="B18" s="60" t="s">
        <v>602</v>
      </c>
      <c r="C18" s="62">
        <v>639165</v>
      </c>
      <c r="D18" s="62">
        <v>313262</v>
      </c>
      <c r="E18" s="62">
        <v>325903</v>
      </c>
      <c r="F18" s="62">
        <v>305526</v>
      </c>
      <c r="G18" s="73">
        <f t="shared" si="0"/>
        <v>49.011131710904074</v>
      </c>
      <c r="H18" s="73">
        <f t="shared" si="1"/>
        <v>50.988868289095933</v>
      </c>
    </row>
    <row r="19" spans="1:8" x14ac:dyDescent="0.2">
      <c r="A19" t="s">
        <v>2999</v>
      </c>
      <c r="B19" s="60" t="s">
        <v>562</v>
      </c>
      <c r="C19" s="62">
        <v>199803</v>
      </c>
      <c r="D19" s="62">
        <v>94895</v>
      </c>
      <c r="E19" s="62">
        <v>104908</v>
      </c>
      <c r="F19" s="62">
        <v>81992</v>
      </c>
      <c r="G19" s="73">
        <f t="shared" si="0"/>
        <v>47.494281867639629</v>
      </c>
      <c r="H19" s="73">
        <f t="shared" si="1"/>
        <v>52.505718132360379</v>
      </c>
    </row>
    <row r="20" spans="1:8" x14ac:dyDescent="0.2">
      <c r="A20" t="s">
        <v>2999</v>
      </c>
      <c r="B20" s="60" t="s">
        <v>2098</v>
      </c>
      <c r="C20" s="62">
        <v>573388</v>
      </c>
      <c r="D20" s="62">
        <v>277179</v>
      </c>
      <c r="E20" s="62">
        <v>296209</v>
      </c>
      <c r="F20" s="62">
        <v>229235</v>
      </c>
      <c r="G20" s="73">
        <f t="shared" si="0"/>
        <v>48.340565201922608</v>
      </c>
      <c r="H20" s="73">
        <f t="shared" si="1"/>
        <v>51.659434798077399</v>
      </c>
    </row>
    <row r="21" spans="1:8" x14ac:dyDescent="0.2">
      <c r="A21" t="s">
        <v>2999</v>
      </c>
      <c r="B21" s="60" t="s">
        <v>2302</v>
      </c>
      <c r="C21" s="62">
        <v>822211</v>
      </c>
      <c r="D21" s="62">
        <v>395769</v>
      </c>
      <c r="E21" s="62">
        <v>426442</v>
      </c>
      <c r="F21" s="62">
        <v>324002</v>
      </c>
      <c r="G21" s="73">
        <f t="shared" si="0"/>
        <v>48.134724541510629</v>
      </c>
      <c r="H21" s="73">
        <f t="shared" si="1"/>
        <v>51.865275458489371</v>
      </c>
    </row>
    <row r="22" spans="1:8" x14ac:dyDescent="0.2">
      <c r="A22" t="s">
        <v>2999</v>
      </c>
      <c r="B22" s="60" t="s">
        <v>514</v>
      </c>
      <c r="C22" s="62">
        <v>268875</v>
      </c>
      <c r="D22" s="62">
        <v>128445</v>
      </c>
      <c r="E22" s="62">
        <v>140430</v>
      </c>
      <c r="F22" s="62">
        <v>105354</v>
      </c>
      <c r="G22" s="73">
        <f t="shared" si="0"/>
        <v>47.771269177126918</v>
      </c>
      <c r="H22" s="73">
        <f t="shared" si="1"/>
        <v>52.228730822873082</v>
      </c>
    </row>
    <row r="23" spans="1:8" x14ac:dyDescent="0.2">
      <c r="A23" t="s">
        <v>2999</v>
      </c>
      <c r="B23" s="60" t="s">
        <v>2020</v>
      </c>
      <c r="C23" s="62">
        <v>320445</v>
      </c>
      <c r="D23" s="62">
        <v>156311</v>
      </c>
      <c r="E23" s="62">
        <v>164134</v>
      </c>
      <c r="F23" s="62">
        <v>132050</v>
      </c>
      <c r="G23" s="73">
        <f t="shared" si="0"/>
        <v>48.7793537112453</v>
      </c>
      <c r="H23" s="73">
        <f t="shared" si="1"/>
        <v>51.2206462887547</v>
      </c>
    </row>
    <row r="24" spans="1:8" x14ac:dyDescent="0.2">
      <c r="A24" t="s">
        <v>2998</v>
      </c>
      <c r="B24" s="60" t="s">
        <v>2257</v>
      </c>
      <c r="C24" s="62">
        <v>896351</v>
      </c>
      <c r="D24" s="62">
        <v>447653</v>
      </c>
      <c r="E24" s="62">
        <v>448698</v>
      </c>
      <c r="F24" s="62">
        <v>370344</v>
      </c>
      <c r="G24" s="73">
        <f t="shared" si="0"/>
        <v>49.941708103187253</v>
      </c>
      <c r="H24" s="73">
        <f t="shared" si="1"/>
        <v>50.058291896812747</v>
      </c>
    </row>
    <row r="25" spans="1:8" x14ac:dyDescent="0.2">
      <c r="A25" t="s">
        <v>2998</v>
      </c>
      <c r="B25" s="60" t="s">
        <v>2074</v>
      </c>
      <c r="C25" s="62">
        <v>698597</v>
      </c>
      <c r="D25" s="62">
        <v>352933</v>
      </c>
      <c r="E25" s="62">
        <v>345664</v>
      </c>
      <c r="F25" s="62">
        <v>241517</v>
      </c>
      <c r="G25" s="73">
        <f t="shared" si="0"/>
        <v>50.520257029446157</v>
      </c>
      <c r="H25" s="73">
        <f t="shared" si="1"/>
        <v>49.479742970553836</v>
      </c>
    </row>
    <row r="26" spans="1:8" x14ac:dyDescent="0.2">
      <c r="A26" t="s">
        <v>2998</v>
      </c>
      <c r="B26" s="60" t="s">
        <v>2413</v>
      </c>
      <c r="C26" s="62">
        <v>551769</v>
      </c>
      <c r="D26" s="62">
        <v>270215</v>
      </c>
      <c r="E26" s="62">
        <v>281554</v>
      </c>
      <c r="F26" s="62">
        <v>293330</v>
      </c>
      <c r="G26" s="73">
        <f t="shared" si="0"/>
        <v>48.97248667467727</v>
      </c>
      <c r="H26" s="73">
        <f t="shared" si="1"/>
        <v>51.027513325322737</v>
      </c>
    </row>
    <row r="27" spans="1:8" x14ac:dyDescent="0.2">
      <c r="A27" t="s">
        <v>2998</v>
      </c>
      <c r="B27" s="60" t="s">
        <v>2393</v>
      </c>
      <c r="C27" s="62">
        <v>484145</v>
      </c>
      <c r="D27" s="62">
        <v>232930</v>
      </c>
      <c r="E27" s="62">
        <v>251215</v>
      </c>
      <c r="F27" s="62">
        <v>237512</v>
      </c>
      <c r="G27" s="73">
        <f t="shared" si="0"/>
        <v>48.111619452849865</v>
      </c>
      <c r="H27" s="73">
        <f t="shared" si="1"/>
        <v>51.888380547150128</v>
      </c>
    </row>
    <row r="28" spans="1:8" x14ac:dyDescent="0.2">
      <c r="A28" t="s">
        <v>2998</v>
      </c>
      <c r="B28" s="60" t="s">
        <v>2217</v>
      </c>
      <c r="C28" s="62">
        <v>864037</v>
      </c>
      <c r="D28" s="62">
        <v>418947</v>
      </c>
      <c r="E28" s="62">
        <v>445090</v>
      </c>
      <c r="F28" s="62">
        <v>350718</v>
      </c>
      <c r="G28" s="73">
        <f t="shared" si="0"/>
        <v>48.487159693392762</v>
      </c>
      <c r="H28" s="73">
        <f t="shared" si="1"/>
        <v>51.512840306607245</v>
      </c>
    </row>
    <row r="29" spans="1:8" x14ac:dyDescent="0.2">
      <c r="A29" t="s">
        <v>2998</v>
      </c>
      <c r="B29" s="60" t="s">
        <v>691</v>
      </c>
      <c r="C29" s="62">
        <v>782171</v>
      </c>
      <c r="D29" s="62">
        <v>382979</v>
      </c>
      <c r="E29" s="62">
        <v>399192</v>
      </c>
      <c r="F29" s="62">
        <v>578414</v>
      </c>
      <c r="G29" s="73">
        <f t="shared" si="0"/>
        <v>48.963589803252745</v>
      </c>
      <c r="H29" s="73">
        <f t="shared" si="1"/>
        <v>51.036410196747262</v>
      </c>
    </row>
    <row r="30" spans="1:8" x14ac:dyDescent="0.2">
      <c r="A30" t="s">
        <v>2997</v>
      </c>
      <c r="B30" s="60" t="s">
        <v>723</v>
      </c>
      <c r="C30" s="62">
        <v>536388</v>
      </c>
      <c r="D30" s="62">
        <v>261555</v>
      </c>
      <c r="E30" s="62">
        <v>274833</v>
      </c>
      <c r="F30" s="62">
        <v>261649</v>
      </c>
      <c r="G30" s="73">
        <f t="shared" si="0"/>
        <v>48.762276560996895</v>
      </c>
      <c r="H30" s="73">
        <f t="shared" si="1"/>
        <v>51.237723439003112</v>
      </c>
    </row>
    <row r="31" spans="1:8" x14ac:dyDescent="0.2">
      <c r="A31" t="s">
        <v>2997</v>
      </c>
      <c r="B31" s="60" t="s">
        <v>780</v>
      </c>
      <c r="C31" s="62">
        <v>733131</v>
      </c>
      <c r="D31" s="62">
        <v>358556</v>
      </c>
      <c r="E31" s="62">
        <v>374575</v>
      </c>
      <c r="F31" s="62">
        <v>345381</v>
      </c>
      <c r="G31" s="73">
        <f t="shared" si="0"/>
        <v>48.907494022214308</v>
      </c>
      <c r="H31" s="73">
        <f t="shared" si="1"/>
        <v>51.092505977785684</v>
      </c>
    </row>
    <row r="32" spans="1:8" x14ac:dyDescent="0.2">
      <c r="A32" t="s">
        <v>2997</v>
      </c>
      <c r="B32" s="60" t="s">
        <v>641</v>
      </c>
      <c r="C32" s="62">
        <v>1635525</v>
      </c>
      <c r="D32" s="62">
        <v>794783</v>
      </c>
      <c r="E32" s="62">
        <v>840742</v>
      </c>
      <c r="F32" s="62">
        <v>1172425</v>
      </c>
      <c r="G32" s="73">
        <f t="shared" si="0"/>
        <v>48.594977148010578</v>
      </c>
      <c r="H32" s="73">
        <f t="shared" si="1"/>
        <v>51.405022851989422</v>
      </c>
    </row>
    <row r="33" spans="1:8" x14ac:dyDescent="0.2">
      <c r="A33" t="s">
        <v>2997</v>
      </c>
      <c r="B33" s="60" t="s">
        <v>762</v>
      </c>
      <c r="C33" s="62">
        <v>226517</v>
      </c>
      <c r="D33" s="62">
        <v>111893</v>
      </c>
      <c r="E33" s="62">
        <v>114624</v>
      </c>
      <c r="F33" s="62">
        <v>114393</v>
      </c>
      <c r="G33" s="73">
        <f t="shared" si="0"/>
        <v>49.397175487932472</v>
      </c>
      <c r="H33" s="73">
        <f t="shared" si="1"/>
        <v>50.602824512067521</v>
      </c>
    </row>
    <row r="34" spans="1:8" x14ac:dyDescent="0.2">
      <c r="A34" t="s">
        <v>2997</v>
      </c>
      <c r="B34" s="60" t="s">
        <v>818</v>
      </c>
      <c r="C34" s="62">
        <v>500607</v>
      </c>
      <c r="D34" s="62">
        <v>246835</v>
      </c>
      <c r="E34" s="62">
        <v>253772</v>
      </c>
      <c r="F34" s="62">
        <v>242594</v>
      </c>
      <c r="G34" s="73">
        <f t="shared" si="0"/>
        <v>49.307141130667368</v>
      </c>
      <c r="H34" s="73">
        <f t="shared" si="1"/>
        <v>50.692858869332639</v>
      </c>
    </row>
    <row r="35" spans="1:8" x14ac:dyDescent="0.2">
      <c r="A35" t="s">
        <v>2997</v>
      </c>
      <c r="B35" s="60" t="s">
        <v>846</v>
      </c>
      <c r="C35" s="62">
        <v>562242</v>
      </c>
      <c r="D35" s="62">
        <v>280641</v>
      </c>
      <c r="E35" s="62">
        <v>281601</v>
      </c>
      <c r="F35" s="62">
        <v>233852</v>
      </c>
      <c r="G35" s="73">
        <f t="shared" si="0"/>
        <v>49.914627509150868</v>
      </c>
      <c r="H35" s="73">
        <f t="shared" si="1"/>
        <v>50.085372490849132</v>
      </c>
    </row>
    <row r="36" spans="1:8" x14ac:dyDescent="0.2">
      <c r="A36" t="s">
        <v>3006</v>
      </c>
      <c r="B36" s="60" t="s">
        <v>1535</v>
      </c>
      <c r="C36" s="62">
        <v>962444</v>
      </c>
      <c r="D36" s="62">
        <v>474533</v>
      </c>
      <c r="E36" s="62">
        <v>487911</v>
      </c>
      <c r="F36" s="62">
        <v>331891</v>
      </c>
      <c r="G36" s="73">
        <f t="shared" si="0"/>
        <v>49.304998524589486</v>
      </c>
      <c r="H36" s="73">
        <f t="shared" si="1"/>
        <v>50.695001475410514</v>
      </c>
    </row>
    <row r="37" spans="1:8" x14ac:dyDescent="0.2">
      <c r="A37" t="s">
        <v>3006</v>
      </c>
      <c r="B37" s="60" t="s">
        <v>1271</v>
      </c>
      <c r="C37" s="62">
        <v>1772381</v>
      </c>
      <c r="D37" s="62">
        <v>868299</v>
      </c>
      <c r="E37" s="62">
        <v>904082</v>
      </c>
      <c r="F37" s="62">
        <v>692088</v>
      </c>
      <c r="G37" s="73">
        <f t="shared" si="0"/>
        <v>48.990538715998419</v>
      </c>
      <c r="H37" s="73">
        <f t="shared" si="1"/>
        <v>51.009461284001581</v>
      </c>
    </row>
    <row r="38" spans="1:8" x14ac:dyDescent="0.2">
      <c r="A38" t="s">
        <v>3006</v>
      </c>
      <c r="B38" s="60" t="s">
        <v>1174</v>
      </c>
      <c r="C38" s="62">
        <v>1106404</v>
      </c>
      <c r="D38" s="62">
        <v>544954</v>
      </c>
      <c r="E38" s="62">
        <v>561450</v>
      </c>
      <c r="F38" s="62">
        <v>424219</v>
      </c>
      <c r="G38" s="73">
        <f t="shared" si="0"/>
        <v>49.254521856392422</v>
      </c>
      <c r="H38" s="73">
        <f t="shared" si="1"/>
        <v>50.745478143607578</v>
      </c>
    </row>
    <row r="39" spans="1:8" x14ac:dyDescent="0.2">
      <c r="A39" t="s">
        <v>3006</v>
      </c>
      <c r="B39" s="60" t="s">
        <v>1626</v>
      </c>
      <c r="C39" s="62">
        <v>710740</v>
      </c>
      <c r="D39" s="62">
        <v>353531</v>
      </c>
      <c r="E39" s="62">
        <v>357209</v>
      </c>
      <c r="F39" s="62">
        <v>246183</v>
      </c>
      <c r="G39" s="73">
        <f t="shared" si="0"/>
        <v>49.741255592762471</v>
      </c>
      <c r="H39" s="73">
        <f t="shared" si="1"/>
        <v>50.258744407237529</v>
      </c>
    </row>
    <row r="40" spans="1:8" x14ac:dyDescent="0.2">
      <c r="A40" t="s">
        <v>3006</v>
      </c>
      <c r="B40" s="60" t="s">
        <v>865</v>
      </c>
      <c r="C40" s="62">
        <v>2620172</v>
      </c>
      <c r="D40" s="62">
        <v>1282763</v>
      </c>
      <c r="E40" s="62">
        <v>1337409</v>
      </c>
      <c r="F40" s="62">
        <v>1079582</v>
      </c>
      <c r="G40" s="73">
        <f t="shared" si="0"/>
        <v>48.957205862821219</v>
      </c>
      <c r="H40" s="73">
        <f t="shared" si="1"/>
        <v>51.042794137178781</v>
      </c>
    </row>
    <row r="41" spans="1:8" x14ac:dyDescent="0.2">
      <c r="A41" t="s">
        <v>3006</v>
      </c>
      <c r="B41" s="60" t="s">
        <v>1231</v>
      </c>
      <c r="C41" s="62">
        <v>418733</v>
      </c>
      <c r="D41" s="62">
        <v>209459</v>
      </c>
      <c r="E41" s="62">
        <v>209274</v>
      </c>
      <c r="F41" s="62">
        <v>147459</v>
      </c>
      <c r="G41" s="73">
        <f t="shared" si="0"/>
        <v>50.022090449045095</v>
      </c>
      <c r="H41" s="73">
        <f t="shared" si="1"/>
        <v>49.977909550954905</v>
      </c>
    </row>
    <row r="42" spans="1:8" x14ac:dyDescent="0.2">
      <c r="A42" t="s">
        <v>3006</v>
      </c>
      <c r="B42" s="60" t="s">
        <v>960</v>
      </c>
      <c r="C42" s="62">
        <v>1566308</v>
      </c>
      <c r="D42" s="62">
        <v>775230</v>
      </c>
      <c r="E42" s="62">
        <v>791078</v>
      </c>
      <c r="F42" s="62">
        <v>504266</v>
      </c>
      <c r="G42" s="73">
        <f t="shared" si="0"/>
        <v>49.494096946449865</v>
      </c>
      <c r="H42" s="73">
        <f t="shared" si="1"/>
        <v>50.505903053550128</v>
      </c>
    </row>
    <row r="43" spans="1:8" x14ac:dyDescent="0.2">
      <c r="A43" t="s">
        <v>3006</v>
      </c>
      <c r="B43" s="60" t="s">
        <v>1456</v>
      </c>
      <c r="C43" s="62">
        <v>929952</v>
      </c>
      <c r="D43" s="62">
        <v>456246</v>
      </c>
      <c r="E43" s="62">
        <v>473706</v>
      </c>
      <c r="F43" s="62">
        <v>321366</v>
      </c>
      <c r="G43" s="73">
        <f t="shared" si="0"/>
        <v>49.061241870548159</v>
      </c>
      <c r="H43" s="73">
        <f t="shared" si="1"/>
        <v>50.938758129451841</v>
      </c>
    </row>
    <row r="44" spans="1:8" x14ac:dyDescent="0.2">
      <c r="A44" t="s">
        <v>3006</v>
      </c>
      <c r="B44" s="60" t="s">
        <v>1649</v>
      </c>
      <c r="C44" s="62">
        <v>350510</v>
      </c>
      <c r="D44" s="62">
        <v>174977</v>
      </c>
      <c r="E44" s="62">
        <v>175533</v>
      </c>
      <c r="F44" s="62">
        <v>126326</v>
      </c>
      <c r="G44" s="73">
        <f t="shared" si="0"/>
        <v>49.920686998944397</v>
      </c>
      <c r="H44" s="73">
        <f t="shared" si="1"/>
        <v>50.079313001055603</v>
      </c>
    </row>
    <row r="45" spans="1:8" x14ac:dyDescent="0.2">
      <c r="A45" t="s">
        <v>3006</v>
      </c>
      <c r="B45" s="60" t="s">
        <v>1155</v>
      </c>
      <c r="C45" s="62">
        <v>525325</v>
      </c>
      <c r="D45" s="62">
        <v>261204</v>
      </c>
      <c r="E45" s="62">
        <v>264121</v>
      </c>
      <c r="F45" s="62">
        <v>189342</v>
      </c>
      <c r="G45" s="73">
        <f t="shared" si="0"/>
        <v>49.722362347118448</v>
      </c>
      <c r="H45" s="73">
        <f t="shared" si="1"/>
        <v>50.277637652881545</v>
      </c>
    </row>
    <row r="46" spans="1:8" x14ac:dyDescent="0.2">
      <c r="A46" t="s">
        <v>3006</v>
      </c>
      <c r="B46" s="60" t="s">
        <v>1483</v>
      </c>
      <c r="C46" s="62">
        <v>1275519</v>
      </c>
      <c r="D46" s="62">
        <v>629825</v>
      </c>
      <c r="E46" s="62">
        <v>645694</v>
      </c>
      <c r="F46" s="62">
        <v>417865</v>
      </c>
      <c r="G46" s="73">
        <f t="shared" si="0"/>
        <v>49.377939489729279</v>
      </c>
      <c r="H46" s="73">
        <f t="shared" si="1"/>
        <v>50.622060510270714</v>
      </c>
    </row>
    <row r="47" spans="1:8" x14ac:dyDescent="0.2">
      <c r="A47" t="s">
        <v>3006</v>
      </c>
      <c r="B47" s="60" t="s">
        <v>1400</v>
      </c>
      <c r="C47" s="62">
        <v>632187</v>
      </c>
      <c r="D47" s="62">
        <v>315871</v>
      </c>
      <c r="E47" s="62">
        <v>316316</v>
      </c>
      <c r="F47" s="62">
        <v>240382</v>
      </c>
      <c r="G47" s="73">
        <f t="shared" si="0"/>
        <v>49.96480471759147</v>
      </c>
      <c r="H47" s="73">
        <f t="shared" si="1"/>
        <v>50.03519528240853</v>
      </c>
    </row>
    <row r="48" spans="1:8" x14ac:dyDescent="0.2">
      <c r="A48" t="s">
        <v>3006</v>
      </c>
      <c r="B48" s="60" t="s">
        <v>1051</v>
      </c>
      <c r="C48" s="62">
        <v>1442013</v>
      </c>
      <c r="D48" s="62">
        <v>717079</v>
      </c>
      <c r="E48" s="62">
        <v>724934</v>
      </c>
      <c r="F48" s="62">
        <v>420976</v>
      </c>
      <c r="G48" s="73">
        <f t="shared" si="0"/>
        <v>49.727637684264977</v>
      </c>
      <c r="H48" s="73">
        <f t="shared" si="1"/>
        <v>50.272362315735023</v>
      </c>
    </row>
    <row r="49" spans="1:8" x14ac:dyDescent="0.2">
      <c r="A49" t="s">
        <v>3006</v>
      </c>
      <c r="B49" s="60" t="s">
        <v>1586</v>
      </c>
      <c r="C49" s="62">
        <v>1137772</v>
      </c>
      <c r="D49" s="62">
        <v>564205</v>
      </c>
      <c r="E49" s="62">
        <v>573567</v>
      </c>
      <c r="F49" s="62">
        <v>411116</v>
      </c>
      <c r="G49" s="73">
        <f t="shared" si="0"/>
        <v>49.58858189514244</v>
      </c>
      <c r="H49" s="73">
        <f t="shared" si="1"/>
        <v>50.41141810485756</v>
      </c>
    </row>
    <row r="50" spans="1:8" x14ac:dyDescent="0.2">
      <c r="A50" t="s">
        <v>3006</v>
      </c>
      <c r="B50" s="60" t="s">
        <v>1019</v>
      </c>
      <c r="C50" s="62">
        <v>1360245</v>
      </c>
      <c r="D50" s="62">
        <v>675268</v>
      </c>
      <c r="E50" s="62">
        <v>684977</v>
      </c>
      <c r="F50" s="62">
        <v>426326</v>
      </c>
      <c r="G50" s="73">
        <f t="shared" si="0"/>
        <v>49.643115762234011</v>
      </c>
      <c r="H50" s="73">
        <f t="shared" si="1"/>
        <v>50.356884237765989</v>
      </c>
    </row>
    <row r="51" spans="1:8" x14ac:dyDescent="0.2">
      <c r="A51" t="s">
        <v>3006</v>
      </c>
      <c r="B51" s="60" t="s">
        <v>1436</v>
      </c>
      <c r="C51" s="62">
        <v>511706</v>
      </c>
      <c r="D51" s="62">
        <v>253194</v>
      </c>
      <c r="E51" s="62">
        <v>258512</v>
      </c>
      <c r="F51" s="62">
        <v>190025</v>
      </c>
      <c r="G51" s="73">
        <f t="shared" si="0"/>
        <v>49.480365678729584</v>
      </c>
      <c r="H51" s="73">
        <f t="shared" si="1"/>
        <v>50.519634321270409</v>
      </c>
    </row>
    <row r="52" spans="1:8" x14ac:dyDescent="0.2">
      <c r="A52" t="s">
        <v>3006</v>
      </c>
      <c r="B52" s="60" t="s">
        <v>1251</v>
      </c>
      <c r="C52" s="62">
        <v>504379</v>
      </c>
      <c r="D52" s="62">
        <v>250862</v>
      </c>
      <c r="E52" s="62">
        <v>253517</v>
      </c>
      <c r="F52" s="62">
        <v>161989</v>
      </c>
      <c r="G52" s="73">
        <f t="shared" si="0"/>
        <v>49.736805061273373</v>
      </c>
      <c r="H52" s="73">
        <f t="shared" si="1"/>
        <v>50.263194938726627</v>
      </c>
    </row>
    <row r="53" spans="1:8" x14ac:dyDescent="0.2">
      <c r="A53" t="s">
        <v>3006</v>
      </c>
      <c r="B53" s="60" t="s">
        <v>1213</v>
      </c>
      <c r="C53" s="62">
        <v>372183</v>
      </c>
      <c r="D53" s="62">
        <v>184783</v>
      </c>
      <c r="E53" s="62">
        <v>187400</v>
      </c>
      <c r="F53" s="62">
        <v>128559</v>
      </c>
      <c r="G53" s="73">
        <f t="shared" si="0"/>
        <v>49.648425640074912</v>
      </c>
      <c r="H53" s="73">
        <f t="shared" si="1"/>
        <v>50.351574359925088</v>
      </c>
    </row>
    <row r="54" spans="1:8" x14ac:dyDescent="0.2">
      <c r="A54" t="s">
        <v>3006</v>
      </c>
      <c r="B54" s="60" t="s">
        <v>1339</v>
      </c>
      <c r="C54" s="62">
        <v>1552135</v>
      </c>
      <c r="D54" s="62">
        <v>765475</v>
      </c>
      <c r="E54" s="62">
        <v>786660</v>
      </c>
      <c r="F54" s="62">
        <v>565876</v>
      </c>
      <c r="G54" s="73">
        <f t="shared" si="0"/>
        <v>49.31755291904377</v>
      </c>
      <c r="H54" s="73">
        <f t="shared" si="1"/>
        <v>50.68244708095623</v>
      </c>
    </row>
    <row r="55" spans="1:8" x14ac:dyDescent="0.2">
      <c r="A55" t="s">
        <v>3006</v>
      </c>
      <c r="B55" s="60" t="s">
        <v>1092</v>
      </c>
      <c r="C55" s="62">
        <v>1867942</v>
      </c>
      <c r="D55" s="62">
        <v>929772</v>
      </c>
      <c r="E55" s="62">
        <v>938170</v>
      </c>
      <c r="F55" s="62">
        <v>661003</v>
      </c>
      <c r="G55" s="73">
        <f t="shared" si="0"/>
        <v>49.775207153112895</v>
      </c>
      <c r="H55" s="73">
        <f t="shared" si="1"/>
        <v>50.224792846887112</v>
      </c>
    </row>
    <row r="56" spans="1:8" x14ac:dyDescent="0.2">
      <c r="A56" t="s">
        <v>3000</v>
      </c>
      <c r="B56" s="60" t="s">
        <v>2488</v>
      </c>
      <c r="C56" s="62">
        <v>483855</v>
      </c>
      <c r="D56" s="62">
        <v>240313</v>
      </c>
      <c r="E56" s="62">
        <v>243542</v>
      </c>
      <c r="F56" s="62">
        <v>208232</v>
      </c>
      <c r="G56" s="73">
        <f t="shared" si="0"/>
        <v>49.666325655413296</v>
      </c>
      <c r="H56" s="73">
        <f t="shared" si="1"/>
        <v>50.333674344586711</v>
      </c>
    </row>
    <row r="57" spans="1:8" x14ac:dyDescent="0.2">
      <c r="A57" t="s">
        <v>3000</v>
      </c>
      <c r="B57" s="60" t="s">
        <v>2595</v>
      </c>
      <c r="C57" s="62">
        <v>508053</v>
      </c>
      <c r="D57" s="62">
        <v>250267</v>
      </c>
      <c r="E57" s="62">
        <v>257786</v>
      </c>
      <c r="F57" s="62">
        <v>256148</v>
      </c>
      <c r="G57" s="73">
        <f t="shared" si="0"/>
        <v>49.260018147712934</v>
      </c>
      <c r="H57" s="73">
        <f t="shared" si="1"/>
        <v>50.739981852287066</v>
      </c>
    </row>
    <row r="58" spans="1:8" x14ac:dyDescent="0.2">
      <c r="A58" t="s">
        <v>3000</v>
      </c>
      <c r="B58" s="60" t="s">
        <v>2681</v>
      </c>
      <c r="C58" s="62">
        <v>634959</v>
      </c>
      <c r="D58" s="62">
        <v>310045</v>
      </c>
      <c r="E58" s="62">
        <v>324914</v>
      </c>
      <c r="F58" s="62">
        <v>246853</v>
      </c>
      <c r="G58" s="73">
        <f t="shared" si="0"/>
        <v>48.829136999396809</v>
      </c>
      <c r="H58" s="73">
        <f t="shared" si="1"/>
        <v>51.170863000603184</v>
      </c>
    </row>
    <row r="59" spans="1:8" x14ac:dyDescent="0.2">
      <c r="A59" t="s">
        <v>3000</v>
      </c>
      <c r="B59" s="60" t="s">
        <v>2438</v>
      </c>
      <c r="C59" s="62">
        <v>1534653</v>
      </c>
      <c r="D59" s="62">
        <v>757539</v>
      </c>
      <c r="E59" s="62">
        <v>777114</v>
      </c>
      <c r="F59" s="62">
        <v>616268</v>
      </c>
      <c r="G59" s="73">
        <f t="shared" si="0"/>
        <v>49.362233677580534</v>
      </c>
      <c r="H59" s="73">
        <f t="shared" si="1"/>
        <v>50.637766322419466</v>
      </c>
    </row>
    <row r="60" spans="1:8" x14ac:dyDescent="0.2">
      <c r="A60" t="s">
        <v>3000</v>
      </c>
      <c r="B60" s="60" t="s">
        <v>2775</v>
      </c>
      <c r="C60" s="62">
        <v>823996</v>
      </c>
      <c r="D60" s="62">
        <v>407632</v>
      </c>
      <c r="E60" s="62">
        <v>416364</v>
      </c>
      <c r="F60" s="62">
        <v>232664</v>
      </c>
      <c r="G60" s="73">
        <f t="shared" si="0"/>
        <v>49.470143058946888</v>
      </c>
      <c r="H60" s="73">
        <f t="shared" si="1"/>
        <v>50.529856941053112</v>
      </c>
    </row>
    <row r="61" spans="1:8" x14ac:dyDescent="0.2">
      <c r="A61" t="s">
        <v>3000</v>
      </c>
      <c r="B61" s="60" t="s">
        <v>2733</v>
      </c>
      <c r="C61" s="62">
        <v>740904</v>
      </c>
      <c r="D61" s="62">
        <v>366532</v>
      </c>
      <c r="E61" s="62">
        <v>374372</v>
      </c>
      <c r="F61" s="62">
        <v>208009</v>
      </c>
      <c r="G61" s="73">
        <f t="shared" si="0"/>
        <v>49.470916609979163</v>
      </c>
      <c r="H61" s="73">
        <f t="shared" si="1"/>
        <v>50.529083390020837</v>
      </c>
    </row>
    <row r="62" spans="1:8" x14ac:dyDescent="0.2">
      <c r="A62" t="s">
        <v>3000</v>
      </c>
      <c r="B62" s="60" t="s">
        <v>2508</v>
      </c>
      <c r="C62" s="62">
        <v>266296</v>
      </c>
      <c r="D62" s="62">
        <v>132910</v>
      </c>
      <c r="E62" s="62">
        <v>133386</v>
      </c>
      <c r="F62" s="62">
        <v>125443</v>
      </c>
      <c r="G62" s="73">
        <f t="shared" si="0"/>
        <v>49.910625769820051</v>
      </c>
      <c r="H62" s="73">
        <f t="shared" si="1"/>
        <v>50.089374230179949</v>
      </c>
    </row>
    <row r="63" spans="1:8" x14ac:dyDescent="0.2">
      <c r="A63" t="s">
        <v>3000</v>
      </c>
      <c r="B63" s="60" t="s">
        <v>2705</v>
      </c>
      <c r="C63" s="62">
        <v>519440</v>
      </c>
      <c r="D63" s="62">
        <v>252460</v>
      </c>
      <c r="E63" s="62">
        <v>266980</v>
      </c>
      <c r="F63" s="62">
        <v>207767</v>
      </c>
      <c r="G63" s="73">
        <f t="shared" si="0"/>
        <v>48.602340982596644</v>
      </c>
      <c r="H63" s="73">
        <f t="shared" si="1"/>
        <v>51.397659017403349</v>
      </c>
    </row>
    <row r="64" spans="1:8" x14ac:dyDescent="0.2">
      <c r="A64" t="s">
        <v>3000</v>
      </c>
      <c r="B64" s="60" t="s">
        <v>2525</v>
      </c>
      <c r="C64" s="62">
        <v>429583</v>
      </c>
      <c r="D64" s="62">
        <v>201988</v>
      </c>
      <c r="E64" s="62">
        <v>227595</v>
      </c>
      <c r="F64" s="62">
        <v>294383</v>
      </c>
      <c r="G64" s="73">
        <f t="shared" si="0"/>
        <v>47.019551518565677</v>
      </c>
      <c r="H64" s="73">
        <f t="shared" si="1"/>
        <v>52.980448481434316</v>
      </c>
    </row>
    <row r="65" spans="1:8" x14ac:dyDescent="0.2">
      <c r="A65" t="s">
        <v>3000</v>
      </c>
      <c r="B65" s="60" t="s">
        <v>2756</v>
      </c>
      <c r="C65" s="62">
        <v>552974</v>
      </c>
      <c r="D65" s="62">
        <v>274701</v>
      </c>
      <c r="E65" s="62">
        <v>278273</v>
      </c>
      <c r="F65" s="62">
        <v>181284</v>
      </c>
      <c r="G65" s="73">
        <f t="shared" si="0"/>
        <v>49.677019172691658</v>
      </c>
      <c r="H65" s="73">
        <f t="shared" si="1"/>
        <v>50.322980827308342</v>
      </c>
    </row>
    <row r="66" spans="1:8" x14ac:dyDescent="0.2">
      <c r="A66" t="s">
        <v>3000</v>
      </c>
      <c r="B66" s="60" t="s">
        <v>2584</v>
      </c>
      <c r="C66" s="62">
        <v>192927</v>
      </c>
      <c r="D66" s="62">
        <v>96944</v>
      </c>
      <c r="E66" s="62">
        <v>95983</v>
      </c>
      <c r="F66" s="62">
        <v>98370</v>
      </c>
      <c r="G66" s="73">
        <f t="shared" si="0"/>
        <v>50.249057933829903</v>
      </c>
      <c r="H66" s="73">
        <f t="shared" si="1"/>
        <v>49.750942066170104</v>
      </c>
    </row>
    <row r="67" spans="1:8" x14ac:dyDescent="0.2">
      <c r="A67" t="s">
        <v>3000</v>
      </c>
      <c r="B67" s="60" t="s">
        <v>2618</v>
      </c>
      <c r="C67" s="62">
        <v>1431107</v>
      </c>
      <c r="D67" s="62">
        <v>695802</v>
      </c>
      <c r="E67" s="62">
        <v>735305</v>
      </c>
      <c r="F67" s="62">
        <v>593923</v>
      </c>
      <c r="G67" s="73">
        <f t="shared" ref="G67:G78" si="2">D67/C67*100</f>
        <v>48.61984463775245</v>
      </c>
      <c r="H67" s="73">
        <f t="shared" ref="H67:H78" si="3">E67/C67*100</f>
        <v>51.38015536224755</v>
      </c>
    </row>
    <row r="68" spans="1:8" x14ac:dyDescent="0.2">
      <c r="A68" t="s">
        <v>3000</v>
      </c>
      <c r="B68" s="60" t="s">
        <v>2667</v>
      </c>
      <c r="C68" s="62">
        <v>324879</v>
      </c>
      <c r="D68" s="62">
        <v>161667</v>
      </c>
      <c r="E68" s="62">
        <v>163212</v>
      </c>
      <c r="F68" s="62">
        <v>111775</v>
      </c>
      <c r="G68" s="73">
        <f t="shared" si="2"/>
        <v>49.762219164673617</v>
      </c>
      <c r="H68" s="73">
        <f t="shared" si="3"/>
        <v>50.237780835326383</v>
      </c>
    </row>
    <row r="69" spans="1:8" x14ac:dyDescent="0.2">
      <c r="A69" t="s">
        <v>3000</v>
      </c>
      <c r="B69" s="60" t="s">
        <v>2538</v>
      </c>
      <c r="C69" s="62">
        <v>1076666</v>
      </c>
      <c r="D69" s="62">
        <v>529077</v>
      </c>
      <c r="E69" s="62">
        <v>547589</v>
      </c>
      <c r="F69" s="62">
        <v>550373</v>
      </c>
      <c r="G69" s="73">
        <f t="shared" si="2"/>
        <v>49.14030906520685</v>
      </c>
      <c r="H69" s="73">
        <f t="shared" si="3"/>
        <v>50.859690934793143</v>
      </c>
    </row>
    <row r="70" spans="1:8" x14ac:dyDescent="0.2">
      <c r="A70" t="s">
        <v>2996</v>
      </c>
      <c r="B70" s="60" t="s">
        <v>1923</v>
      </c>
      <c r="C70" s="62">
        <v>1297657</v>
      </c>
      <c r="D70" s="62">
        <v>628811</v>
      </c>
      <c r="E70" s="62">
        <v>668846</v>
      </c>
      <c r="F70" s="62">
        <v>594808</v>
      </c>
      <c r="G70" s="73">
        <f t="shared" si="2"/>
        <v>48.457412089635397</v>
      </c>
      <c r="H70" s="73">
        <f t="shared" si="3"/>
        <v>51.542587910364603</v>
      </c>
    </row>
    <row r="71" spans="1:8" x14ac:dyDescent="0.2">
      <c r="A71" t="s">
        <v>2996</v>
      </c>
      <c r="B71" s="60" t="s">
        <v>1665</v>
      </c>
      <c r="C71" s="62">
        <v>1799019</v>
      </c>
      <c r="D71" s="62">
        <v>865486</v>
      </c>
      <c r="E71" s="62">
        <v>933533</v>
      </c>
      <c r="F71" s="62">
        <v>900484</v>
      </c>
      <c r="G71" s="73">
        <f t="shared" si="2"/>
        <v>48.108774837842176</v>
      </c>
      <c r="H71" s="73">
        <f t="shared" si="3"/>
        <v>51.891225162157816</v>
      </c>
    </row>
    <row r="72" spans="1:8" x14ac:dyDescent="0.2">
      <c r="A72" t="s">
        <v>2996</v>
      </c>
      <c r="B72" s="60" t="s">
        <v>1868</v>
      </c>
      <c r="C72" s="62">
        <v>470507</v>
      </c>
      <c r="D72" s="62">
        <v>234647</v>
      </c>
      <c r="E72" s="62">
        <v>235860</v>
      </c>
      <c r="F72" s="62">
        <v>180461</v>
      </c>
      <c r="G72" s="73">
        <f t="shared" si="2"/>
        <v>49.871096498032976</v>
      </c>
      <c r="H72" s="73">
        <f t="shared" si="3"/>
        <v>50.128903501967024</v>
      </c>
    </row>
    <row r="73" spans="1:8" x14ac:dyDescent="0.2">
      <c r="A73" t="s">
        <v>2996</v>
      </c>
      <c r="B73" s="60" t="s">
        <v>1890</v>
      </c>
      <c r="C73" s="62">
        <v>454764</v>
      </c>
      <c r="D73" s="62">
        <v>220378</v>
      </c>
      <c r="E73" s="62">
        <v>234386</v>
      </c>
      <c r="F73" s="62">
        <v>204387</v>
      </c>
      <c r="G73" s="73">
        <f t="shared" si="2"/>
        <v>48.459860499072043</v>
      </c>
      <c r="H73" s="73">
        <f t="shared" si="3"/>
        <v>51.54013950092795</v>
      </c>
    </row>
    <row r="74" spans="1:8" x14ac:dyDescent="0.2">
      <c r="A74" t="s">
        <v>2996</v>
      </c>
      <c r="B74" s="60" t="s">
        <v>1841</v>
      </c>
      <c r="C74" s="62">
        <v>421745</v>
      </c>
      <c r="D74" s="62">
        <v>202378</v>
      </c>
      <c r="E74" s="62">
        <v>219367</v>
      </c>
      <c r="F74" s="62">
        <v>185874</v>
      </c>
      <c r="G74" s="73">
        <f t="shared" si="2"/>
        <v>47.985868237916272</v>
      </c>
      <c r="H74" s="73">
        <f t="shared" si="3"/>
        <v>52.014131762083728</v>
      </c>
    </row>
    <row r="75" spans="1:8" x14ac:dyDescent="0.2">
      <c r="A75" t="s">
        <v>2996</v>
      </c>
      <c r="B75" s="60" t="s">
        <v>1974</v>
      </c>
      <c r="C75" s="62">
        <v>288082</v>
      </c>
      <c r="D75" s="62">
        <v>145723</v>
      </c>
      <c r="E75" s="62">
        <v>142359</v>
      </c>
      <c r="F75" s="62">
        <v>123826</v>
      </c>
      <c r="G75" s="73">
        <f t="shared" si="2"/>
        <v>50.583861539422806</v>
      </c>
      <c r="H75" s="73">
        <f t="shared" si="3"/>
        <v>49.416138460577194</v>
      </c>
    </row>
    <row r="76" spans="1:8" x14ac:dyDescent="0.2">
      <c r="A76" t="s">
        <v>2996</v>
      </c>
      <c r="B76" s="60" t="s">
        <v>1772</v>
      </c>
      <c r="C76" s="62">
        <v>704126</v>
      </c>
      <c r="D76" s="62">
        <v>341663</v>
      </c>
      <c r="E76" s="62">
        <v>362463</v>
      </c>
      <c r="F76" s="62">
        <v>307969</v>
      </c>
      <c r="G76" s="73">
        <f t="shared" si="2"/>
        <v>48.522991623658271</v>
      </c>
      <c r="H76" s="73">
        <f t="shared" si="3"/>
        <v>51.477008376341736</v>
      </c>
    </row>
    <row r="77" spans="1:8" x14ac:dyDescent="0.2">
      <c r="A77" t="s">
        <v>2996</v>
      </c>
      <c r="B77" s="60" t="s">
        <v>1741</v>
      </c>
      <c r="C77" s="62">
        <v>396753</v>
      </c>
      <c r="D77" s="62">
        <v>189647</v>
      </c>
      <c r="E77" s="62">
        <v>207106</v>
      </c>
      <c r="F77" s="62">
        <v>193492</v>
      </c>
      <c r="G77" s="73">
        <f t="shared" si="2"/>
        <v>47.799764589051627</v>
      </c>
      <c r="H77" s="73">
        <f t="shared" si="3"/>
        <v>52.200235410948373</v>
      </c>
    </row>
    <row r="78" spans="1:8" x14ac:dyDescent="0.2">
      <c r="A78" t="s">
        <v>2996</v>
      </c>
      <c r="B78" s="60" t="s">
        <v>1809</v>
      </c>
      <c r="C78" s="62">
        <v>436283</v>
      </c>
      <c r="D78" s="62">
        <v>212005</v>
      </c>
      <c r="E78" s="62">
        <v>224278</v>
      </c>
      <c r="F78" s="62">
        <v>179308</v>
      </c>
      <c r="G78" s="73">
        <f t="shared" si="2"/>
        <v>48.593458832913498</v>
      </c>
      <c r="H78" s="73">
        <f t="shared" si="3"/>
        <v>51.406541167086509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E3A8-4A1B-421F-95DC-ADE886EF185B}">
  <dimension ref="A1:O2453"/>
  <sheetViews>
    <sheetView zoomScale="37" zoomScaleNormal="37" workbookViewId="0">
      <selection sqref="A1:I2453"/>
    </sheetView>
  </sheetViews>
  <sheetFormatPr defaultRowHeight="14.25" x14ac:dyDescent="0.2"/>
  <cols>
    <col min="1" max="1" width="6.625" bestFit="1" customWidth="1"/>
    <col min="2" max="2" width="10.125" bestFit="1" customWidth="1"/>
    <col min="3" max="3" width="19.75" bestFit="1" customWidth="1"/>
    <col min="4" max="4" width="15.875" bestFit="1" customWidth="1"/>
    <col min="5" max="5" width="33.625" bestFit="1" customWidth="1"/>
    <col min="6" max="6" width="18.625" bestFit="1" customWidth="1"/>
    <col min="7" max="7" width="18.875" bestFit="1" customWidth="1"/>
    <col min="8" max="8" width="21" bestFit="1" customWidth="1"/>
    <col min="9" max="9" width="22.125" bestFit="1" customWidth="1"/>
    <col min="11" max="11" width="17.875" customWidth="1"/>
    <col min="12" max="12" width="21.625" customWidth="1"/>
    <col min="13" max="13" width="16.125" customWidth="1"/>
    <col min="14" max="14" width="17.875" customWidth="1"/>
    <col min="15" max="15" width="20" customWidth="1"/>
  </cols>
  <sheetData>
    <row r="1" spans="1:15" ht="25.5" x14ac:dyDescent="0.2">
      <c r="A1" s="9" t="s">
        <v>328</v>
      </c>
      <c r="B1" s="9" t="s">
        <v>329</v>
      </c>
      <c r="C1" s="9" t="s">
        <v>330</v>
      </c>
      <c r="D1" s="9" t="s">
        <v>331</v>
      </c>
      <c r="E1" s="9" t="s">
        <v>332</v>
      </c>
      <c r="F1" s="9" t="s">
        <v>333</v>
      </c>
      <c r="G1" s="9" t="s">
        <v>334</v>
      </c>
      <c r="H1" s="9" t="s">
        <v>335</v>
      </c>
      <c r="I1" s="9" t="s">
        <v>336</v>
      </c>
      <c r="K1" s="63" t="s">
        <v>3001</v>
      </c>
      <c r="L1" s="65" t="s">
        <v>335</v>
      </c>
      <c r="M1" s="64" t="s">
        <v>333</v>
      </c>
      <c r="N1" s="65" t="s">
        <v>334</v>
      </c>
      <c r="O1" s="67" t="s">
        <v>3004</v>
      </c>
    </row>
    <row r="2" spans="1:15" x14ac:dyDescent="0.2">
      <c r="A2" s="10">
        <v>6712</v>
      </c>
      <c r="B2" s="10">
        <v>10</v>
      </c>
      <c r="C2" s="10" t="s">
        <v>338</v>
      </c>
      <c r="D2" s="10">
        <v>1001</v>
      </c>
      <c r="E2" s="10" t="s">
        <v>339</v>
      </c>
      <c r="F2" s="11">
        <v>19110</v>
      </c>
      <c r="G2" s="11">
        <v>20235</v>
      </c>
      <c r="H2" s="11">
        <v>39345</v>
      </c>
      <c r="I2" s="11">
        <v>19016</v>
      </c>
      <c r="K2" s="1" t="s">
        <v>3002</v>
      </c>
      <c r="L2" s="66">
        <v>65951210</v>
      </c>
      <c r="M2" s="66">
        <v>32145282</v>
      </c>
      <c r="N2" s="66">
        <v>33805928</v>
      </c>
      <c r="O2" s="66">
        <v>29128519</v>
      </c>
    </row>
    <row r="3" spans="1:15" x14ac:dyDescent="0.2">
      <c r="A3" s="10">
        <v>6712</v>
      </c>
      <c r="B3" s="10">
        <v>10</v>
      </c>
      <c r="C3" s="10" t="s">
        <v>338</v>
      </c>
      <c r="D3" s="10">
        <v>1002</v>
      </c>
      <c r="E3" s="10" t="s">
        <v>340</v>
      </c>
      <c r="F3" s="11">
        <v>39732</v>
      </c>
      <c r="G3" s="11">
        <v>34852</v>
      </c>
      <c r="H3" s="11">
        <v>74584</v>
      </c>
      <c r="I3" s="11">
        <v>32869</v>
      </c>
      <c r="K3" s="1" t="s">
        <v>2996</v>
      </c>
      <c r="L3" s="66">
        <v>6268936</v>
      </c>
      <c r="M3" s="62">
        <v>3040738</v>
      </c>
      <c r="N3" s="62">
        <v>3228198</v>
      </c>
      <c r="O3" s="62">
        <v>2870609</v>
      </c>
    </row>
    <row r="4" spans="1:15" x14ac:dyDescent="0.2">
      <c r="A4" s="10">
        <v>6712</v>
      </c>
      <c r="B4" s="10">
        <v>10</v>
      </c>
      <c r="C4" s="10" t="s">
        <v>338</v>
      </c>
      <c r="D4" s="10">
        <v>1003</v>
      </c>
      <c r="E4" s="10" t="s">
        <v>341</v>
      </c>
      <c r="F4" s="11">
        <v>90282</v>
      </c>
      <c r="G4" s="11">
        <v>95945</v>
      </c>
      <c r="H4" s="11">
        <v>186227</v>
      </c>
      <c r="I4" s="11">
        <v>74844</v>
      </c>
      <c r="K4" s="1" t="s">
        <v>3003</v>
      </c>
      <c r="L4" s="66">
        <v>21619050</v>
      </c>
      <c r="M4" s="66">
        <v>10687530</v>
      </c>
      <c r="N4" s="66">
        <v>10931520</v>
      </c>
      <c r="O4" s="66">
        <v>7686839</v>
      </c>
    </row>
    <row r="5" spans="1:15" x14ac:dyDescent="0.2">
      <c r="A5" s="10">
        <v>6712</v>
      </c>
      <c r="B5" s="10">
        <v>10</v>
      </c>
      <c r="C5" s="10" t="s">
        <v>338</v>
      </c>
      <c r="D5" s="10">
        <v>1004</v>
      </c>
      <c r="E5" s="10" t="s">
        <v>342</v>
      </c>
      <c r="F5" s="11">
        <v>19497</v>
      </c>
      <c r="G5" s="11">
        <v>22204</v>
      </c>
      <c r="H5" s="11">
        <v>41701</v>
      </c>
      <c r="I5" s="11">
        <v>36025</v>
      </c>
      <c r="K5" s="1" t="s">
        <v>2999</v>
      </c>
      <c r="L5" s="66">
        <v>20071452</v>
      </c>
      <c r="M5" s="66">
        <v>9579217</v>
      </c>
      <c r="N5" s="66">
        <v>10492235</v>
      </c>
      <c r="O5" s="66">
        <v>10197450</v>
      </c>
    </row>
    <row r="6" spans="1:15" x14ac:dyDescent="0.2">
      <c r="A6" s="10">
        <v>6712</v>
      </c>
      <c r="B6" s="10">
        <v>10</v>
      </c>
      <c r="C6" s="10" t="s">
        <v>338</v>
      </c>
      <c r="D6" s="10">
        <v>1005</v>
      </c>
      <c r="E6" s="10" t="s">
        <v>343</v>
      </c>
      <c r="F6" s="11">
        <v>85680</v>
      </c>
      <c r="G6" s="11">
        <v>98551</v>
      </c>
      <c r="H6" s="11">
        <v>184231</v>
      </c>
      <c r="I6" s="11">
        <v>119489</v>
      </c>
      <c r="K6" s="1" t="s">
        <v>2997</v>
      </c>
      <c r="L6" s="66">
        <v>4976581</v>
      </c>
      <c r="M6" s="66">
        <v>2437242</v>
      </c>
      <c r="N6" s="66">
        <v>2539339</v>
      </c>
      <c r="O6" s="66">
        <v>2948708</v>
      </c>
    </row>
    <row r="7" spans="1:15" x14ac:dyDescent="0.2">
      <c r="A7" s="10">
        <v>6712</v>
      </c>
      <c r="B7" s="10">
        <v>10</v>
      </c>
      <c r="C7" s="10" t="s">
        <v>338</v>
      </c>
      <c r="D7" s="10">
        <v>1006</v>
      </c>
      <c r="E7" s="10" t="s">
        <v>344</v>
      </c>
      <c r="F7" s="11">
        <v>63927</v>
      </c>
      <c r="G7" s="11">
        <v>77485</v>
      </c>
      <c r="H7" s="11">
        <v>141412</v>
      </c>
      <c r="I7" s="11">
        <v>117821</v>
      </c>
      <c r="K7" s="1" t="s">
        <v>2998</v>
      </c>
      <c r="L7" s="66">
        <v>3494899</v>
      </c>
      <c r="M7" s="66">
        <v>1722678</v>
      </c>
      <c r="N7" s="66">
        <v>1772221</v>
      </c>
      <c r="O7" s="66">
        <v>1493421</v>
      </c>
    </row>
    <row r="8" spans="1:15" x14ac:dyDescent="0.2">
      <c r="A8" s="10">
        <v>6712</v>
      </c>
      <c r="B8" s="10">
        <v>10</v>
      </c>
      <c r="C8" s="10" t="s">
        <v>338</v>
      </c>
      <c r="D8" s="10">
        <v>1007</v>
      </c>
      <c r="E8" s="10" t="s">
        <v>345</v>
      </c>
      <c r="F8" s="11">
        <v>18530</v>
      </c>
      <c r="G8" s="11">
        <v>20869</v>
      </c>
      <c r="H8" s="11">
        <v>39399</v>
      </c>
      <c r="I8" s="11">
        <v>32452</v>
      </c>
      <c r="K8" s="1" t="s">
        <v>3000</v>
      </c>
      <c r="L8" s="66">
        <v>9520292</v>
      </c>
      <c r="M8" s="66">
        <v>4677877</v>
      </c>
      <c r="N8" s="66">
        <v>4842415</v>
      </c>
      <c r="O8" s="66">
        <v>3931492</v>
      </c>
    </row>
    <row r="9" spans="1:15" x14ac:dyDescent="0.2">
      <c r="A9" s="10">
        <v>6712</v>
      </c>
      <c r="B9" s="10">
        <v>10</v>
      </c>
      <c r="C9" s="10" t="s">
        <v>338</v>
      </c>
      <c r="D9" s="10">
        <v>1008</v>
      </c>
      <c r="E9" s="10" t="s">
        <v>346</v>
      </c>
      <c r="F9" s="11">
        <v>18021</v>
      </c>
      <c r="G9" s="11">
        <v>18884</v>
      </c>
      <c r="H9" s="11">
        <v>36905</v>
      </c>
      <c r="I9" s="11">
        <v>19623</v>
      </c>
    </row>
    <row r="10" spans="1:15" x14ac:dyDescent="0.2">
      <c r="A10" s="10">
        <v>6712</v>
      </c>
      <c r="B10" s="10">
        <v>10</v>
      </c>
      <c r="C10" s="10" t="s">
        <v>338</v>
      </c>
      <c r="D10" s="10">
        <v>1009</v>
      </c>
      <c r="E10" s="10" t="s">
        <v>347</v>
      </c>
      <c r="F10" s="11">
        <v>37951</v>
      </c>
      <c r="G10" s="11">
        <v>47119</v>
      </c>
      <c r="H10" s="11">
        <v>85070</v>
      </c>
      <c r="I10" s="11">
        <v>65282</v>
      </c>
    </row>
    <row r="11" spans="1:15" x14ac:dyDescent="0.2">
      <c r="A11" s="10">
        <v>6712</v>
      </c>
      <c r="B11" s="10">
        <v>10</v>
      </c>
      <c r="C11" s="10" t="s">
        <v>338</v>
      </c>
      <c r="D11" s="10">
        <v>1010</v>
      </c>
      <c r="E11" s="10" t="s">
        <v>348</v>
      </c>
      <c r="F11" s="11">
        <v>66126</v>
      </c>
      <c r="G11" s="11">
        <v>74626</v>
      </c>
      <c r="H11" s="11">
        <v>140752</v>
      </c>
      <c r="I11" s="11">
        <v>66394</v>
      </c>
    </row>
    <row r="12" spans="1:15" x14ac:dyDescent="0.2">
      <c r="A12" s="10">
        <v>6712</v>
      </c>
      <c r="B12" s="10">
        <v>10</v>
      </c>
      <c r="C12" s="10" t="s">
        <v>338</v>
      </c>
      <c r="D12" s="10">
        <v>1011</v>
      </c>
      <c r="E12" s="10" t="s">
        <v>349</v>
      </c>
      <c r="F12" s="11">
        <v>85480</v>
      </c>
      <c r="G12" s="11">
        <v>95773</v>
      </c>
      <c r="H12" s="11">
        <v>181253</v>
      </c>
      <c r="I12" s="11">
        <v>108362</v>
      </c>
    </row>
    <row r="13" spans="1:15" x14ac:dyDescent="0.2">
      <c r="A13" s="10">
        <v>6712</v>
      </c>
      <c r="B13" s="10">
        <v>10</v>
      </c>
      <c r="C13" s="10" t="s">
        <v>338</v>
      </c>
      <c r="D13" s="10">
        <v>1012</v>
      </c>
      <c r="E13" s="10" t="s">
        <v>350</v>
      </c>
      <c r="F13" s="11">
        <v>33567</v>
      </c>
      <c r="G13" s="11">
        <v>39266</v>
      </c>
      <c r="H13" s="11">
        <v>72833</v>
      </c>
      <c r="I13" s="11">
        <v>54412</v>
      </c>
    </row>
    <row r="14" spans="1:15" x14ac:dyDescent="0.2">
      <c r="A14" s="10">
        <v>6712</v>
      </c>
      <c r="B14" s="10">
        <v>10</v>
      </c>
      <c r="C14" s="10" t="s">
        <v>338</v>
      </c>
      <c r="D14" s="10">
        <v>1013</v>
      </c>
      <c r="E14" s="10" t="s">
        <v>351</v>
      </c>
      <c r="F14" s="11">
        <v>9144</v>
      </c>
      <c r="G14" s="11">
        <v>9701</v>
      </c>
      <c r="H14" s="11">
        <v>18845</v>
      </c>
      <c r="I14" s="11">
        <v>13160</v>
      </c>
    </row>
    <row r="15" spans="1:15" x14ac:dyDescent="0.2">
      <c r="A15" s="10">
        <v>6712</v>
      </c>
      <c r="B15" s="10">
        <v>10</v>
      </c>
      <c r="C15" s="10" t="s">
        <v>338</v>
      </c>
      <c r="D15" s="10">
        <v>1014</v>
      </c>
      <c r="E15" s="10" t="s">
        <v>352</v>
      </c>
      <c r="F15" s="11">
        <v>30205</v>
      </c>
      <c r="G15" s="11">
        <v>32820</v>
      </c>
      <c r="H15" s="11">
        <v>63025</v>
      </c>
      <c r="I15" s="11">
        <v>46536</v>
      </c>
    </row>
    <row r="16" spans="1:15" x14ac:dyDescent="0.2">
      <c r="A16" s="10">
        <v>6712</v>
      </c>
      <c r="B16" s="10">
        <v>10</v>
      </c>
      <c r="C16" s="10" t="s">
        <v>338</v>
      </c>
      <c r="D16" s="10">
        <v>1015</v>
      </c>
      <c r="E16" s="10" t="s">
        <v>353</v>
      </c>
      <c r="F16" s="11">
        <v>45180</v>
      </c>
      <c r="G16" s="11">
        <v>51989</v>
      </c>
      <c r="H16" s="11">
        <v>97169</v>
      </c>
      <c r="I16" s="11">
        <v>65530</v>
      </c>
    </row>
    <row r="17" spans="1:9" x14ac:dyDescent="0.2">
      <c r="A17" s="10">
        <v>6712</v>
      </c>
      <c r="B17" s="10">
        <v>10</v>
      </c>
      <c r="C17" s="10" t="s">
        <v>338</v>
      </c>
      <c r="D17" s="10">
        <v>1016</v>
      </c>
      <c r="E17" s="10" t="s">
        <v>354</v>
      </c>
      <c r="F17" s="11">
        <v>27759</v>
      </c>
      <c r="G17" s="11">
        <v>32038</v>
      </c>
      <c r="H17" s="11">
        <v>59797</v>
      </c>
      <c r="I17" s="11">
        <v>32954</v>
      </c>
    </row>
    <row r="18" spans="1:9" x14ac:dyDescent="0.2">
      <c r="A18" s="10">
        <v>6712</v>
      </c>
      <c r="B18" s="10">
        <v>10</v>
      </c>
      <c r="C18" s="10" t="s">
        <v>338</v>
      </c>
      <c r="D18" s="10">
        <v>1017</v>
      </c>
      <c r="E18" s="10" t="s">
        <v>355</v>
      </c>
      <c r="F18" s="11">
        <v>37334</v>
      </c>
      <c r="G18" s="11">
        <v>46624</v>
      </c>
      <c r="H18" s="11">
        <v>83958</v>
      </c>
      <c r="I18" s="11">
        <v>95001</v>
      </c>
    </row>
    <row r="19" spans="1:9" x14ac:dyDescent="0.2">
      <c r="A19" s="10">
        <v>6712</v>
      </c>
      <c r="B19" s="10">
        <v>10</v>
      </c>
      <c r="C19" s="10" t="s">
        <v>338</v>
      </c>
      <c r="D19" s="10">
        <v>1018</v>
      </c>
      <c r="E19" s="10" t="s">
        <v>356</v>
      </c>
      <c r="F19" s="11">
        <v>29066</v>
      </c>
      <c r="G19" s="11">
        <v>34291</v>
      </c>
      <c r="H19" s="11">
        <v>63357</v>
      </c>
      <c r="I19" s="11">
        <v>42956</v>
      </c>
    </row>
    <row r="20" spans="1:9" x14ac:dyDescent="0.2">
      <c r="A20" s="10">
        <v>6712</v>
      </c>
      <c r="B20" s="10">
        <v>10</v>
      </c>
      <c r="C20" s="10" t="s">
        <v>338</v>
      </c>
      <c r="D20" s="10">
        <v>1019</v>
      </c>
      <c r="E20" s="10" t="s">
        <v>357</v>
      </c>
      <c r="F20" s="11">
        <v>46929</v>
      </c>
      <c r="G20" s="11">
        <v>53958</v>
      </c>
      <c r="H20" s="11">
        <v>100887</v>
      </c>
      <c r="I20" s="11">
        <v>45173</v>
      </c>
    </row>
    <row r="21" spans="1:9" x14ac:dyDescent="0.2">
      <c r="A21" s="10">
        <v>6712</v>
      </c>
      <c r="B21" s="10">
        <v>10</v>
      </c>
      <c r="C21" s="10" t="s">
        <v>338</v>
      </c>
      <c r="D21" s="10">
        <v>1020</v>
      </c>
      <c r="E21" s="10" t="s">
        <v>358</v>
      </c>
      <c r="F21" s="11">
        <v>44877</v>
      </c>
      <c r="G21" s="11">
        <v>51868</v>
      </c>
      <c r="H21" s="11">
        <v>96745</v>
      </c>
      <c r="I21" s="11">
        <v>55591</v>
      </c>
    </row>
    <row r="22" spans="1:9" x14ac:dyDescent="0.2">
      <c r="A22" s="10">
        <v>6712</v>
      </c>
      <c r="B22" s="10">
        <v>10</v>
      </c>
      <c r="C22" s="10" t="s">
        <v>338</v>
      </c>
      <c r="D22" s="10">
        <v>1021</v>
      </c>
      <c r="E22" s="10" t="s">
        <v>359</v>
      </c>
      <c r="F22" s="11">
        <v>87025</v>
      </c>
      <c r="G22" s="11">
        <v>98570</v>
      </c>
      <c r="H22" s="11">
        <v>185595</v>
      </c>
      <c r="I22" s="11">
        <v>95111</v>
      </c>
    </row>
    <row r="23" spans="1:9" x14ac:dyDescent="0.2">
      <c r="A23" s="10">
        <v>6712</v>
      </c>
      <c r="B23" s="10">
        <v>10</v>
      </c>
      <c r="C23" s="10" t="s">
        <v>338</v>
      </c>
      <c r="D23" s="10">
        <v>1022</v>
      </c>
      <c r="E23" s="10" t="s">
        <v>360</v>
      </c>
      <c r="F23" s="11">
        <v>56096</v>
      </c>
      <c r="G23" s="11">
        <v>65620</v>
      </c>
      <c r="H23" s="11">
        <v>121716</v>
      </c>
      <c r="I23" s="11">
        <v>69711</v>
      </c>
    </row>
    <row r="24" spans="1:9" x14ac:dyDescent="0.2">
      <c r="A24" s="10">
        <v>6712</v>
      </c>
      <c r="B24" s="10">
        <v>10</v>
      </c>
      <c r="C24" s="10" t="s">
        <v>338</v>
      </c>
      <c r="D24" s="10">
        <v>1023</v>
      </c>
      <c r="E24" s="10" t="s">
        <v>361</v>
      </c>
      <c r="F24" s="11">
        <v>71814</v>
      </c>
      <c r="G24" s="11">
        <v>83142</v>
      </c>
      <c r="H24" s="11">
        <v>154956</v>
      </c>
      <c r="I24" s="11">
        <v>66262</v>
      </c>
    </row>
    <row r="25" spans="1:9" x14ac:dyDescent="0.2">
      <c r="A25" s="10">
        <v>6712</v>
      </c>
      <c r="B25" s="10">
        <v>10</v>
      </c>
      <c r="C25" s="10" t="s">
        <v>338</v>
      </c>
      <c r="D25" s="10">
        <v>1024</v>
      </c>
      <c r="E25" s="10" t="s">
        <v>362</v>
      </c>
      <c r="F25" s="11">
        <v>35669</v>
      </c>
      <c r="G25" s="11">
        <v>39308</v>
      </c>
      <c r="H25" s="11">
        <v>74977</v>
      </c>
      <c r="I25" s="11">
        <v>39190</v>
      </c>
    </row>
    <row r="26" spans="1:9" x14ac:dyDescent="0.2">
      <c r="A26" s="10">
        <v>6712</v>
      </c>
      <c r="B26" s="10">
        <v>10</v>
      </c>
      <c r="C26" s="10" t="s">
        <v>338</v>
      </c>
      <c r="D26" s="10">
        <v>1025</v>
      </c>
      <c r="E26" s="10" t="s">
        <v>363</v>
      </c>
      <c r="F26" s="11">
        <v>39053</v>
      </c>
      <c r="G26" s="11">
        <v>47518</v>
      </c>
      <c r="H26" s="11">
        <v>86571</v>
      </c>
      <c r="I26" s="11">
        <v>60745</v>
      </c>
    </row>
    <row r="27" spans="1:9" x14ac:dyDescent="0.2">
      <c r="A27" s="10">
        <v>6712</v>
      </c>
      <c r="B27" s="10">
        <v>10</v>
      </c>
      <c r="C27" s="10" t="s">
        <v>338</v>
      </c>
      <c r="D27" s="10">
        <v>1026</v>
      </c>
      <c r="E27" s="10" t="s">
        <v>364</v>
      </c>
      <c r="F27" s="11">
        <v>50731</v>
      </c>
      <c r="G27" s="11">
        <v>60049</v>
      </c>
      <c r="H27" s="11">
        <v>110780</v>
      </c>
      <c r="I27" s="11">
        <v>65046</v>
      </c>
    </row>
    <row r="28" spans="1:9" x14ac:dyDescent="0.2">
      <c r="A28" s="10">
        <v>6712</v>
      </c>
      <c r="B28" s="10">
        <v>10</v>
      </c>
      <c r="C28" s="10" t="s">
        <v>338</v>
      </c>
      <c r="D28" s="10">
        <v>1027</v>
      </c>
      <c r="E28" s="10" t="s">
        <v>365</v>
      </c>
      <c r="F28" s="11">
        <v>61733</v>
      </c>
      <c r="G28" s="11">
        <v>74375</v>
      </c>
      <c r="H28" s="11">
        <v>136108</v>
      </c>
      <c r="I28" s="11">
        <v>77441</v>
      </c>
    </row>
    <row r="29" spans="1:9" x14ac:dyDescent="0.2">
      <c r="A29" s="10">
        <v>6712</v>
      </c>
      <c r="B29" s="10">
        <v>10</v>
      </c>
      <c r="C29" s="10" t="s">
        <v>338</v>
      </c>
      <c r="D29" s="10">
        <v>1028</v>
      </c>
      <c r="E29" s="10" t="s">
        <v>366</v>
      </c>
      <c r="F29" s="11">
        <v>33209</v>
      </c>
      <c r="G29" s="11">
        <v>37111</v>
      </c>
      <c r="H29" s="11">
        <v>70320</v>
      </c>
      <c r="I29" s="11">
        <v>45256</v>
      </c>
    </row>
    <row r="30" spans="1:9" x14ac:dyDescent="0.2">
      <c r="A30" s="10">
        <v>6712</v>
      </c>
      <c r="B30" s="10">
        <v>10</v>
      </c>
      <c r="C30" s="10" t="s">
        <v>338</v>
      </c>
      <c r="D30" s="10">
        <v>1029</v>
      </c>
      <c r="E30" s="10" t="s">
        <v>367</v>
      </c>
      <c r="F30" s="11">
        <v>54023</v>
      </c>
      <c r="G30" s="11">
        <v>63483</v>
      </c>
      <c r="H30" s="11">
        <v>117506</v>
      </c>
      <c r="I30" s="11">
        <v>78559</v>
      </c>
    </row>
    <row r="31" spans="1:9" x14ac:dyDescent="0.2">
      <c r="A31" s="10">
        <v>6712</v>
      </c>
      <c r="B31" s="10">
        <v>10</v>
      </c>
      <c r="C31" s="10" t="s">
        <v>338</v>
      </c>
      <c r="D31" s="10">
        <v>1030</v>
      </c>
      <c r="E31" s="10" t="s">
        <v>368</v>
      </c>
      <c r="F31" s="11">
        <v>70502</v>
      </c>
      <c r="G31" s="11">
        <v>83998</v>
      </c>
      <c r="H31" s="11">
        <v>154500</v>
      </c>
      <c r="I31" s="11">
        <v>140621</v>
      </c>
    </row>
    <row r="32" spans="1:9" x14ac:dyDescent="0.2">
      <c r="A32" s="10">
        <v>6712</v>
      </c>
      <c r="B32" s="10">
        <v>10</v>
      </c>
      <c r="C32" s="10" t="s">
        <v>338</v>
      </c>
      <c r="D32" s="10">
        <v>1031</v>
      </c>
      <c r="E32" s="10" t="s">
        <v>369</v>
      </c>
      <c r="F32" s="11">
        <v>35777</v>
      </c>
      <c r="G32" s="11">
        <v>40447</v>
      </c>
      <c r="H32" s="11">
        <v>76224</v>
      </c>
      <c r="I32" s="11">
        <v>40867</v>
      </c>
    </row>
    <row r="33" spans="1:9" x14ac:dyDescent="0.2">
      <c r="A33" s="10">
        <v>6712</v>
      </c>
      <c r="B33" s="10">
        <v>10</v>
      </c>
      <c r="C33" s="10" t="s">
        <v>338</v>
      </c>
      <c r="D33" s="10">
        <v>1032</v>
      </c>
      <c r="E33" s="10" t="s">
        <v>370</v>
      </c>
      <c r="F33" s="11">
        <v>86073</v>
      </c>
      <c r="G33" s="11">
        <v>98282</v>
      </c>
      <c r="H33" s="11">
        <v>184355</v>
      </c>
      <c r="I33" s="11">
        <v>97910</v>
      </c>
    </row>
    <row r="34" spans="1:9" x14ac:dyDescent="0.2">
      <c r="A34" s="10">
        <v>6712</v>
      </c>
      <c r="B34" s="10">
        <v>10</v>
      </c>
      <c r="C34" s="10" t="s">
        <v>338</v>
      </c>
      <c r="D34" s="10">
        <v>1033</v>
      </c>
      <c r="E34" s="10" t="s">
        <v>371</v>
      </c>
      <c r="F34" s="11">
        <v>41969</v>
      </c>
      <c r="G34" s="11">
        <v>47044</v>
      </c>
      <c r="H34" s="11">
        <v>89013</v>
      </c>
      <c r="I34" s="11">
        <v>83803</v>
      </c>
    </row>
    <row r="35" spans="1:9" x14ac:dyDescent="0.2">
      <c r="A35" s="10">
        <v>6712</v>
      </c>
      <c r="B35" s="10">
        <v>10</v>
      </c>
      <c r="C35" s="10" t="s">
        <v>338</v>
      </c>
      <c r="D35" s="10">
        <v>1034</v>
      </c>
      <c r="E35" s="10" t="s">
        <v>372</v>
      </c>
      <c r="F35" s="11">
        <v>56013</v>
      </c>
      <c r="G35" s="11">
        <v>67392</v>
      </c>
      <c r="H35" s="11">
        <v>123405</v>
      </c>
      <c r="I35" s="11">
        <v>85646</v>
      </c>
    </row>
    <row r="36" spans="1:9" x14ac:dyDescent="0.2">
      <c r="A36" s="10">
        <v>6712</v>
      </c>
      <c r="B36" s="10">
        <v>10</v>
      </c>
      <c r="C36" s="10" t="s">
        <v>338</v>
      </c>
      <c r="D36" s="10">
        <v>1035</v>
      </c>
      <c r="E36" s="10" t="s">
        <v>373</v>
      </c>
      <c r="F36" s="11">
        <v>65638</v>
      </c>
      <c r="G36" s="11">
        <v>73789</v>
      </c>
      <c r="H36" s="11">
        <v>139427</v>
      </c>
      <c r="I36" s="11">
        <v>74595</v>
      </c>
    </row>
    <row r="37" spans="1:9" x14ac:dyDescent="0.2">
      <c r="A37" s="10">
        <v>6712</v>
      </c>
      <c r="B37" s="10">
        <v>10</v>
      </c>
      <c r="C37" s="10" t="s">
        <v>338</v>
      </c>
      <c r="D37" s="10">
        <v>1036</v>
      </c>
      <c r="E37" s="10" t="s">
        <v>374</v>
      </c>
      <c r="F37" s="11">
        <v>82415</v>
      </c>
      <c r="G37" s="11">
        <v>83632</v>
      </c>
      <c r="H37" s="11">
        <v>166047</v>
      </c>
      <c r="I37" s="11">
        <v>83308</v>
      </c>
    </row>
    <row r="38" spans="1:9" x14ac:dyDescent="0.2">
      <c r="A38" s="10">
        <v>6712</v>
      </c>
      <c r="B38" s="10">
        <v>10</v>
      </c>
      <c r="C38" s="10" t="s">
        <v>338</v>
      </c>
      <c r="D38" s="10">
        <v>1037</v>
      </c>
      <c r="E38" s="10" t="s">
        <v>375</v>
      </c>
      <c r="F38" s="11">
        <v>29553</v>
      </c>
      <c r="G38" s="11">
        <v>33079</v>
      </c>
      <c r="H38" s="11">
        <v>62632</v>
      </c>
      <c r="I38" s="11">
        <v>58075</v>
      </c>
    </row>
    <row r="39" spans="1:9" x14ac:dyDescent="0.2">
      <c r="A39" s="10">
        <v>6712</v>
      </c>
      <c r="B39" s="10">
        <v>10</v>
      </c>
      <c r="C39" s="10" t="s">
        <v>338</v>
      </c>
      <c r="D39" s="10">
        <v>1038</v>
      </c>
      <c r="E39" s="10" t="s">
        <v>376</v>
      </c>
      <c r="F39" s="11">
        <v>50667</v>
      </c>
      <c r="G39" s="11">
        <v>61419</v>
      </c>
      <c r="H39" s="11">
        <v>112086</v>
      </c>
      <c r="I39" s="11">
        <v>60732</v>
      </c>
    </row>
    <row r="40" spans="1:9" x14ac:dyDescent="0.2">
      <c r="A40" s="10">
        <v>6712</v>
      </c>
      <c r="B40" s="10">
        <v>10</v>
      </c>
      <c r="C40" s="10" t="s">
        <v>338</v>
      </c>
      <c r="D40" s="10">
        <v>1039</v>
      </c>
      <c r="E40" s="10" t="s">
        <v>377</v>
      </c>
      <c r="F40" s="11">
        <v>37206</v>
      </c>
      <c r="G40" s="11">
        <v>43066</v>
      </c>
      <c r="H40" s="11">
        <v>80272</v>
      </c>
      <c r="I40" s="11">
        <v>87305</v>
      </c>
    </row>
    <row r="41" spans="1:9" x14ac:dyDescent="0.2">
      <c r="A41" s="10">
        <v>6712</v>
      </c>
      <c r="B41" s="10">
        <v>10</v>
      </c>
      <c r="C41" s="10" t="s">
        <v>338</v>
      </c>
      <c r="D41" s="10">
        <v>1040</v>
      </c>
      <c r="E41" s="10" t="s">
        <v>378</v>
      </c>
      <c r="F41" s="11">
        <v>88757</v>
      </c>
      <c r="G41" s="11">
        <v>103724</v>
      </c>
      <c r="H41" s="11">
        <v>192481</v>
      </c>
      <c r="I41" s="11">
        <v>97890</v>
      </c>
    </row>
    <row r="42" spans="1:9" x14ac:dyDescent="0.2">
      <c r="A42" s="10">
        <v>6712</v>
      </c>
      <c r="B42" s="10">
        <v>10</v>
      </c>
      <c r="C42" s="10" t="s">
        <v>338</v>
      </c>
      <c r="D42" s="10">
        <v>1041</v>
      </c>
      <c r="E42" s="10" t="s">
        <v>379</v>
      </c>
      <c r="F42" s="11">
        <v>46653</v>
      </c>
      <c r="G42" s="11">
        <v>51524</v>
      </c>
      <c r="H42" s="11">
        <v>98177</v>
      </c>
      <c r="I42" s="11">
        <v>62353</v>
      </c>
    </row>
    <row r="43" spans="1:9" x14ac:dyDescent="0.2">
      <c r="A43" s="10">
        <v>6712</v>
      </c>
      <c r="B43" s="10">
        <v>10</v>
      </c>
      <c r="C43" s="10" t="s">
        <v>338</v>
      </c>
      <c r="D43" s="10">
        <v>1042</v>
      </c>
      <c r="E43" s="10" t="s">
        <v>380</v>
      </c>
      <c r="F43" s="11">
        <v>99098</v>
      </c>
      <c r="G43" s="11">
        <v>113477</v>
      </c>
      <c r="H43" s="11">
        <v>212575</v>
      </c>
      <c r="I43" s="11">
        <v>112297</v>
      </c>
    </row>
    <row r="44" spans="1:9" x14ac:dyDescent="0.2">
      <c r="A44" s="10">
        <v>6712</v>
      </c>
      <c r="B44" s="10">
        <v>10</v>
      </c>
      <c r="C44" s="10" t="s">
        <v>338</v>
      </c>
      <c r="D44" s="10">
        <v>1043</v>
      </c>
      <c r="E44" s="10" t="s">
        <v>381</v>
      </c>
      <c r="F44" s="11">
        <v>43668</v>
      </c>
      <c r="G44" s="11">
        <v>50526</v>
      </c>
      <c r="H44" s="11">
        <v>94194</v>
      </c>
      <c r="I44" s="11">
        <v>48118</v>
      </c>
    </row>
    <row r="45" spans="1:9" x14ac:dyDescent="0.2">
      <c r="A45" s="10">
        <v>6712</v>
      </c>
      <c r="B45" s="10">
        <v>10</v>
      </c>
      <c r="C45" s="10" t="s">
        <v>338</v>
      </c>
      <c r="D45" s="10">
        <v>1044</v>
      </c>
      <c r="E45" s="10" t="s">
        <v>382</v>
      </c>
      <c r="F45" s="11">
        <v>44684</v>
      </c>
      <c r="G45" s="11">
        <v>52975</v>
      </c>
      <c r="H45" s="11">
        <v>97659</v>
      </c>
      <c r="I45" s="11">
        <v>43914</v>
      </c>
    </row>
    <row r="46" spans="1:9" x14ac:dyDescent="0.2">
      <c r="A46" s="10">
        <v>6712</v>
      </c>
      <c r="B46" s="10">
        <v>10</v>
      </c>
      <c r="C46" s="10" t="s">
        <v>338</v>
      </c>
      <c r="D46" s="10">
        <v>1045</v>
      </c>
      <c r="E46" s="10" t="s">
        <v>383</v>
      </c>
      <c r="F46" s="11">
        <v>46600</v>
      </c>
      <c r="G46" s="11">
        <v>56456</v>
      </c>
      <c r="H46" s="11">
        <v>103056</v>
      </c>
      <c r="I46" s="11">
        <v>65168</v>
      </c>
    </row>
    <row r="47" spans="1:9" x14ac:dyDescent="0.2">
      <c r="A47" s="10">
        <v>6712</v>
      </c>
      <c r="B47" s="10">
        <v>10</v>
      </c>
      <c r="C47" s="10" t="s">
        <v>338</v>
      </c>
      <c r="D47" s="10">
        <v>1046</v>
      </c>
      <c r="E47" s="10" t="s">
        <v>384</v>
      </c>
      <c r="F47" s="11">
        <v>100401</v>
      </c>
      <c r="G47" s="11">
        <v>113910</v>
      </c>
      <c r="H47" s="11">
        <v>214311</v>
      </c>
      <c r="I47" s="11">
        <v>93955</v>
      </c>
    </row>
    <row r="48" spans="1:9" x14ac:dyDescent="0.2">
      <c r="A48" s="10">
        <v>6712</v>
      </c>
      <c r="B48" s="10">
        <v>10</v>
      </c>
      <c r="C48" s="10" t="s">
        <v>338</v>
      </c>
      <c r="D48" s="10">
        <v>1047</v>
      </c>
      <c r="E48" s="10" t="s">
        <v>385</v>
      </c>
      <c r="F48" s="11">
        <v>39112</v>
      </c>
      <c r="G48" s="11">
        <v>45889</v>
      </c>
      <c r="H48" s="11">
        <v>85001</v>
      </c>
      <c r="I48" s="11">
        <v>78445</v>
      </c>
    </row>
    <row r="49" spans="1:9" x14ac:dyDescent="0.2">
      <c r="A49" s="10">
        <v>6712</v>
      </c>
      <c r="B49" s="10">
        <v>10</v>
      </c>
      <c r="C49" s="10" t="s">
        <v>338</v>
      </c>
      <c r="D49" s="10">
        <v>1048</v>
      </c>
      <c r="E49" s="10" t="s">
        <v>386</v>
      </c>
      <c r="F49" s="11">
        <v>37026</v>
      </c>
      <c r="G49" s="11">
        <v>43323</v>
      </c>
      <c r="H49" s="11">
        <v>80349</v>
      </c>
      <c r="I49" s="11">
        <v>37042</v>
      </c>
    </row>
    <row r="50" spans="1:9" x14ac:dyDescent="0.2">
      <c r="A50" s="10">
        <v>6712</v>
      </c>
      <c r="B50" s="10">
        <v>10</v>
      </c>
      <c r="C50" s="10" t="s">
        <v>338</v>
      </c>
      <c r="D50" s="10">
        <v>1049</v>
      </c>
      <c r="E50" s="10" t="s">
        <v>387</v>
      </c>
      <c r="F50" s="11">
        <v>57702</v>
      </c>
      <c r="G50" s="11">
        <v>66362</v>
      </c>
      <c r="H50" s="11">
        <v>124064</v>
      </c>
      <c r="I50" s="11">
        <v>57688</v>
      </c>
    </row>
    <row r="51" spans="1:9" x14ac:dyDescent="0.2">
      <c r="A51" s="10">
        <v>6712</v>
      </c>
      <c r="B51" s="10">
        <v>10</v>
      </c>
      <c r="C51" s="10" t="s">
        <v>338</v>
      </c>
      <c r="D51" s="10">
        <v>1050</v>
      </c>
      <c r="E51" s="10" t="s">
        <v>388</v>
      </c>
      <c r="F51" s="11">
        <v>47136</v>
      </c>
      <c r="G51" s="11">
        <v>52032</v>
      </c>
      <c r="H51" s="11">
        <v>99168</v>
      </c>
      <c r="I51" s="11">
        <v>53919</v>
      </c>
    </row>
    <row r="52" spans="1:9" x14ac:dyDescent="0.2">
      <c r="A52" s="10">
        <v>6712</v>
      </c>
      <c r="B52" s="10">
        <v>11</v>
      </c>
      <c r="C52" s="10" t="s">
        <v>389</v>
      </c>
      <c r="D52" s="10">
        <v>1101</v>
      </c>
      <c r="E52" s="10" t="s">
        <v>390</v>
      </c>
      <c r="F52" s="11">
        <v>61166</v>
      </c>
      <c r="G52" s="11">
        <v>68415</v>
      </c>
      <c r="H52" s="11">
        <v>129581</v>
      </c>
      <c r="I52" s="11">
        <v>61601</v>
      </c>
    </row>
    <row r="53" spans="1:9" x14ac:dyDescent="0.2">
      <c r="A53" s="10">
        <v>6712</v>
      </c>
      <c r="B53" s="10">
        <v>11</v>
      </c>
      <c r="C53" s="10" t="s">
        <v>389</v>
      </c>
      <c r="D53" s="10">
        <v>1102</v>
      </c>
      <c r="E53" s="10" t="s">
        <v>391</v>
      </c>
      <c r="F53" s="11">
        <v>48301</v>
      </c>
      <c r="G53" s="11">
        <v>51734</v>
      </c>
      <c r="H53" s="11">
        <v>100035</v>
      </c>
      <c r="I53" s="11">
        <v>52769</v>
      </c>
    </row>
    <row r="54" spans="1:9" x14ac:dyDescent="0.2">
      <c r="A54" s="10">
        <v>6712</v>
      </c>
      <c r="B54" s="10">
        <v>11</v>
      </c>
      <c r="C54" s="10" t="s">
        <v>389</v>
      </c>
      <c r="D54" s="10">
        <v>1103</v>
      </c>
      <c r="E54" s="10" t="s">
        <v>392</v>
      </c>
      <c r="F54" s="11">
        <v>133427</v>
      </c>
      <c r="G54" s="11">
        <v>152067</v>
      </c>
      <c r="H54" s="11">
        <v>285494</v>
      </c>
      <c r="I54" s="11">
        <v>192624</v>
      </c>
    </row>
    <row r="55" spans="1:9" x14ac:dyDescent="0.2">
      <c r="A55" s="10">
        <v>6712</v>
      </c>
      <c r="B55" s="10">
        <v>11</v>
      </c>
      <c r="C55" s="10" t="s">
        <v>389</v>
      </c>
      <c r="D55" s="10">
        <v>1104</v>
      </c>
      <c r="E55" s="10" t="s">
        <v>393</v>
      </c>
      <c r="F55" s="11">
        <v>17857</v>
      </c>
      <c r="G55" s="11">
        <v>19426</v>
      </c>
      <c r="H55" s="11">
        <v>37283</v>
      </c>
      <c r="I55" s="11">
        <v>13733</v>
      </c>
    </row>
    <row r="56" spans="1:9" x14ac:dyDescent="0.2">
      <c r="A56" s="10">
        <v>6712</v>
      </c>
      <c r="B56" s="10">
        <v>11</v>
      </c>
      <c r="C56" s="10" t="s">
        <v>389</v>
      </c>
      <c r="D56" s="10">
        <v>1105</v>
      </c>
      <c r="E56" s="10" t="s">
        <v>394</v>
      </c>
      <c r="F56" s="11">
        <v>60736</v>
      </c>
      <c r="G56" s="11">
        <v>66527</v>
      </c>
      <c r="H56" s="11">
        <v>127263</v>
      </c>
      <c r="I56" s="11">
        <v>61264</v>
      </c>
    </row>
    <row r="57" spans="1:9" x14ac:dyDescent="0.2">
      <c r="A57" s="10">
        <v>6712</v>
      </c>
      <c r="B57" s="10">
        <v>11</v>
      </c>
      <c r="C57" s="10" t="s">
        <v>389</v>
      </c>
      <c r="D57" s="10">
        <v>1106</v>
      </c>
      <c r="E57" s="10" t="s">
        <v>395</v>
      </c>
      <c r="F57" s="11">
        <v>30437</v>
      </c>
      <c r="G57" s="11">
        <v>33064</v>
      </c>
      <c r="H57" s="11">
        <v>63501</v>
      </c>
      <c r="I57" s="11">
        <v>48202</v>
      </c>
    </row>
    <row r="58" spans="1:9" x14ac:dyDescent="0.2">
      <c r="A58" s="10">
        <v>6712</v>
      </c>
      <c r="B58" s="10">
        <v>11</v>
      </c>
      <c r="C58" s="10" t="s">
        <v>389</v>
      </c>
      <c r="D58" s="10">
        <v>1183</v>
      </c>
      <c r="E58" s="10" t="s">
        <v>396</v>
      </c>
      <c r="F58" s="11">
        <v>19139</v>
      </c>
      <c r="G58" s="11">
        <v>22020</v>
      </c>
      <c r="H58" s="11">
        <v>41159</v>
      </c>
      <c r="I58" s="11">
        <v>17887</v>
      </c>
    </row>
    <row r="59" spans="1:9" x14ac:dyDescent="0.2">
      <c r="A59" s="10">
        <v>6712</v>
      </c>
      <c r="B59" s="10">
        <v>11</v>
      </c>
      <c r="C59" s="10" t="s">
        <v>389</v>
      </c>
      <c r="D59" s="10">
        <v>1184</v>
      </c>
      <c r="E59" s="10" t="s">
        <v>397</v>
      </c>
      <c r="F59" s="11">
        <v>9566</v>
      </c>
      <c r="G59" s="11">
        <v>10654</v>
      </c>
      <c r="H59" s="11">
        <v>20220</v>
      </c>
      <c r="I59" s="11">
        <v>18771</v>
      </c>
    </row>
    <row r="60" spans="1:9" x14ac:dyDescent="0.2">
      <c r="A60" s="10">
        <v>6712</v>
      </c>
      <c r="B60" s="10">
        <v>11</v>
      </c>
      <c r="C60" s="10" t="s">
        <v>389</v>
      </c>
      <c r="D60" s="10">
        <v>1185</v>
      </c>
      <c r="E60" s="10" t="s">
        <v>398</v>
      </c>
      <c r="F60" s="11">
        <v>10700</v>
      </c>
      <c r="G60" s="11">
        <v>11358</v>
      </c>
      <c r="H60" s="11">
        <v>22058</v>
      </c>
      <c r="I60" s="11">
        <v>9612</v>
      </c>
    </row>
    <row r="61" spans="1:9" x14ac:dyDescent="0.2">
      <c r="A61" s="10">
        <v>6712</v>
      </c>
      <c r="B61" s="10">
        <v>11</v>
      </c>
      <c r="C61" s="10" t="s">
        <v>389</v>
      </c>
      <c r="D61" s="10">
        <v>1186</v>
      </c>
      <c r="E61" s="10" t="s">
        <v>399</v>
      </c>
      <c r="F61" s="11">
        <v>5441</v>
      </c>
      <c r="G61" s="11">
        <v>5681</v>
      </c>
      <c r="H61" s="11">
        <v>11122</v>
      </c>
      <c r="I61" s="11">
        <v>5764</v>
      </c>
    </row>
    <row r="62" spans="1:9" x14ac:dyDescent="0.2">
      <c r="A62" s="10">
        <v>6712</v>
      </c>
      <c r="B62" s="10">
        <v>11</v>
      </c>
      <c r="C62" s="10" t="s">
        <v>389</v>
      </c>
      <c r="D62" s="10">
        <v>1187</v>
      </c>
      <c r="E62" s="10" t="s">
        <v>400</v>
      </c>
      <c r="F62" s="11">
        <v>5358</v>
      </c>
      <c r="G62" s="11">
        <v>5382</v>
      </c>
      <c r="H62" s="11">
        <v>10740</v>
      </c>
      <c r="I62" s="11">
        <v>2252</v>
      </c>
    </row>
    <row r="63" spans="1:9" x14ac:dyDescent="0.2">
      <c r="A63" s="10">
        <v>6712</v>
      </c>
      <c r="B63" s="10">
        <v>11</v>
      </c>
      <c r="C63" s="10" t="s">
        <v>389</v>
      </c>
      <c r="D63" s="10">
        <v>1188</v>
      </c>
      <c r="E63" s="10" t="s">
        <v>401</v>
      </c>
      <c r="F63" s="11">
        <v>3087</v>
      </c>
      <c r="G63" s="11">
        <v>3393</v>
      </c>
      <c r="H63" s="11">
        <v>6480</v>
      </c>
      <c r="I63" s="11">
        <v>2520</v>
      </c>
    </row>
    <row r="64" spans="1:9" x14ac:dyDescent="0.2">
      <c r="A64" s="10">
        <v>6712</v>
      </c>
      <c r="B64" s="10">
        <v>11</v>
      </c>
      <c r="C64" s="10" t="s">
        <v>389</v>
      </c>
      <c r="D64" s="10">
        <v>1189</v>
      </c>
      <c r="E64" s="10" t="s">
        <v>402</v>
      </c>
      <c r="F64" s="11">
        <v>1368</v>
      </c>
      <c r="G64" s="11">
        <v>1420</v>
      </c>
      <c r="H64" s="11">
        <v>2788</v>
      </c>
      <c r="I64" s="10">
        <v>928</v>
      </c>
    </row>
    <row r="65" spans="1:9" x14ac:dyDescent="0.2">
      <c r="A65" s="10">
        <v>6712</v>
      </c>
      <c r="B65" s="10">
        <v>11</v>
      </c>
      <c r="C65" s="10" t="s">
        <v>389</v>
      </c>
      <c r="D65" s="10">
        <v>1190</v>
      </c>
      <c r="E65" s="10" t="s">
        <v>403</v>
      </c>
      <c r="F65" s="11">
        <v>5388</v>
      </c>
      <c r="G65" s="11">
        <v>5663</v>
      </c>
      <c r="H65" s="11">
        <v>11051</v>
      </c>
      <c r="I65" s="11">
        <v>3327</v>
      </c>
    </row>
    <row r="66" spans="1:9" x14ac:dyDescent="0.2">
      <c r="A66" s="10">
        <v>6712</v>
      </c>
      <c r="B66" s="10">
        <v>11</v>
      </c>
      <c r="C66" s="10" t="s">
        <v>389</v>
      </c>
      <c r="D66" s="10">
        <v>1191</v>
      </c>
      <c r="E66" s="10" t="s">
        <v>404</v>
      </c>
      <c r="F66" s="11">
        <v>57311</v>
      </c>
      <c r="G66" s="11">
        <v>62508</v>
      </c>
      <c r="H66" s="11">
        <v>119819</v>
      </c>
      <c r="I66" s="11">
        <v>62862</v>
      </c>
    </row>
    <row r="67" spans="1:9" x14ac:dyDescent="0.2">
      <c r="A67" s="10">
        <v>6712</v>
      </c>
      <c r="B67" s="10">
        <v>11</v>
      </c>
      <c r="C67" s="10" t="s">
        <v>389</v>
      </c>
      <c r="D67" s="10">
        <v>1192</v>
      </c>
      <c r="E67" s="10" t="s">
        <v>405</v>
      </c>
      <c r="F67" s="11">
        <v>12070</v>
      </c>
      <c r="G67" s="11">
        <v>13823</v>
      </c>
      <c r="H67" s="11">
        <v>25893</v>
      </c>
      <c r="I67" s="11">
        <v>15843</v>
      </c>
    </row>
    <row r="68" spans="1:9" x14ac:dyDescent="0.2">
      <c r="A68" s="10">
        <v>6712</v>
      </c>
      <c r="B68" s="10">
        <v>11</v>
      </c>
      <c r="C68" s="10" t="s">
        <v>389</v>
      </c>
      <c r="D68" s="10">
        <v>1193</v>
      </c>
      <c r="E68" s="10" t="s">
        <v>406</v>
      </c>
      <c r="F68" s="11">
        <v>44467</v>
      </c>
      <c r="G68" s="11">
        <v>51284</v>
      </c>
      <c r="H68" s="11">
        <v>95751</v>
      </c>
      <c r="I68" s="11">
        <v>50820</v>
      </c>
    </row>
    <row r="69" spans="1:9" x14ac:dyDescent="0.2">
      <c r="A69" s="10">
        <v>6712</v>
      </c>
      <c r="B69" s="10">
        <v>11</v>
      </c>
      <c r="C69" s="10" t="s">
        <v>389</v>
      </c>
      <c r="D69" s="10">
        <v>1194</v>
      </c>
      <c r="E69" s="10" t="s">
        <v>407</v>
      </c>
      <c r="F69" s="11">
        <v>24941</v>
      </c>
      <c r="G69" s="11">
        <v>28638</v>
      </c>
      <c r="H69" s="11">
        <v>53579</v>
      </c>
      <c r="I69" s="11">
        <v>29381</v>
      </c>
    </row>
    <row r="70" spans="1:9" x14ac:dyDescent="0.2">
      <c r="A70" s="10">
        <v>6712</v>
      </c>
      <c r="B70" s="10">
        <v>11</v>
      </c>
      <c r="C70" s="10" t="s">
        <v>389</v>
      </c>
      <c r="D70" s="10">
        <v>1195</v>
      </c>
      <c r="E70" s="10" t="s">
        <v>408</v>
      </c>
      <c r="F70" s="11">
        <v>32662</v>
      </c>
      <c r="G70" s="11">
        <v>34961</v>
      </c>
      <c r="H70" s="11">
        <v>67623</v>
      </c>
      <c r="I70" s="11">
        <v>36471</v>
      </c>
    </row>
    <row r="71" spans="1:9" x14ac:dyDescent="0.2">
      <c r="A71" s="10">
        <v>6712</v>
      </c>
      <c r="B71" s="10">
        <v>11</v>
      </c>
      <c r="C71" s="10" t="s">
        <v>389</v>
      </c>
      <c r="D71" s="10">
        <v>1196</v>
      </c>
      <c r="E71" s="10" t="s">
        <v>409</v>
      </c>
      <c r="F71" s="11">
        <v>13772</v>
      </c>
      <c r="G71" s="11">
        <v>16775</v>
      </c>
      <c r="H71" s="11">
        <v>30547</v>
      </c>
      <c r="I71" s="11">
        <v>31575</v>
      </c>
    </row>
    <row r="72" spans="1:9" x14ac:dyDescent="0.2">
      <c r="A72" s="10">
        <v>6712</v>
      </c>
      <c r="B72" s="10">
        <v>11</v>
      </c>
      <c r="C72" s="10" t="s">
        <v>389</v>
      </c>
      <c r="D72" s="10">
        <v>1197</v>
      </c>
      <c r="E72" s="10" t="s">
        <v>410</v>
      </c>
      <c r="F72" s="11">
        <v>31356</v>
      </c>
      <c r="G72" s="11">
        <v>34584</v>
      </c>
      <c r="H72" s="11">
        <v>65940</v>
      </c>
      <c r="I72" s="11">
        <v>38716</v>
      </c>
    </row>
    <row r="73" spans="1:9" x14ac:dyDescent="0.2">
      <c r="A73" s="10">
        <v>6712</v>
      </c>
      <c r="B73" s="10">
        <v>11</v>
      </c>
      <c r="C73" s="10" t="s">
        <v>389</v>
      </c>
      <c r="D73" s="10">
        <v>1198</v>
      </c>
      <c r="E73" s="10" t="s">
        <v>411</v>
      </c>
      <c r="F73" s="11">
        <v>3836</v>
      </c>
      <c r="G73" s="11">
        <v>4128</v>
      </c>
      <c r="H73" s="11">
        <v>7964</v>
      </c>
      <c r="I73" s="11">
        <v>2187</v>
      </c>
    </row>
    <row r="74" spans="1:9" x14ac:dyDescent="0.2">
      <c r="A74" s="10">
        <v>6712</v>
      </c>
      <c r="B74" s="10">
        <v>11</v>
      </c>
      <c r="C74" s="10" t="s">
        <v>389</v>
      </c>
      <c r="D74" s="10">
        <v>1199</v>
      </c>
      <c r="E74" s="10" t="s">
        <v>412</v>
      </c>
      <c r="F74" s="11">
        <v>21671</v>
      </c>
      <c r="G74" s="11">
        <v>23264</v>
      </c>
      <c r="H74" s="11">
        <v>44935</v>
      </c>
      <c r="I74" s="11">
        <v>24121</v>
      </c>
    </row>
    <row r="75" spans="1:9" x14ac:dyDescent="0.2">
      <c r="A75" s="10">
        <v>6712</v>
      </c>
      <c r="B75" s="10">
        <v>12</v>
      </c>
      <c r="C75" s="10" t="s">
        <v>413</v>
      </c>
      <c r="D75" s="10">
        <v>1201</v>
      </c>
      <c r="E75" s="10" t="s">
        <v>414</v>
      </c>
      <c r="F75" s="11">
        <v>27551</v>
      </c>
      <c r="G75" s="11">
        <v>32083</v>
      </c>
      <c r="H75" s="11">
        <v>59634</v>
      </c>
      <c r="I75" s="11">
        <v>32547</v>
      </c>
    </row>
    <row r="76" spans="1:9" x14ac:dyDescent="0.2">
      <c r="A76" s="10">
        <v>6712</v>
      </c>
      <c r="B76" s="10">
        <v>12</v>
      </c>
      <c r="C76" s="10" t="s">
        <v>413</v>
      </c>
      <c r="D76" s="10">
        <v>1202</v>
      </c>
      <c r="E76" s="10" t="s">
        <v>415</v>
      </c>
      <c r="F76" s="11">
        <v>16983</v>
      </c>
      <c r="G76" s="11">
        <v>20085</v>
      </c>
      <c r="H76" s="11">
        <v>37068</v>
      </c>
      <c r="I76" s="11">
        <v>21583</v>
      </c>
    </row>
    <row r="77" spans="1:9" x14ac:dyDescent="0.2">
      <c r="A77" s="10">
        <v>6712</v>
      </c>
      <c r="B77" s="10">
        <v>12</v>
      </c>
      <c r="C77" s="10" t="s">
        <v>413</v>
      </c>
      <c r="D77" s="10">
        <v>1203</v>
      </c>
      <c r="E77" s="10" t="s">
        <v>416</v>
      </c>
      <c r="F77" s="11">
        <v>52035</v>
      </c>
      <c r="G77" s="11">
        <v>60762</v>
      </c>
      <c r="H77" s="11">
        <v>112797</v>
      </c>
      <c r="I77" s="11">
        <v>57746</v>
      </c>
    </row>
    <row r="78" spans="1:9" x14ac:dyDescent="0.2">
      <c r="A78" s="10">
        <v>6712</v>
      </c>
      <c r="B78" s="10">
        <v>12</v>
      </c>
      <c r="C78" s="10" t="s">
        <v>413</v>
      </c>
      <c r="D78" s="10">
        <v>1204</v>
      </c>
      <c r="E78" s="10" t="s">
        <v>417</v>
      </c>
      <c r="F78" s="11">
        <v>71049</v>
      </c>
      <c r="G78" s="11">
        <v>81309</v>
      </c>
      <c r="H78" s="11">
        <v>152358</v>
      </c>
      <c r="I78" s="11">
        <v>87928</v>
      </c>
    </row>
    <row r="79" spans="1:9" x14ac:dyDescent="0.2">
      <c r="A79" s="10">
        <v>6712</v>
      </c>
      <c r="B79" s="10">
        <v>12</v>
      </c>
      <c r="C79" s="10" t="s">
        <v>413</v>
      </c>
      <c r="D79" s="10">
        <v>1205</v>
      </c>
      <c r="E79" s="10" t="s">
        <v>418</v>
      </c>
      <c r="F79" s="11">
        <v>35700</v>
      </c>
      <c r="G79" s="11">
        <v>39636</v>
      </c>
      <c r="H79" s="11">
        <v>75336</v>
      </c>
      <c r="I79" s="11">
        <v>37897</v>
      </c>
    </row>
    <row r="80" spans="1:9" x14ac:dyDescent="0.2">
      <c r="A80" s="10">
        <v>6712</v>
      </c>
      <c r="B80" s="10">
        <v>12</v>
      </c>
      <c r="C80" s="10" t="s">
        <v>413</v>
      </c>
      <c r="D80" s="10">
        <v>1206</v>
      </c>
      <c r="E80" s="10" t="s">
        <v>419</v>
      </c>
      <c r="F80" s="11">
        <v>25423</v>
      </c>
      <c r="G80" s="11">
        <v>28622</v>
      </c>
      <c r="H80" s="11">
        <v>54045</v>
      </c>
      <c r="I80" s="11">
        <v>27816</v>
      </c>
    </row>
    <row r="81" spans="1:9" x14ac:dyDescent="0.2">
      <c r="A81" s="10">
        <v>6712</v>
      </c>
      <c r="B81" s="10">
        <v>12</v>
      </c>
      <c r="C81" s="10" t="s">
        <v>413</v>
      </c>
      <c r="D81" s="10">
        <v>1285</v>
      </c>
      <c r="E81" s="10" t="s">
        <v>420</v>
      </c>
      <c r="F81" s="11">
        <v>19010</v>
      </c>
      <c r="G81" s="11">
        <v>22221</v>
      </c>
      <c r="H81" s="11">
        <v>41231</v>
      </c>
      <c r="I81" s="11">
        <v>17483</v>
      </c>
    </row>
    <row r="82" spans="1:9" x14ac:dyDescent="0.2">
      <c r="A82" s="10">
        <v>6712</v>
      </c>
      <c r="B82" s="10">
        <v>12</v>
      </c>
      <c r="C82" s="10" t="s">
        <v>413</v>
      </c>
      <c r="D82" s="10">
        <v>1286</v>
      </c>
      <c r="E82" s="10" t="s">
        <v>421</v>
      </c>
      <c r="F82" s="11">
        <v>18241</v>
      </c>
      <c r="G82" s="11">
        <v>22123</v>
      </c>
      <c r="H82" s="11">
        <v>40364</v>
      </c>
      <c r="I82" s="11">
        <v>27183</v>
      </c>
    </row>
    <row r="83" spans="1:9" x14ac:dyDescent="0.2">
      <c r="A83" s="10">
        <v>6712</v>
      </c>
      <c r="B83" s="10">
        <v>12</v>
      </c>
      <c r="C83" s="10" t="s">
        <v>413</v>
      </c>
      <c r="D83" s="10">
        <v>1287</v>
      </c>
      <c r="E83" s="10" t="s">
        <v>422</v>
      </c>
      <c r="F83" s="11">
        <v>5654</v>
      </c>
      <c r="G83" s="11">
        <v>6530</v>
      </c>
      <c r="H83" s="11">
        <v>12184</v>
      </c>
      <c r="I83" s="11">
        <v>7024</v>
      </c>
    </row>
    <row r="84" spans="1:9" x14ac:dyDescent="0.2">
      <c r="A84" s="10">
        <v>6712</v>
      </c>
      <c r="B84" s="10">
        <v>12</v>
      </c>
      <c r="C84" s="10" t="s">
        <v>413</v>
      </c>
      <c r="D84" s="10">
        <v>1288</v>
      </c>
      <c r="E84" s="10" t="s">
        <v>423</v>
      </c>
      <c r="F84" s="11">
        <v>23889</v>
      </c>
      <c r="G84" s="11">
        <v>28185</v>
      </c>
      <c r="H84" s="11">
        <v>52074</v>
      </c>
      <c r="I84" s="11">
        <v>25259</v>
      </c>
    </row>
    <row r="85" spans="1:9" x14ac:dyDescent="0.2">
      <c r="A85" s="10">
        <v>6712</v>
      </c>
      <c r="B85" s="10">
        <v>12</v>
      </c>
      <c r="C85" s="10" t="s">
        <v>413</v>
      </c>
      <c r="D85" s="10">
        <v>1289</v>
      </c>
      <c r="E85" s="10" t="s">
        <v>424</v>
      </c>
      <c r="F85" s="11">
        <v>11408</v>
      </c>
      <c r="G85" s="11">
        <v>13521</v>
      </c>
      <c r="H85" s="11">
        <v>24929</v>
      </c>
      <c r="I85" s="11">
        <v>13668</v>
      </c>
    </row>
    <row r="86" spans="1:9" x14ac:dyDescent="0.2">
      <c r="A86" s="10">
        <v>6712</v>
      </c>
      <c r="B86" s="10">
        <v>12</v>
      </c>
      <c r="C86" s="10" t="s">
        <v>413</v>
      </c>
      <c r="D86" s="10">
        <v>1290</v>
      </c>
      <c r="E86" s="10" t="s">
        <v>425</v>
      </c>
      <c r="F86" s="11">
        <v>11264</v>
      </c>
      <c r="G86" s="11">
        <v>13370</v>
      </c>
      <c r="H86" s="11">
        <v>24634</v>
      </c>
      <c r="I86" s="11">
        <v>16101</v>
      </c>
    </row>
    <row r="87" spans="1:9" x14ac:dyDescent="0.2">
      <c r="A87" s="10">
        <v>6712</v>
      </c>
      <c r="B87" s="10">
        <v>12</v>
      </c>
      <c r="C87" s="10" t="s">
        <v>413</v>
      </c>
      <c r="D87" s="10">
        <v>1291</v>
      </c>
      <c r="E87" s="10" t="s">
        <v>426</v>
      </c>
      <c r="F87" s="11">
        <v>1294</v>
      </c>
      <c r="G87" s="11">
        <v>1305</v>
      </c>
      <c r="H87" s="11">
        <v>2599</v>
      </c>
      <c r="I87" s="11">
        <v>1237</v>
      </c>
    </row>
    <row r="88" spans="1:9" x14ac:dyDescent="0.2">
      <c r="A88" s="10">
        <v>6712</v>
      </c>
      <c r="B88" s="10">
        <v>12</v>
      </c>
      <c r="C88" s="10" t="s">
        <v>413</v>
      </c>
      <c r="D88" s="10">
        <v>1292</v>
      </c>
      <c r="E88" s="10" t="s">
        <v>427</v>
      </c>
      <c r="F88" s="11">
        <v>6621</v>
      </c>
      <c r="G88" s="11">
        <v>7376</v>
      </c>
      <c r="H88" s="11">
        <v>13997</v>
      </c>
      <c r="I88" s="11">
        <v>6572</v>
      </c>
    </row>
    <row r="89" spans="1:9" x14ac:dyDescent="0.2">
      <c r="A89" s="10">
        <v>6712</v>
      </c>
      <c r="B89" s="10">
        <v>12</v>
      </c>
      <c r="C89" s="10" t="s">
        <v>413</v>
      </c>
      <c r="D89" s="10">
        <v>1293</v>
      </c>
      <c r="E89" s="10" t="s">
        <v>428</v>
      </c>
      <c r="F89" s="11">
        <v>2932</v>
      </c>
      <c r="G89" s="11">
        <v>3071</v>
      </c>
      <c r="H89" s="11">
        <v>6003</v>
      </c>
      <c r="I89" s="11">
        <v>2847</v>
      </c>
    </row>
    <row r="90" spans="1:9" x14ac:dyDescent="0.2">
      <c r="A90" s="10">
        <v>6712</v>
      </c>
      <c r="B90" s="10">
        <v>12</v>
      </c>
      <c r="C90" s="10" t="s">
        <v>413</v>
      </c>
      <c r="D90" s="10">
        <v>1294</v>
      </c>
      <c r="E90" s="10" t="s">
        <v>429</v>
      </c>
      <c r="F90" s="11">
        <v>22198</v>
      </c>
      <c r="G90" s="11">
        <v>26310</v>
      </c>
      <c r="H90" s="11">
        <v>48508</v>
      </c>
      <c r="I90" s="11">
        <v>24758</v>
      </c>
    </row>
    <row r="91" spans="1:9" x14ac:dyDescent="0.2">
      <c r="A91" s="10">
        <v>6712</v>
      </c>
      <c r="B91" s="10">
        <v>12</v>
      </c>
      <c r="C91" s="10" t="s">
        <v>413</v>
      </c>
      <c r="D91" s="10">
        <v>1295</v>
      </c>
      <c r="E91" s="10" t="s">
        <v>430</v>
      </c>
      <c r="F91" s="11">
        <v>15241</v>
      </c>
      <c r="G91" s="11">
        <v>17920</v>
      </c>
      <c r="H91" s="11">
        <v>33161</v>
      </c>
      <c r="I91" s="11">
        <v>13922</v>
      </c>
    </row>
    <row r="92" spans="1:9" x14ac:dyDescent="0.2">
      <c r="A92" s="10">
        <v>6712</v>
      </c>
      <c r="B92" s="10">
        <v>12</v>
      </c>
      <c r="C92" s="10" t="s">
        <v>413</v>
      </c>
      <c r="D92" s="10">
        <v>1296</v>
      </c>
      <c r="E92" s="10" t="s">
        <v>431</v>
      </c>
      <c r="F92" s="11">
        <v>20294</v>
      </c>
      <c r="G92" s="11">
        <v>24158</v>
      </c>
      <c r="H92" s="11">
        <v>44452</v>
      </c>
      <c r="I92" s="11">
        <v>23084</v>
      </c>
    </row>
    <row r="93" spans="1:9" x14ac:dyDescent="0.2">
      <c r="A93" s="10">
        <v>6712</v>
      </c>
      <c r="B93" s="10">
        <v>12</v>
      </c>
      <c r="C93" s="10" t="s">
        <v>413</v>
      </c>
      <c r="D93" s="10">
        <v>1297</v>
      </c>
      <c r="E93" s="10" t="s">
        <v>432</v>
      </c>
      <c r="F93" s="11">
        <v>86885</v>
      </c>
      <c r="G93" s="11">
        <v>101978</v>
      </c>
      <c r="H93" s="11">
        <v>188863</v>
      </c>
      <c r="I93" s="11">
        <v>141775</v>
      </c>
    </row>
    <row r="94" spans="1:9" x14ac:dyDescent="0.2">
      <c r="A94" s="10">
        <v>6712</v>
      </c>
      <c r="B94" s="10">
        <v>12</v>
      </c>
      <c r="C94" s="10" t="s">
        <v>413</v>
      </c>
      <c r="D94" s="10">
        <v>1298</v>
      </c>
      <c r="E94" s="10" t="s">
        <v>433</v>
      </c>
      <c r="F94" s="11">
        <v>23979</v>
      </c>
      <c r="G94" s="11">
        <v>28520</v>
      </c>
      <c r="H94" s="11">
        <v>52499</v>
      </c>
      <c r="I94" s="11">
        <v>27957</v>
      </c>
    </row>
    <row r="95" spans="1:9" x14ac:dyDescent="0.2">
      <c r="A95" s="10">
        <v>6712</v>
      </c>
      <c r="B95" s="10">
        <v>12</v>
      </c>
      <c r="C95" s="10" t="s">
        <v>413</v>
      </c>
      <c r="D95" s="10">
        <v>1299</v>
      </c>
      <c r="E95" s="10" t="s">
        <v>434</v>
      </c>
      <c r="F95" s="11">
        <v>112071</v>
      </c>
      <c r="G95" s="11">
        <v>129112</v>
      </c>
      <c r="H95" s="11">
        <v>241183</v>
      </c>
      <c r="I95" s="11">
        <v>153834</v>
      </c>
    </row>
    <row r="96" spans="1:9" x14ac:dyDescent="0.2">
      <c r="A96" s="10">
        <v>6712</v>
      </c>
      <c r="B96" s="10">
        <v>13</v>
      </c>
      <c r="C96" s="10" t="s">
        <v>435</v>
      </c>
      <c r="D96" s="10">
        <v>1301</v>
      </c>
      <c r="E96" s="10" t="s">
        <v>436</v>
      </c>
      <c r="F96" s="11">
        <v>49341</v>
      </c>
      <c r="G96" s="11">
        <v>54354</v>
      </c>
      <c r="H96" s="11">
        <v>103695</v>
      </c>
      <c r="I96" s="11">
        <v>53829</v>
      </c>
    </row>
    <row r="97" spans="1:9" x14ac:dyDescent="0.2">
      <c r="A97" s="10">
        <v>6712</v>
      </c>
      <c r="B97" s="10">
        <v>13</v>
      </c>
      <c r="C97" s="10" t="s">
        <v>435</v>
      </c>
      <c r="D97" s="10">
        <v>1302</v>
      </c>
      <c r="E97" s="10" t="s">
        <v>437</v>
      </c>
      <c r="F97" s="11">
        <v>74503</v>
      </c>
      <c r="G97" s="11">
        <v>82914</v>
      </c>
      <c r="H97" s="11">
        <v>157417</v>
      </c>
      <c r="I97" s="11">
        <v>79158</v>
      </c>
    </row>
    <row r="98" spans="1:9" x14ac:dyDescent="0.2">
      <c r="A98" s="10">
        <v>6712</v>
      </c>
      <c r="B98" s="10">
        <v>13</v>
      </c>
      <c r="C98" s="10" t="s">
        <v>435</v>
      </c>
      <c r="D98" s="10">
        <v>1304</v>
      </c>
      <c r="E98" s="10" t="s">
        <v>438</v>
      </c>
      <c r="F98" s="11">
        <v>26334</v>
      </c>
      <c r="G98" s="11">
        <v>26896</v>
      </c>
      <c r="H98" s="11">
        <v>53230</v>
      </c>
      <c r="I98" s="11">
        <v>18370</v>
      </c>
    </row>
    <row r="99" spans="1:9" x14ac:dyDescent="0.2">
      <c r="A99" s="10">
        <v>6712</v>
      </c>
      <c r="B99" s="10">
        <v>13</v>
      </c>
      <c r="C99" s="10" t="s">
        <v>435</v>
      </c>
      <c r="D99" s="10">
        <v>1305</v>
      </c>
      <c r="E99" s="10" t="s">
        <v>439</v>
      </c>
      <c r="F99" s="11">
        <v>30143</v>
      </c>
      <c r="G99" s="11">
        <v>31837</v>
      </c>
      <c r="H99" s="11">
        <v>61980</v>
      </c>
      <c r="I99" s="11">
        <v>32552</v>
      </c>
    </row>
    <row r="100" spans="1:9" x14ac:dyDescent="0.2">
      <c r="A100" s="10">
        <v>6712</v>
      </c>
      <c r="B100" s="10">
        <v>13</v>
      </c>
      <c r="C100" s="10" t="s">
        <v>435</v>
      </c>
      <c r="D100" s="10">
        <v>1306</v>
      </c>
      <c r="E100" s="10" t="s">
        <v>440</v>
      </c>
      <c r="F100" s="11">
        <v>44499</v>
      </c>
      <c r="G100" s="11">
        <v>47784</v>
      </c>
      <c r="H100" s="11">
        <v>92283</v>
      </c>
      <c r="I100" s="11">
        <v>47687</v>
      </c>
    </row>
    <row r="101" spans="1:9" x14ac:dyDescent="0.2">
      <c r="A101" s="10">
        <v>6712</v>
      </c>
      <c r="B101" s="10">
        <v>13</v>
      </c>
      <c r="C101" s="10" t="s">
        <v>435</v>
      </c>
      <c r="D101" s="10">
        <v>1307</v>
      </c>
      <c r="E101" s="10" t="s">
        <v>441</v>
      </c>
      <c r="F101" s="11">
        <v>22500</v>
      </c>
      <c r="G101" s="11">
        <v>24085</v>
      </c>
      <c r="H101" s="11">
        <v>46585</v>
      </c>
      <c r="I101" s="11">
        <v>21923</v>
      </c>
    </row>
    <row r="102" spans="1:9" x14ac:dyDescent="0.2">
      <c r="A102" s="10">
        <v>6712</v>
      </c>
      <c r="B102" s="10">
        <v>13</v>
      </c>
      <c r="C102" s="10" t="s">
        <v>435</v>
      </c>
      <c r="D102" s="10">
        <v>1379</v>
      </c>
      <c r="E102" s="10" t="s">
        <v>442</v>
      </c>
      <c r="F102" s="11">
        <v>34392</v>
      </c>
      <c r="G102" s="11">
        <v>39735</v>
      </c>
      <c r="H102" s="11">
        <v>74127</v>
      </c>
      <c r="I102" s="11">
        <v>43060</v>
      </c>
    </row>
    <row r="103" spans="1:9" x14ac:dyDescent="0.2">
      <c r="A103" s="10">
        <v>6712</v>
      </c>
      <c r="B103" s="10">
        <v>13</v>
      </c>
      <c r="C103" s="10" t="s">
        <v>435</v>
      </c>
      <c r="D103" s="10">
        <v>1380</v>
      </c>
      <c r="E103" s="10" t="s">
        <v>443</v>
      </c>
      <c r="F103" s="11">
        <v>12562</v>
      </c>
      <c r="G103" s="11">
        <v>14183</v>
      </c>
      <c r="H103" s="11">
        <v>26745</v>
      </c>
      <c r="I103" s="11">
        <v>22598</v>
      </c>
    </row>
    <row r="104" spans="1:9" x14ac:dyDescent="0.2">
      <c r="A104" s="10">
        <v>6712</v>
      </c>
      <c r="B104" s="10">
        <v>13</v>
      </c>
      <c r="C104" s="10" t="s">
        <v>435</v>
      </c>
      <c r="D104" s="10">
        <v>1381</v>
      </c>
      <c r="E104" s="10" t="s">
        <v>444</v>
      </c>
      <c r="F104" s="11">
        <v>6278</v>
      </c>
      <c r="G104" s="11">
        <v>7143</v>
      </c>
      <c r="H104" s="11">
        <v>13421</v>
      </c>
      <c r="I104" s="11">
        <v>7614</v>
      </c>
    </row>
    <row r="105" spans="1:9" x14ac:dyDescent="0.2">
      <c r="A105" s="10">
        <v>6712</v>
      </c>
      <c r="B105" s="10">
        <v>13</v>
      </c>
      <c r="C105" s="10" t="s">
        <v>435</v>
      </c>
      <c r="D105" s="10">
        <v>1382</v>
      </c>
      <c r="E105" s="10" t="s">
        <v>445</v>
      </c>
      <c r="F105" s="11">
        <v>30376</v>
      </c>
      <c r="G105" s="11">
        <v>35368</v>
      </c>
      <c r="H105" s="11">
        <v>65744</v>
      </c>
      <c r="I105" s="11">
        <v>34215</v>
      </c>
    </row>
    <row r="106" spans="1:9" x14ac:dyDescent="0.2">
      <c r="A106" s="10">
        <v>6712</v>
      </c>
      <c r="B106" s="10">
        <v>13</v>
      </c>
      <c r="C106" s="10" t="s">
        <v>435</v>
      </c>
      <c r="D106" s="10">
        <v>1383</v>
      </c>
      <c r="E106" s="10" t="s">
        <v>446</v>
      </c>
      <c r="F106" s="11">
        <v>15493</v>
      </c>
      <c r="G106" s="11">
        <v>17926</v>
      </c>
      <c r="H106" s="11">
        <v>33419</v>
      </c>
      <c r="I106" s="11">
        <v>21232</v>
      </c>
    </row>
    <row r="107" spans="1:9" x14ac:dyDescent="0.2">
      <c r="A107" s="10">
        <v>6712</v>
      </c>
      <c r="B107" s="10">
        <v>13</v>
      </c>
      <c r="C107" s="10" t="s">
        <v>435</v>
      </c>
      <c r="D107" s="10">
        <v>1384</v>
      </c>
      <c r="E107" s="10" t="s">
        <v>447</v>
      </c>
      <c r="F107" s="11">
        <v>15807</v>
      </c>
      <c r="G107" s="11">
        <v>18801</v>
      </c>
      <c r="H107" s="11">
        <v>34608</v>
      </c>
      <c r="I107" s="11">
        <v>16961</v>
      </c>
    </row>
    <row r="108" spans="1:9" x14ac:dyDescent="0.2">
      <c r="A108" s="10">
        <v>6712</v>
      </c>
      <c r="B108" s="10">
        <v>13</v>
      </c>
      <c r="C108" s="10" t="s">
        <v>435</v>
      </c>
      <c r="D108" s="10">
        <v>1386</v>
      </c>
      <c r="E108" s="10" t="s">
        <v>448</v>
      </c>
      <c r="F108" s="11">
        <v>7665</v>
      </c>
      <c r="G108" s="11">
        <v>8824</v>
      </c>
      <c r="H108" s="11">
        <v>16489</v>
      </c>
      <c r="I108" s="11">
        <v>9185</v>
      </c>
    </row>
    <row r="109" spans="1:9" x14ac:dyDescent="0.2">
      <c r="A109" s="10">
        <v>6712</v>
      </c>
      <c r="B109" s="10">
        <v>13</v>
      </c>
      <c r="C109" s="10" t="s">
        <v>435</v>
      </c>
      <c r="D109" s="10">
        <v>1387</v>
      </c>
      <c r="E109" s="10" t="s">
        <v>449</v>
      </c>
      <c r="F109" s="11">
        <v>5540</v>
      </c>
      <c r="G109" s="11">
        <v>5929</v>
      </c>
      <c r="H109" s="11">
        <v>11469</v>
      </c>
      <c r="I109" s="11">
        <v>5209</v>
      </c>
    </row>
    <row r="110" spans="1:9" x14ac:dyDescent="0.2">
      <c r="A110" s="10">
        <v>6712</v>
      </c>
      <c r="B110" s="10">
        <v>13</v>
      </c>
      <c r="C110" s="10" t="s">
        <v>435</v>
      </c>
      <c r="D110" s="10">
        <v>1388</v>
      </c>
      <c r="E110" s="10" t="s">
        <v>450</v>
      </c>
      <c r="F110" s="11">
        <v>10211</v>
      </c>
      <c r="G110" s="11">
        <v>11422</v>
      </c>
      <c r="H110" s="11">
        <v>21633</v>
      </c>
      <c r="I110" s="11">
        <v>11782</v>
      </c>
    </row>
    <row r="111" spans="1:9" x14ac:dyDescent="0.2">
      <c r="A111" s="10">
        <v>6712</v>
      </c>
      <c r="B111" s="10">
        <v>13</v>
      </c>
      <c r="C111" s="10" t="s">
        <v>435</v>
      </c>
      <c r="D111" s="10">
        <v>1389</v>
      </c>
      <c r="E111" s="10" t="s">
        <v>451</v>
      </c>
      <c r="F111" s="11">
        <v>1334</v>
      </c>
      <c r="G111" s="11">
        <v>1399</v>
      </c>
      <c r="H111" s="11">
        <v>2733</v>
      </c>
      <c r="I111" s="11">
        <v>1088</v>
      </c>
    </row>
    <row r="112" spans="1:9" x14ac:dyDescent="0.2">
      <c r="A112" s="10">
        <v>6712</v>
      </c>
      <c r="B112" s="10">
        <v>13</v>
      </c>
      <c r="C112" s="10" t="s">
        <v>435</v>
      </c>
      <c r="D112" s="10">
        <v>1390</v>
      </c>
      <c r="E112" s="10" t="s">
        <v>452</v>
      </c>
      <c r="F112" s="11">
        <v>5387</v>
      </c>
      <c r="G112" s="11">
        <v>5788</v>
      </c>
      <c r="H112" s="11">
        <v>11175</v>
      </c>
      <c r="I112" s="11">
        <v>6073</v>
      </c>
    </row>
    <row r="113" spans="1:9" x14ac:dyDescent="0.2">
      <c r="A113" s="10">
        <v>6712</v>
      </c>
      <c r="B113" s="10">
        <v>13</v>
      </c>
      <c r="C113" s="10" t="s">
        <v>435</v>
      </c>
      <c r="D113" s="10">
        <v>1391</v>
      </c>
      <c r="E113" s="10" t="s">
        <v>453</v>
      </c>
      <c r="F113" s="11">
        <v>1995</v>
      </c>
      <c r="G113" s="11">
        <v>2067</v>
      </c>
      <c r="H113" s="11">
        <v>4062</v>
      </c>
      <c r="I113" s="11">
        <v>2019</v>
      </c>
    </row>
    <row r="114" spans="1:9" x14ac:dyDescent="0.2">
      <c r="A114" s="10">
        <v>6712</v>
      </c>
      <c r="B114" s="10">
        <v>13</v>
      </c>
      <c r="C114" s="10" t="s">
        <v>435</v>
      </c>
      <c r="D114" s="10">
        <v>1392</v>
      </c>
      <c r="E114" s="10" t="s">
        <v>454</v>
      </c>
      <c r="F114" s="11">
        <v>15645</v>
      </c>
      <c r="G114" s="11">
        <v>17542</v>
      </c>
      <c r="H114" s="11">
        <v>33187</v>
      </c>
      <c r="I114" s="11">
        <v>18204</v>
      </c>
    </row>
    <row r="115" spans="1:9" x14ac:dyDescent="0.2">
      <c r="A115" s="10">
        <v>6712</v>
      </c>
      <c r="B115" s="10">
        <v>13</v>
      </c>
      <c r="C115" s="10" t="s">
        <v>435</v>
      </c>
      <c r="D115" s="10">
        <v>1393</v>
      </c>
      <c r="E115" s="10" t="s">
        <v>455</v>
      </c>
      <c r="F115" s="11">
        <v>31208</v>
      </c>
      <c r="G115" s="11">
        <v>34678</v>
      </c>
      <c r="H115" s="11">
        <v>65886</v>
      </c>
      <c r="I115" s="11">
        <v>35018</v>
      </c>
    </row>
    <row r="116" spans="1:9" x14ac:dyDescent="0.2">
      <c r="A116" s="10">
        <v>6712</v>
      </c>
      <c r="B116" s="10">
        <v>13</v>
      </c>
      <c r="C116" s="10" t="s">
        <v>435</v>
      </c>
      <c r="D116" s="10">
        <v>1394</v>
      </c>
      <c r="E116" s="10" t="s">
        <v>456</v>
      </c>
      <c r="F116" s="11">
        <v>34625</v>
      </c>
      <c r="G116" s="11">
        <v>39684</v>
      </c>
      <c r="H116" s="11">
        <v>74309</v>
      </c>
      <c r="I116" s="11">
        <v>65588</v>
      </c>
    </row>
    <row r="117" spans="1:9" x14ac:dyDescent="0.2">
      <c r="A117" s="10">
        <v>6712</v>
      </c>
      <c r="B117" s="10">
        <v>13</v>
      </c>
      <c r="C117" s="10" t="s">
        <v>435</v>
      </c>
      <c r="D117" s="10">
        <v>1395</v>
      </c>
      <c r="E117" s="10" t="s">
        <v>457</v>
      </c>
      <c r="F117" s="11">
        <v>3751</v>
      </c>
      <c r="G117" s="11">
        <v>4220</v>
      </c>
      <c r="H117" s="11">
        <v>7971</v>
      </c>
      <c r="I117" s="11">
        <v>4625</v>
      </c>
    </row>
    <row r="118" spans="1:9" x14ac:dyDescent="0.2">
      <c r="A118" s="10">
        <v>6712</v>
      </c>
      <c r="B118" s="10">
        <v>13</v>
      </c>
      <c r="C118" s="10" t="s">
        <v>435</v>
      </c>
      <c r="D118" s="10">
        <v>1396</v>
      </c>
      <c r="E118" s="10" t="s">
        <v>458</v>
      </c>
      <c r="F118" s="11">
        <v>34959</v>
      </c>
      <c r="G118" s="11">
        <v>39828</v>
      </c>
      <c r="H118" s="11">
        <v>74787</v>
      </c>
      <c r="I118" s="11">
        <v>60771</v>
      </c>
    </row>
    <row r="119" spans="1:9" x14ac:dyDescent="0.2">
      <c r="A119" s="10">
        <v>6712</v>
      </c>
      <c r="B119" s="10">
        <v>13</v>
      </c>
      <c r="C119" s="10" t="s">
        <v>435</v>
      </c>
      <c r="D119" s="10">
        <v>1397</v>
      </c>
      <c r="E119" s="10" t="s">
        <v>459</v>
      </c>
      <c r="F119" s="11">
        <v>19829</v>
      </c>
      <c r="G119" s="11">
        <v>22243</v>
      </c>
      <c r="H119" s="11">
        <v>42072</v>
      </c>
      <c r="I119" s="11">
        <v>29248</v>
      </c>
    </row>
    <row r="120" spans="1:9" x14ac:dyDescent="0.2">
      <c r="A120" s="10">
        <v>6712</v>
      </c>
      <c r="B120" s="10">
        <v>13</v>
      </c>
      <c r="C120" s="10" t="s">
        <v>435</v>
      </c>
      <c r="D120" s="10">
        <v>1398</v>
      </c>
      <c r="E120" s="10" t="s">
        <v>460</v>
      </c>
      <c r="F120" s="11">
        <v>39418</v>
      </c>
      <c r="G120" s="11">
        <v>45906</v>
      </c>
      <c r="H120" s="11">
        <v>85324</v>
      </c>
      <c r="I120" s="11">
        <v>58403</v>
      </c>
    </row>
    <row r="121" spans="1:9" x14ac:dyDescent="0.2">
      <c r="A121" s="10">
        <v>6712</v>
      </c>
      <c r="B121" s="10">
        <v>13</v>
      </c>
      <c r="C121" s="10" t="s">
        <v>435</v>
      </c>
      <c r="D121" s="10">
        <v>1399</v>
      </c>
      <c r="E121" s="10" t="s">
        <v>461</v>
      </c>
      <c r="F121" s="11">
        <v>10375</v>
      </c>
      <c r="G121" s="11">
        <v>11745</v>
      </c>
      <c r="H121" s="11">
        <v>22120</v>
      </c>
      <c r="I121" s="11">
        <v>9684</v>
      </c>
    </row>
    <row r="122" spans="1:9" x14ac:dyDescent="0.2">
      <c r="A122" s="10">
        <v>6712</v>
      </c>
      <c r="B122" s="10">
        <v>14</v>
      </c>
      <c r="C122" s="10" t="s">
        <v>462</v>
      </c>
      <c r="D122" s="10">
        <v>1401</v>
      </c>
      <c r="E122" s="10" t="s">
        <v>463</v>
      </c>
      <c r="F122" s="11">
        <v>34471</v>
      </c>
      <c r="G122" s="11">
        <v>37891</v>
      </c>
      <c r="H122" s="11">
        <v>72362</v>
      </c>
      <c r="I122" s="11">
        <v>27558</v>
      </c>
    </row>
    <row r="123" spans="1:9" x14ac:dyDescent="0.2">
      <c r="A123" s="10">
        <v>6712</v>
      </c>
      <c r="B123" s="10">
        <v>14</v>
      </c>
      <c r="C123" s="10" t="s">
        <v>462</v>
      </c>
      <c r="D123" s="10">
        <v>1402</v>
      </c>
      <c r="E123" s="10" t="s">
        <v>464</v>
      </c>
      <c r="F123" s="11">
        <v>14680</v>
      </c>
      <c r="G123" s="11">
        <v>16177</v>
      </c>
      <c r="H123" s="11">
        <v>30857</v>
      </c>
      <c r="I123" s="11">
        <v>12016</v>
      </c>
    </row>
    <row r="124" spans="1:9" x14ac:dyDescent="0.2">
      <c r="A124" s="10">
        <v>6712</v>
      </c>
      <c r="B124" s="10">
        <v>14</v>
      </c>
      <c r="C124" s="10" t="s">
        <v>462</v>
      </c>
      <c r="D124" s="10">
        <v>1403</v>
      </c>
      <c r="E124" s="10" t="s">
        <v>465</v>
      </c>
      <c r="F124" s="11">
        <v>10547</v>
      </c>
      <c r="G124" s="11">
        <v>11571</v>
      </c>
      <c r="H124" s="11">
        <v>22118</v>
      </c>
      <c r="I124" s="11">
        <v>12395</v>
      </c>
    </row>
    <row r="125" spans="1:9" x14ac:dyDescent="0.2">
      <c r="A125" s="10">
        <v>6712</v>
      </c>
      <c r="B125" s="10">
        <v>14</v>
      </c>
      <c r="C125" s="10" t="s">
        <v>462</v>
      </c>
      <c r="D125" s="10">
        <v>1404</v>
      </c>
      <c r="E125" s="10" t="s">
        <v>466</v>
      </c>
      <c r="F125" s="11">
        <v>15281</v>
      </c>
      <c r="G125" s="11">
        <v>16112</v>
      </c>
      <c r="H125" s="11">
        <v>31393</v>
      </c>
      <c r="I125" s="11">
        <v>11241</v>
      </c>
    </row>
    <row r="126" spans="1:9" x14ac:dyDescent="0.2">
      <c r="A126" s="10">
        <v>6712</v>
      </c>
      <c r="B126" s="10">
        <v>14</v>
      </c>
      <c r="C126" s="10" t="s">
        <v>462</v>
      </c>
      <c r="D126" s="10">
        <v>1405</v>
      </c>
      <c r="E126" s="10" t="s">
        <v>467</v>
      </c>
      <c r="F126" s="11">
        <v>6817</v>
      </c>
      <c r="G126" s="11">
        <v>7399</v>
      </c>
      <c r="H126" s="11">
        <v>14216</v>
      </c>
      <c r="I126" s="11">
        <v>5639</v>
      </c>
    </row>
    <row r="127" spans="1:9" x14ac:dyDescent="0.2">
      <c r="A127" s="10">
        <v>6712</v>
      </c>
      <c r="B127" s="10">
        <v>14</v>
      </c>
      <c r="C127" s="10" t="s">
        <v>462</v>
      </c>
      <c r="D127" s="10">
        <v>1406</v>
      </c>
      <c r="E127" s="10" t="s">
        <v>468</v>
      </c>
      <c r="F127" s="11">
        <v>19043</v>
      </c>
      <c r="G127" s="11">
        <v>20931</v>
      </c>
      <c r="H127" s="11">
        <v>39974</v>
      </c>
      <c r="I127" s="11">
        <v>19079</v>
      </c>
    </row>
    <row r="128" spans="1:9" x14ac:dyDescent="0.2">
      <c r="A128" s="10">
        <v>6712</v>
      </c>
      <c r="B128" s="10">
        <v>14</v>
      </c>
      <c r="C128" s="10" t="s">
        <v>462</v>
      </c>
      <c r="D128" s="10">
        <v>1407</v>
      </c>
      <c r="E128" s="10" t="s">
        <v>469</v>
      </c>
      <c r="F128" s="11">
        <v>17399</v>
      </c>
      <c r="G128" s="11">
        <v>18569</v>
      </c>
      <c r="H128" s="11">
        <v>35968</v>
      </c>
      <c r="I128" s="11">
        <v>13122</v>
      </c>
    </row>
    <row r="129" spans="1:9" x14ac:dyDescent="0.2">
      <c r="A129" s="10">
        <v>6712</v>
      </c>
      <c r="B129" s="10">
        <v>14</v>
      </c>
      <c r="C129" s="10" t="s">
        <v>462</v>
      </c>
      <c r="D129" s="10">
        <v>1408</v>
      </c>
      <c r="E129" s="10" t="s">
        <v>470</v>
      </c>
      <c r="F129" s="11">
        <v>10398</v>
      </c>
      <c r="G129" s="11">
        <v>11217</v>
      </c>
      <c r="H129" s="11">
        <v>21615</v>
      </c>
      <c r="I129" s="11">
        <v>7573</v>
      </c>
    </row>
    <row r="130" spans="1:9" x14ac:dyDescent="0.2">
      <c r="A130" s="10">
        <v>6712</v>
      </c>
      <c r="B130" s="10">
        <v>14</v>
      </c>
      <c r="C130" s="10" t="s">
        <v>462</v>
      </c>
      <c r="D130" s="10">
        <v>1409</v>
      </c>
      <c r="E130" s="10" t="s">
        <v>471</v>
      </c>
      <c r="F130" s="11">
        <v>12548</v>
      </c>
      <c r="G130" s="11">
        <v>13293</v>
      </c>
      <c r="H130" s="11">
        <v>25841</v>
      </c>
      <c r="I130" s="11">
        <v>8876</v>
      </c>
    </row>
    <row r="131" spans="1:9" x14ac:dyDescent="0.2">
      <c r="A131" s="10">
        <v>6712</v>
      </c>
      <c r="B131" s="10">
        <v>14</v>
      </c>
      <c r="C131" s="10" t="s">
        <v>462</v>
      </c>
      <c r="D131" s="10">
        <v>1410</v>
      </c>
      <c r="E131" s="10" t="s">
        <v>472</v>
      </c>
      <c r="F131" s="11">
        <v>14649</v>
      </c>
      <c r="G131" s="11">
        <v>15025</v>
      </c>
      <c r="H131" s="11">
        <v>29674</v>
      </c>
      <c r="I131" s="11">
        <v>10235</v>
      </c>
    </row>
    <row r="132" spans="1:9" x14ac:dyDescent="0.2">
      <c r="A132" s="10">
        <v>6712</v>
      </c>
      <c r="B132" s="10">
        <v>14</v>
      </c>
      <c r="C132" s="10" t="s">
        <v>462</v>
      </c>
      <c r="D132" s="10">
        <v>1411</v>
      </c>
      <c r="E132" s="10" t="s">
        <v>473</v>
      </c>
      <c r="F132" s="11">
        <v>28592</v>
      </c>
      <c r="G132" s="11">
        <v>30246</v>
      </c>
      <c r="H132" s="11">
        <v>58838</v>
      </c>
      <c r="I132" s="11">
        <v>28560</v>
      </c>
    </row>
    <row r="133" spans="1:9" x14ac:dyDescent="0.2">
      <c r="A133" s="10">
        <v>6712</v>
      </c>
      <c r="B133" s="10">
        <v>14</v>
      </c>
      <c r="C133" s="10" t="s">
        <v>462</v>
      </c>
      <c r="D133" s="10">
        <v>1412</v>
      </c>
      <c r="E133" s="10" t="s">
        <v>474</v>
      </c>
      <c r="F133" s="11">
        <v>14780</v>
      </c>
      <c r="G133" s="11">
        <v>15677</v>
      </c>
      <c r="H133" s="11">
        <v>30457</v>
      </c>
      <c r="I133" s="11">
        <v>10296</v>
      </c>
    </row>
    <row r="134" spans="1:9" x14ac:dyDescent="0.2">
      <c r="A134" s="10">
        <v>6712</v>
      </c>
      <c r="B134" s="10">
        <v>14</v>
      </c>
      <c r="C134" s="10" t="s">
        <v>462</v>
      </c>
      <c r="D134" s="10">
        <v>1413</v>
      </c>
      <c r="E134" s="10" t="s">
        <v>475</v>
      </c>
      <c r="F134" s="11">
        <v>6745</v>
      </c>
      <c r="G134" s="11">
        <v>6895</v>
      </c>
      <c r="H134" s="11">
        <v>13640</v>
      </c>
      <c r="I134" s="11">
        <v>4652</v>
      </c>
    </row>
    <row r="135" spans="1:9" x14ac:dyDescent="0.2">
      <c r="A135" s="10">
        <v>6712</v>
      </c>
      <c r="B135" s="10">
        <v>14</v>
      </c>
      <c r="C135" s="10" t="s">
        <v>462</v>
      </c>
      <c r="D135" s="10">
        <v>1414</v>
      </c>
      <c r="E135" s="10" t="s">
        <v>476</v>
      </c>
      <c r="F135" s="11">
        <v>22617</v>
      </c>
      <c r="G135" s="11">
        <v>24526</v>
      </c>
      <c r="H135" s="11">
        <v>47143</v>
      </c>
      <c r="I135" s="11">
        <v>23369</v>
      </c>
    </row>
    <row r="136" spans="1:9" x14ac:dyDescent="0.2">
      <c r="A136" s="10">
        <v>6712</v>
      </c>
      <c r="B136" s="10">
        <v>14</v>
      </c>
      <c r="C136" s="10" t="s">
        <v>462</v>
      </c>
      <c r="D136" s="10">
        <v>1415</v>
      </c>
      <c r="E136" s="10" t="s">
        <v>477</v>
      </c>
      <c r="F136" s="11">
        <v>6364</v>
      </c>
      <c r="G136" s="11">
        <v>6984</v>
      </c>
      <c r="H136" s="11">
        <v>13348</v>
      </c>
      <c r="I136" s="11">
        <v>5342</v>
      </c>
    </row>
    <row r="137" spans="1:9" x14ac:dyDescent="0.2">
      <c r="A137" s="10">
        <v>6712</v>
      </c>
      <c r="B137" s="10">
        <v>14</v>
      </c>
      <c r="C137" s="10" t="s">
        <v>462</v>
      </c>
      <c r="D137" s="10">
        <v>1416</v>
      </c>
      <c r="E137" s="10" t="s">
        <v>478</v>
      </c>
      <c r="F137" s="11">
        <v>3121</v>
      </c>
      <c r="G137" s="11">
        <v>3568</v>
      </c>
      <c r="H137" s="11">
        <v>6689</v>
      </c>
      <c r="I137" s="11">
        <v>2766</v>
      </c>
    </row>
    <row r="138" spans="1:9" x14ac:dyDescent="0.2">
      <c r="A138" s="10">
        <v>6712</v>
      </c>
      <c r="B138" s="10">
        <v>14</v>
      </c>
      <c r="C138" s="10" t="s">
        <v>462</v>
      </c>
      <c r="D138" s="10">
        <v>1465</v>
      </c>
      <c r="E138" s="10" t="s">
        <v>479</v>
      </c>
      <c r="F138" s="11">
        <v>6931</v>
      </c>
      <c r="G138" s="11">
        <v>8122</v>
      </c>
      <c r="H138" s="11">
        <v>15053</v>
      </c>
      <c r="I138" s="11">
        <v>10719</v>
      </c>
    </row>
    <row r="139" spans="1:9" x14ac:dyDescent="0.2">
      <c r="A139" s="10">
        <v>6712</v>
      </c>
      <c r="B139" s="10">
        <v>14</v>
      </c>
      <c r="C139" s="10" t="s">
        <v>462</v>
      </c>
      <c r="D139" s="10">
        <v>1466</v>
      </c>
      <c r="E139" s="10" t="s">
        <v>480</v>
      </c>
      <c r="F139" s="11">
        <v>3670</v>
      </c>
      <c r="G139" s="11">
        <v>3823</v>
      </c>
      <c r="H139" s="11">
        <v>7493</v>
      </c>
      <c r="I139" s="11">
        <v>3061</v>
      </c>
    </row>
    <row r="140" spans="1:9" x14ac:dyDescent="0.2">
      <c r="A140" s="10">
        <v>6712</v>
      </c>
      <c r="B140" s="10">
        <v>14</v>
      </c>
      <c r="C140" s="10" t="s">
        <v>462</v>
      </c>
      <c r="D140" s="10">
        <v>1467</v>
      </c>
      <c r="E140" s="10" t="s">
        <v>481</v>
      </c>
      <c r="F140" s="11">
        <v>3199</v>
      </c>
      <c r="G140" s="11">
        <v>3550</v>
      </c>
      <c r="H140" s="11">
        <v>6749</v>
      </c>
      <c r="I140" s="11">
        <v>3047</v>
      </c>
    </row>
    <row r="141" spans="1:9" x14ac:dyDescent="0.2">
      <c r="A141" s="10">
        <v>6712</v>
      </c>
      <c r="B141" s="10">
        <v>14</v>
      </c>
      <c r="C141" s="10" t="s">
        <v>462</v>
      </c>
      <c r="D141" s="10">
        <v>1468</v>
      </c>
      <c r="E141" s="10" t="s">
        <v>482</v>
      </c>
      <c r="F141" s="11">
        <v>3673</v>
      </c>
      <c r="G141" s="11">
        <v>4150</v>
      </c>
      <c r="H141" s="11">
        <v>7823</v>
      </c>
      <c r="I141" s="11">
        <v>4352</v>
      </c>
    </row>
    <row r="142" spans="1:9" x14ac:dyDescent="0.2">
      <c r="A142" s="10">
        <v>6712</v>
      </c>
      <c r="B142" s="10">
        <v>14</v>
      </c>
      <c r="C142" s="10" t="s">
        <v>462</v>
      </c>
      <c r="D142" s="10">
        <v>1469</v>
      </c>
      <c r="E142" s="10" t="s">
        <v>483</v>
      </c>
      <c r="F142" s="11">
        <v>6321</v>
      </c>
      <c r="G142" s="11">
        <v>7321</v>
      </c>
      <c r="H142" s="11">
        <v>13642</v>
      </c>
      <c r="I142" s="11">
        <v>6045</v>
      </c>
    </row>
    <row r="143" spans="1:9" x14ac:dyDescent="0.2">
      <c r="A143" s="10">
        <v>6712</v>
      </c>
      <c r="B143" s="10">
        <v>14</v>
      </c>
      <c r="C143" s="10" t="s">
        <v>462</v>
      </c>
      <c r="D143" s="10">
        <v>1470</v>
      </c>
      <c r="E143" s="10" t="s">
        <v>484</v>
      </c>
      <c r="F143" s="11">
        <v>4982</v>
      </c>
      <c r="G143" s="11">
        <v>5303</v>
      </c>
      <c r="H143" s="11">
        <v>10285</v>
      </c>
      <c r="I143" s="11">
        <v>4727</v>
      </c>
    </row>
    <row r="144" spans="1:9" x14ac:dyDescent="0.2">
      <c r="A144" s="10">
        <v>6712</v>
      </c>
      <c r="B144" s="10">
        <v>14</v>
      </c>
      <c r="C144" s="10" t="s">
        <v>462</v>
      </c>
      <c r="D144" s="10">
        <v>1471</v>
      </c>
      <c r="E144" s="10" t="s">
        <v>485</v>
      </c>
      <c r="F144" s="11">
        <v>4598</v>
      </c>
      <c r="G144" s="11">
        <v>5163</v>
      </c>
      <c r="H144" s="11">
        <v>9761</v>
      </c>
      <c r="I144" s="11">
        <v>6103</v>
      </c>
    </row>
    <row r="145" spans="1:9" x14ac:dyDescent="0.2">
      <c r="A145" s="10">
        <v>6712</v>
      </c>
      <c r="B145" s="10">
        <v>14</v>
      </c>
      <c r="C145" s="10" t="s">
        <v>462</v>
      </c>
      <c r="D145" s="10">
        <v>1472</v>
      </c>
      <c r="E145" s="10" t="s">
        <v>486</v>
      </c>
      <c r="F145" s="11">
        <v>2487</v>
      </c>
      <c r="G145" s="11">
        <v>2823</v>
      </c>
      <c r="H145" s="11">
        <v>5310</v>
      </c>
      <c r="I145" s="11">
        <v>3511</v>
      </c>
    </row>
    <row r="146" spans="1:9" x14ac:dyDescent="0.2">
      <c r="A146" s="10">
        <v>6712</v>
      </c>
      <c r="B146" s="10">
        <v>14</v>
      </c>
      <c r="C146" s="10" t="s">
        <v>462</v>
      </c>
      <c r="D146" s="10">
        <v>1473</v>
      </c>
      <c r="E146" s="10" t="s">
        <v>487</v>
      </c>
      <c r="F146" s="10">
        <v>921</v>
      </c>
      <c r="G146" s="11">
        <v>1000</v>
      </c>
      <c r="H146" s="11">
        <v>1921</v>
      </c>
      <c r="I146" s="10">
        <v>892</v>
      </c>
    </row>
    <row r="147" spans="1:9" x14ac:dyDescent="0.2">
      <c r="A147" s="10">
        <v>6712</v>
      </c>
      <c r="B147" s="10">
        <v>14</v>
      </c>
      <c r="C147" s="10" t="s">
        <v>462</v>
      </c>
      <c r="D147" s="10">
        <v>1474</v>
      </c>
      <c r="E147" s="10" t="s">
        <v>488</v>
      </c>
      <c r="F147" s="11">
        <v>2913</v>
      </c>
      <c r="G147" s="11">
        <v>3180</v>
      </c>
      <c r="H147" s="11">
        <v>6093</v>
      </c>
      <c r="I147" s="11">
        <v>2573</v>
      </c>
    </row>
    <row r="148" spans="1:9" x14ac:dyDescent="0.2">
      <c r="A148" s="10">
        <v>6712</v>
      </c>
      <c r="B148" s="10">
        <v>14</v>
      </c>
      <c r="C148" s="10" t="s">
        <v>462</v>
      </c>
      <c r="D148" s="10">
        <v>1475</v>
      </c>
      <c r="E148" s="10" t="s">
        <v>489</v>
      </c>
      <c r="F148" s="11">
        <v>1541</v>
      </c>
      <c r="G148" s="11">
        <v>1631</v>
      </c>
      <c r="H148" s="11">
        <v>3172</v>
      </c>
      <c r="I148" s="11">
        <v>1506</v>
      </c>
    </row>
    <row r="149" spans="1:9" x14ac:dyDescent="0.2">
      <c r="A149" s="10">
        <v>6712</v>
      </c>
      <c r="B149" s="10">
        <v>14</v>
      </c>
      <c r="C149" s="10" t="s">
        <v>462</v>
      </c>
      <c r="D149" s="10">
        <v>1476</v>
      </c>
      <c r="E149" s="10" t="s">
        <v>490</v>
      </c>
      <c r="F149" s="11">
        <v>3461</v>
      </c>
      <c r="G149" s="11">
        <v>3980</v>
      </c>
      <c r="H149" s="11">
        <v>7441</v>
      </c>
      <c r="I149" s="11">
        <v>4734</v>
      </c>
    </row>
    <row r="150" spans="1:9" x14ac:dyDescent="0.2">
      <c r="A150" s="10">
        <v>6712</v>
      </c>
      <c r="B150" s="10">
        <v>14</v>
      </c>
      <c r="C150" s="10" t="s">
        <v>462</v>
      </c>
      <c r="D150" s="10">
        <v>1477</v>
      </c>
      <c r="E150" s="10" t="s">
        <v>491</v>
      </c>
      <c r="F150" s="11">
        <v>2507</v>
      </c>
      <c r="G150" s="11">
        <v>2679</v>
      </c>
      <c r="H150" s="11">
        <v>5186</v>
      </c>
      <c r="I150" s="11">
        <v>1957</v>
      </c>
    </row>
    <row r="151" spans="1:9" x14ac:dyDescent="0.2">
      <c r="A151" s="10">
        <v>6712</v>
      </c>
      <c r="B151" s="10">
        <v>14</v>
      </c>
      <c r="C151" s="10" t="s">
        <v>462</v>
      </c>
      <c r="D151" s="10">
        <v>1478</v>
      </c>
      <c r="E151" s="10" t="s">
        <v>492</v>
      </c>
      <c r="F151" s="11">
        <v>2710</v>
      </c>
      <c r="G151" s="11">
        <v>2955</v>
      </c>
      <c r="H151" s="11">
        <v>5665</v>
      </c>
      <c r="I151" s="11">
        <v>1860</v>
      </c>
    </row>
    <row r="152" spans="1:9" x14ac:dyDescent="0.2">
      <c r="A152" s="10">
        <v>6712</v>
      </c>
      <c r="B152" s="10">
        <v>14</v>
      </c>
      <c r="C152" s="10" t="s">
        <v>462</v>
      </c>
      <c r="D152" s="10">
        <v>1479</v>
      </c>
      <c r="E152" s="10" t="s">
        <v>493</v>
      </c>
      <c r="F152" s="11">
        <v>10705</v>
      </c>
      <c r="G152" s="11">
        <v>11338</v>
      </c>
      <c r="H152" s="11">
        <v>22043</v>
      </c>
      <c r="I152" s="11">
        <v>10322</v>
      </c>
    </row>
    <row r="153" spans="1:9" x14ac:dyDescent="0.2">
      <c r="A153" s="10">
        <v>6712</v>
      </c>
      <c r="B153" s="10">
        <v>14</v>
      </c>
      <c r="C153" s="10" t="s">
        <v>462</v>
      </c>
      <c r="D153" s="10">
        <v>1480</v>
      </c>
      <c r="E153" s="10" t="s">
        <v>494</v>
      </c>
      <c r="F153" s="11">
        <v>1264</v>
      </c>
      <c r="G153" s="11">
        <v>1308</v>
      </c>
      <c r="H153" s="11">
        <v>2572</v>
      </c>
      <c r="I153" s="11">
        <v>1459</v>
      </c>
    </row>
    <row r="154" spans="1:9" x14ac:dyDescent="0.2">
      <c r="A154" s="10">
        <v>6712</v>
      </c>
      <c r="B154" s="10">
        <v>14</v>
      </c>
      <c r="C154" s="10" t="s">
        <v>462</v>
      </c>
      <c r="D154" s="10">
        <v>1481</v>
      </c>
      <c r="E154" s="10" t="s">
        <v>495</v>
      </c>
      <c r="F154" s="11">
        <v>2417</v>
      </c>
      <c r="G154" s="11">
        <v>2758</v>
      </c>
      <c r="H154" s="11">
        <v>5175</v>
      </c>
      <c r="I154" s="11">
        <v>2642</v>
      </c>
    </row>
    <row r="155" spans="1:9" x14ac:dyDescent="0.2">
      <c r="A155" s="10">
        <v>6712</v>
      </c>
      <c r="B155" s="10">
        <v>14</v>
      </c>
      <c r="C155" s="10" t="s">
        <v>462</v>
      </c>
      <c r="D155" s="10">
        <v>1482</v>
      </c>
      <c r="E155" s="10" t="s">
        <v>496</v>
      </c>
      <c r="F155" s="11">
        <v>3530</v>
      </c>
      <c r="G155" s="11">
        <v>3701</v>
      </c>
      <c r="H155" s="11">
        <v>7231</v>
      </c>
      <c r="I155" s="11">
        <v>2858</v>
      </c>
    </row>
    <row r="156" spans="1:9" x14ac:dyDescent="0.2">
      <c r="A156" s="10">
        <v>6712</v>
      </c>
      <c r="B156" s="10">
        <v>14</v>
      </c>
      <c r="C156" s="10" t="s">
        <v>462</v>
      </c>
      <c r="D156" s="10">
        <v>1483</v>
      </c>
      <c r="E156" s="10" t="s">
        <v>497</v>
      </c>
      <c r="F156" s="11">
        <v>4401</v>
      </c>
      <c r="G156" s="11">
        <v>4688</v>
      </c>
      <c r="H156" s="11">
        <v>9089</v>
      </c>
      <c r="I156" s="11">
        <v>4451</v>
      </c>
    </row>
    <row r="157" spans="1:9" x14ac:dyDescent="0.2">
      <c r="A157" s="10">
        <v>6712</v>
      </c>
      <c r="B157" s="10">
        <v>14</v>
      </c>
      <c r="C157" s="10" t="s">
        <v>462</v>
      </c>
      <c r="D157" s="10">
        <v>1484</v>
      </c>
      <c r="E157" s="10" t="s">
        <v>498</v>
      </c>
      <c r="F157" s="11">
        <v>4436</v>
      </c>
      <c r="G157" s="11">
        <v>5032</v>
      </c>
      <c r="H157" s="11">
        <v>9468</v>
      </c>
      <c r="I157" s="11">
        <v>6919</v>
      </c>
    </row>
    <row r="158" spans="1:9" x14ac:dyDescent="0.2">
      <c r="A158" s="10">
        <v>6712</v>
      </c>
      <c r="B158" s="10">
        <v>14</v>
      </c>
      <c r="C158" s="10" t="s">
        <v>462</v>
      </c>
      <c r="D158" s="10">
        <v>1485</v>
      </c>
      <c r="E158" s="10" t="s">
        <v>499</v>
      </c>
      <c r="F158" s="11">
        <v>5322</v>
      </c>
      <c r="G158" s="11">
        <v>6152</v>
      </c>
      <c r="H158" s="11">
        <v>11474</v>
      </c>
      <c r="I158" s="11">
        <v>7605</v>
      </c>
    </row>
    <row r="159" spans="1:9" x14ac:dyDescent="0.2">
      <c r="A159" s="10">
        <v>6712</v>
      </c>
      <c r="B159" s="10">
        <v>14</v>
      </c>
      <c r="C159" s="10" t="s">
        <v>462</v>
      </c>
      <c r="D159" s="10">
        <v>1486</v>
      </c>
      <c r="E159" s="10" t="s">
        <v>500</v>
      </c>
      <c r="F159" s="11">
        <v>3124</v>
      </c>
      <c r="G159" s="11">
        <v>3222</v>
      </c>
      <c r="H159" s="11">
        <v>6346</v>
      </c>
      <c r="I159" s="11">
        <v>2210</v>
      </c>
    </row>
    <row r="160" spans="1:9" x14ac:dyDescent="0.2">
      <c r="A160" s="10">
        <v>6712</v>
      </c>
      <c r="B160" s="10">
        <v>14</v>
      </c>
      <c r="C160" s="10" t="s">
        <v>462</v>
      </c>
      <c r="D160" s="10">
        <v>1487</v>
      </c>
      <c r="E160" s="10" t="s">
        <v>501</v>
      </c>
      <c r="F160" s="11">
        <v>2413</v>
      </c>
      <c r="G160" s="11">
        <v>2707</v>
      </c>
      <c r="H160" s="11">
        <v>5120</v>
      </c>
      <c r="I160" s="11">
        <v>2280</v>
      </c>
    </row>
    <row r="161" spans="1:9" x14ac:dyDescent="0.2">
      <c r="A161" s="10">
        <v>6712</v>
      </c>
      <c r="B161" s="10">
        <v>14</v>
      </c>
      <c r="C161" s="10" t="s">
        <v>462</v>
      </c>
      <c r="D161" s="10">
        <v>1488</v>
      </c>
      <c r="E161" s="10" t="s">
        <v>502</v>
      </c>
      <c r="F161" s="11">
        <v>4037</v>
      </c>
      <c r="G161" s="11">
        <v>4286</v>
      </c>
      <c r="H161" s="11">
        <v>8323</v>
      </c>
      <c r="I161" s="11">
        <v>3426</v>
      </c>
    </row>
    <row r="162" spans="1:9" x14ac:dyDescent="0.2">
      <c r="A162" s="10">
        <v>6712</v>
      </c>
      <c r="B162" s="10">
        <v>14</v>
      </c>
      <c r="C162" s="10" t="s">
        <v>462</v>
      </c>
      <c r="D162" s="10">
        <v>1489</v>
      </c>
      <c r="E162" s="10" t="s">
        <v>503</v>
      </c>
      <c r="F162" s="11">
        <v>5094</v>
      </c>
      <c r="G162" s="11">
        <v>5592</v>
      </c>
      <c r="H162" s="11">
        <v>10686</v>
      </c>
      <c r="I162" s="11">
        <v>3851</v>
      </c>
    </row>
    <row r="163" spans="1:9" x14ac:dyDescent="0.2">
      <c r="A163" s="10">
        <v>6712</v>
      </c>
      <c r="B163" s="10">
        <v>14</v>
      </c>
      <c r="C163" s="10" t="s">
        <v>462</v>
      </c>
      <c r="D163" s="10">
        <v>1490</v>
      </c>
      <c r="E163" s="10" t="s">
        <v>504</v>
      </c>
      <c r="F163" s="11">
        <v>3011</v>
      </c>
      <c r="G163" s="11">
        <v>3090</v>
      </c>
      <c r="H163" s="11">
        <v>6101</v>
      </c>
      <c r="I163" s="11">
        <v>1900</v>
      </c>
    </row>
    <row r="164" spans="1:9" x14ac:dyDescent="0.2">
      <c r="A164" s="10">
        <v>6712</v>
      </c>
      <c r="B164" s="10">
        <v>14</v>
      </c>
      <c r="C164" s="10" t="s">
        <v>462</v>
      </c>
      <c r="D164" s="10">
        <v>1491</v>
      </c>
      <c r="E164" s="10" t="s">
        <v>505</v>
      </c>
      <c r="F164" s="11">
        <v>4910</v>
      </c>
      <c r="G164" s="11">
        <v>5127</v>
      </c>
      <c r="H164" s="11">
        <v>10037</v>
      </c>
      <c r="I164" s="11">
        <v>4048</v>
      </c>
    </row>
    <row r="165" spans="1:9" x14ac:dyDescent="0.2">
      <c r="A165" s="10">
        <v>6712</v>
      </c>
      <c r="B165" s="10">
        <v>14</v>
      </c>
      <c r="C165" s="10" t="s">
        <v>462</v>
      </c>
      <c r="D165" s="10">
        <v>1492</v>
      </c>
      <c r="E165" s="10" t="s">
        <v>506</v>
      </c>
      <c r="F165" s="11">
        <v>3653</v>
      </c>
      <c r="G165" s="11">
        <v>3907</v>
      </c>
      <c r="H165" s="11">
        <v>7560</v>
      </c>
      <c r="I165" s="11">
        <v>2910</v>
      </c>
    </row>
    <row r="166" spans="1:9" x14ac:dyDescent="0.2">
      <c r="A166" s="10">
        <v>6712</v>
      </c>
      <c r="B166" s="10">
        <v>14</v>
      </c>
      <c r="C166" s="10" t="s">
        <v>462</v>
      </c>
      <c r="D166" s="10">
        <v>1493</v>
      </c>
      <c r="E166" s="10" t="s">
        <v>507</v>
      </c>
      <c r="F166" s="11">
        <v>3229</v>
      </c>
      <c r="G166" s="11">
        <v>3520</v>
      </c>
      <c r="H166" s="11">
        <v>6749</v>
      </c>
      <c r="I166" s="11">
        <v>3079</v>
      </c>
    </row>
    <row r="167" spans="1:9" x14ac:dyDescent="0.2">
      <c r="A167" s="10">
        <v>6712</v>
      </c>
      <c r="B167" s="10">
        <v>14</v>
      </c>
      <c r="C167" s="10" t="s">
        <v>462</v>
      </c>
      <c r="D167" s="10">
        <v>1494</v>
      </c>
      <c r="E167" s="10" t="s">
        <v>508</v>
      </c>
      <c r="F167" s="11">
        <v>3793</v>
      </c>
      <c r="G167" s="11">
        <v>4241</v>
      </c>
      <c r="H167" s="11">
        <v>8034</v>
      </c>
      <c r="I167" s="11">
        <v>4190</v>
      </c>
    </row>
    <row r="168" spans="1:9" x14ac:dyDescent="0.2">
      <c r="A168" s="10">
        <v>6712</v>
      </c>
      <c r="B168" s="10">
        <v>14</v>
      </c>
      <c r="C168" s="10" t="s">
        <v>462</v>
      </c>
      <c r="D168" s="10">
        <v>1495</v>
      </c>
      <c r="E168" s="10" t="s">
        <v>509</v>
      </c>
      <c r="F168" s="11">
        <v>9053</v>
      </c>
      <c r="G168" s="11">
        <v>10645</v>
      </c>
      <c r="H168" s="11">
        <v>19698</v>
      </c>
      <c r="I168" s="11">
        <v>11524</v>
      </c>
    </row>
    <row r="169" spans="1:9" x14ac:dyDescent="0.2">
      <c r="A169" s="10">
        <v>6712</v>
      </c>
      <c r="B169" s="10">
        <v>14</v>
      </c>
      <c r="C169" s="10" t="s">
        <v>462</v>
      </c>
      <c r="D169" s="10">
        <v>1496</v>
      </c>
      <c r="E169" s="10" t="s">
        <v>510</v>
      </c>
      <c r="F169" s="11">
        <v>5066</v>
      </c>
      <c r="G169" s="11">
        <v>5525</v>
      </c>
      <c r="H169" s="11">
        <v>10591</v>
      </c>
      <c r="I169" s="11">
        <v>3362</v>
      </c>
    </row>
    <row r="170" spans="1:9" x14ac:dyDescent="0.2">
      <c r="A170" s="10">
        <v>6712</v>
      </c>
      <c r="B170" s="10">
        <v>14</v>
      </c>
      <c r="C170" s="10" t="s">
        <v>462</v>
      </c>
      <c r="D170" s="10">
        <v>1497</v>
      </c>
      <c r="E170" s="10" t="s">
        <v>511</v>
      </c>
      <c r="F170" s="11">
        <v>2910</v>
      </c>
      <c r="G170" s="11">
        <v>3318</v>
      </c>
      <c r="H170" s="11">
        <v>6228</v>
      </c>
      <c r="I170" s="11">
        <v>3261</v>
      </c>
    </row>
    <row r="171" spans="1:9" x14ac:dyDescent="0.2">
      <c r="A171" s="10">
        <v>6712</v>
      </c>
      <c r="B171" s="10">
        <v>14</v>
      </c>
      <c r="C171" s="10" t="s">
        <v>462</v>
      </c>
      <c r="D171" s="10">
        <v>1498</v>
      </c>
      <c r="E171" s="10" t="s">
        <v>512</v>
      </c>
      <c r="F171" s="11">
        <v>1615</v>
      </c>
      <c r="G171" s="11">
        <v>1794</v>
      </c>
      <c r="H171" s="11">
        <v>3409</v>
      </c>
      <c r="I171" s="11">
        <v>1500</v>
      </c>
    </row>
    <row r="172" spans="1:9" x14ac:dyDescent="0.2">
      <c r="A172" s="10">
        <v>6712</v>
      </c>
      <c r="B172" s="10">
        <v>14</v>
      </c>
      <c r="C172" s="10" t="s">
        <v>462</v>
      </c>
      <c r="D172" s="10">
        <v>1499</v>
      </c>
      <c r="E172" s="10" t="s">
        <v>513</v>
      </c>
      <c r="F172" s="11">
        <v>22382</v>
      </c>
      <c r="G172" s="11">
        <v>24677</v>
      </c>
      <c r="H172" s="11">
        <v>47059</v>
      </c>
      <c r="I172" s="11">
        <v>20682</v>
      </c>
    </row>
    <row r="173" spans="1:9" x14ac:dyDescent="0.2">
      <c r="A173" s="10">
        <v>6712</v>
      </c>
      <c r="B173" s="10">
        <v>15</v>
      </c>
      <c r="C173" s="10" t="s">
        <v>514</v>
      </c>
      <c r="D173" s="10">
        <v>1501</v>
      </c>
      <c r="E173" s="10" t="s">
        <v>515</v>
      </c>
      <c r="F173" s="11">
        <v>20501</v>
      </c>
      <c r="G173" s="11">
        <v>22698</v>
      </c>
      <c r="H173" s="11">
        <v>43199</v>
      </c>
      <c r="I173" s="11">
        <v>17828</v>
      </c>
    </row>
    <row r="174" spans="1:9" x14ac:dyDescent="0.2">
      <c r="A174" s="10">
        <v>6712</v>
      </c>
      <c r="B174" s="10">
        <v>15</v>
      </c>
      <c r="C174" s="10" t="s">
        <v>514</v>
      </c>
      <c r="D174" s="10">
        <v>1502</v>
      </c>
      <c r="E174" s="10" t="s">
        <v>516</v>
      </c>
      <c r="F174" s="11">
        <v>3383</v>
      </c>
      <c r="G174" s="11">
        <v>3604</v>
      </c>
      <c r="H174" s="11">
        <v>6987</v>
      </c>
      <c r="I174" s="11">
        <v>2535</v>
      </c>
    </row>
    <row r="175" spans="1:9" x14ac:dyDescent="0.2">
      <c r="A175" s="10">
        <v>6712</v>
      </c>
      <c r="B175" s="10">
        <v>15</v>
      </c>
      <c r="C175" s="10" t="s">
        <v>514</v>
      </c>
      <c r="D175" s="10">
        <v>1503</v>
      </c>
      <c r="E175" s="10" t="s">
        <v>517</v>
      </c>
      <c r="F175" s="11">
        <v>8767</v>
      </c>
      <c r="G175" s="11">
        <v>9637</v>
      </c>
      <c r="H175" s="11">
        <v>18404</v>
      </c>
      <c r="I175" s="11">
        <v>6972</v>
      </c>
    </row>
    <row r="176" spans="1:9" x14ac:dyDescent="0.2">
      <c r="A176" s="10">
        <v>6712</v>
      </c>
      <c r="B176" s="10">
        <v>15</v>
      </c>
      <c r="C176" s="10" t="s">
        <v>514</v>
      </c>
      <c r="D176" s="10">
        <v>1504</v>
      </c>
      <c r="E176" s="10" t="s">
        <v>518</v>
      </c>
      <c r="F176" s="11">
        <v>20382</v>
      </c>
      <c r="G176" s="11">
        <v>22485</v>
      </c>
      <c r="H176" s="11">
        <v>42867</v>
      </c>
      <c r="I176" s="11">
        <v>15483</v>
      </c>
    </row>
    <row r="177" spans="1:9" x14ac:dyDescent="0.2">
      <c r="A177" s="10">
        <v>6712</v>
      </c>
      <c r="B177" s="10">
        <v>15</v>
      </c>
      <c r="C177" s="10" t="s">
        <v>514</v>
      </c>
      <c r="D177" s="10">
        <v>1505</v>
      </c>
      <c r="E177" s="10" t="s">
        <v>519</v>
      </c>
      <c r="F177" s="11">
        <v>14659</v>
      </c>
      <c r="G177" s="11">
        <v>15391</v>
      </c>
      <c r="H177" s="11">
        <v>30050</v>
      </c>
      <c r="I177" s="11">
        <v>10515</v>
      </c>
    </row>
    <row r="178" spans="1:9" x14ac:dyDescent="0.2">
      <c r="A178" s="10">
        <v>6712</v>
      </c>
      <c r="B178" s="10">
        <v>15</v>
      </c>
      <c r="C178" s="10" t="s">
        <v>514</v>
      </c>
      <c r="D178" s="10">
        <v>1506</v>
      </c>
      <c r="E178" s="10" t="s">
        <v>520</v>
      </c>
      <c r="F178" s="11">
        <v>23882</v>
      </c>
      <c r="G178" s="11">
        <v>25891</v>
      </c>
      <c r="H178" s="11">
        <v>49773</v>
      </c>
      <c r="I178" s="11">
        <v>19007</v>
      </c>
    </row>
    <row r="179" spans="1:9" x14ac:dyDescent="0.2">
      <c r="A179" s="10">
        <v>6712</v>
      </c>
      <c r="B179" s="10">
        <v>15</v>
      </c>
      <c r="C179" s="10" t="s">
        <v>514</v>
      </c>
      <c r="D179" s="10">
        <v>1507</v>
      </c>
      <c r="E179" s="10" t="s">
        <v>521</v>
      </c>
      <c r="F179" s="11">
        <v>3985</v>
      </c>
      <c r="G179" s="11">
        <v>4246</v>
      </c>
      <c r="H179" s="11">
        <v>8231</v>
      </c>
      <c r="I179" s="11">
        <v>2957</v>
      </c>
    </row>
    <row r="180" spans="1:9" x14ac:dyDescent="0.2">
      <c r="A180" s="10">
        <v>6712</v>
      </c>
      <c r="B180" s="10">
        <v>15</v>
      </c>
      <c r="C180" s="10" t="s">
        <v>514</v>
      </c>
      <c r="D180" s="10">
        <v>1590</v>
      </c>
      <c r="E180" s="10" t="s">
        <v>522</v>
      </c>
      <c r="F180" s="11">
        <v>4955</v>
      </c>
      <c r="G180" s="11">
        <v>5467</v>
      </c>
      <c r="H180" s="11">
        <v>10422</v>
      </c>
      <c r="I180" s="11">
        <v>3734</v>
      </c>
    </row>
    <row r="181" spans="1:9" x14ac:dyDescent="0.2">
      <c r="A181" s="10">
        <v>6712</v>
      </c>
      <c r="B181" s="10">
        <v>15</v>
      </c>
      <c r="C181" s="10" t="s">
        <v>514</v>
      </c>
      <c r="D181" s="10">
        <v>1591</v>
      </c>
      <c r="E181" s="10" t="s">
        <v>523</v>
      </c>
      <c r="F181" s="11">
        <v>2539</v>
      </c>
      <c r="G181" s="11">
        <v>3081</v>
      </c>
      <c r="H181" s="11">
        <v>5620</v>
      </c>
      <c r="I181" s="11">
        <v>3067</v>
      </c>
    </row>
    <row r="182" spans="1:9" x14ac:dyDescent="0.2">
      <c r="A182" s="10">
        <v>6712</v>
      </c>
      <c r="B182" s="10">
        <v>15</v>
      </c>
      <c r="C182" s="10" t="s">
        <v>514</v>
      </c>
      <c r="D182" s="10">
        <v>1592</v>
      </c>
      <c r="E182" s="10" t="s">
        <v>524</v>
      </c>
      <c r="F182" s="11">
        <v>3519</v>
      </c>
      <c r="G182" s="11">
        <v>3867</v>
      </c>
      <c r="H182" s="11">
        <v>7386</v>
      </c>
      <c r="I182" s="11">
        <v>2914</v>
      </c>
    </row>
    <row r="183" spans="1:9" x14ac:dyDescent="0.2">
      <c r="A183" s="10">
        <v>6712</v>
      </c>
      <c r="B183" s="10">
        <v>15</v>
      </c>
      <c r="C183" s="10" t="s">
        <v>514</v>
      </c>
      <c r="D183" s="10">
        <v>1593</v>
      </c>
      <c r="E183" s="10" t="s">
        <v>525</v>
      </c>
      <c r="F183" s="11">
        <v>1490</v>
      </c>
      <c r="G183" s="11">
        <v>1611</v>
      </c>
      <c r="H183" s="11">
        <v>3101</v>
      </c>
      <c r="I183" s="11">
        <v>1292</v>
      </c>
    </row>
    <row r="184" spans="1:9" x14ac:dyDescent="0.2">
      <c r="A184" s="10">
        <v>6712</v>
      </c>
      <c r="B184" s="10">
        <v>15</v>
      </c>
      <c r="C184" s="10" t="s">
        <v>514</v>
      </c>
      <c r="D184" s="10">
        <v>1594</v>
      </c>
      <c r="E184" s="10" t="s">
        <v>526</v>
      </c>
      <c r="F184" s="11">
        <v>1946</v>
      </c>
      <c r="G184" s="11">
        <v>2140</v>
      </c>
      <c r="H184" s="11">
        <v>4086</v>
      </c>
      <c r="I184" s="11">
        <v>1536</v>
      </c>
    </row>
    <row r="185" spans="1:9" x14ac:dyDescent="0.2">
      <c r="A185" s="10">
        <v>6712</v>
      </c>
      <c r="B185" s="10">
        <v>15</v>
      </c>
      <c r="C185" s="10" t="s">
        <v>514</v>
      </c>
      <c r="D185" s="10">
        <v>1595</v>
      </c>
      <c r="E185" s="10" t="s">
        <v>527</v>
      </c>
      <c r="F185" s="11">
        <v>1923</v>
      </c>
      <c r="G185" s="11">
        <v>2158</v>
      </c>
      <c r="H185" s="11">
        <v>4081</v>
      </c>
      <c r="I185" s="11">
        <v>1766</v>
      </c>
    </row>
    <row r="186" spans="1:9" x14ac:dyDescent="0.2">
      <c r="A186" s="10">
        <v>6712</v>
      </c>
      <c r="B186" s="10">
        <v>15</v>
      </c>
      <c r="C186" s="10" t="s">
        <v>514</v>
      </c>
      <c r="D186" s="10">
        <v>1596</v>
      </c>
      <c r="E186" s="10" t="s">
        <v>528</v>
      </c>
      <c r="F186" s="11">
        <v>5925</v>
      </c>
      <c r="G186" s="11">
        <v>6380</v>
      </c>
      <c r="H186" s="11">
        <v>12305</v>
      </c>
      <c r="I186" s="11">
        <v>4352</v>
      </c>
    </row>
    <row r="187" spans="1:9" x14ac:dyDescent="0.2">
      <c r="A187" s="10">
        <v>6712</v>
      </c>
      <c r="B187" s="10">
        <v>15</v>
      </c>
      <c r="C187" s="10" t="s">
        <v>514</v>
      </c>
      <c r="D187" s="10">
        <v>1597</v>
      </c>
      <c r="E187" s="10" t="s">
        <v>529</v>
      </c>
      <c r="F187" s="11">
        <v>1305</v>
      </c>
      <c r="G187" s="11">
        <v>1398</v>
      </c>
      <c r="H187" s="11">
        <v>2703</v>
      </c>
      <c r="I187" s="11">
        <v>1047</v>
      </c>
    </row>
    <row r="188" spans="1:9" x14ac:dyDescent="0.2">
      <c r="A188" s="10">
        <v>6712</v>
      </c>
      <c r="B188" s="10">
        <v>15</v>
      </c>
      <c r="C188" s="10" t="s">
        <v>514</v>
      </c>
      <c r="D188" s="10">
        <v>1598</v>
      </c>
      <c r="E188" s="10" t="s">
        <v>530</v>
      </c>
      <c r="F188" s="11">
        <v>4001</v>
      </c>
      <c r="G188" s="11">
        <v>4436</v>
      </c>
      <c r="H188" s="11">
        <v>8437</v>
      </c>
      <c r="I188" s="11">
        <v>3645</v>
      </c>
    </row>
    <row r="189" spans="1:9" x14ac:dyDescent="0.2">
      <c r="A189" s="10">
        <v>6712</v>
      </c>
      <c r="B189" s="10">
        <v>15</v>
      </c>
      <c r="C189" s="10" t="s">
        <v>514</v>
      </c>
      <c r="D189" s="10">
        <v>1599</v>
      </c>
      <c r="E189" s="10" t="s">
        <v>531</v>
      </c>
      <c r="F189" s="11">
        <v>5283</v>
      </c>
      <c r="G189" s="11">
        <v>5940</v>
      </c>
      <c r="H189" s="11">
        <v>11223</v>
      </c>
      <c r="I189" s="11">
        <v>6704</v>
      </c>
    </row>
    <row r="190" spans="1:9" x14ac:dyDescent="0.2">
      <c r="A190" s="10">
        <v>6712</v>
      </c>
      <c r="B190" s="10">
        <v>16</v>
      </c>
      <c r="C190" s="10" t="s">
        <v>532</v>
      </c>
      <c r="D190" s="10">
        <v>1601</v>
      </c>
      <c r="E190" s="10" t="s">
        <v>533</v>
      </c>
      <c r="F190" s="11">
        <v>48899</v>
      </c>
      <c r="G190" s="11">
        <v>50068</v>
      </c>
      <c r="H190" s="11">
        <v>98967</v>
      </c>
      <c r="I190" s="11">
        <v>42967</v>
      </c>
    </row>
    <row r="191" spans="1:9" x14ac:dyDescent="0.2">
      <c r="A191" s="10">
        <v>6712</v>
      </c>
      <c r="B191" s="10">
        <v>16</v>
      </c>
      <c r="C191" s="10" t="s">
        <v>532</v>
      </c>
      <c r="D191" s="10">
        <v>1602</v>
      </c>
      <c r="E191" s="10" t="s">
        <v>534</v>
      </c>
      <c r="F191" s="11">
        <v>27092</v>
      </c>
      <c r="G191" s="11">
        <v>28062</v>
      </c>
      <c r="H191" s="11">
        <v>55154</v>
      </c>
      <c r="I191" s="11">
        <v>24942</v>
      </c>
    </row>
    <row r="192" spans="1:9" x14ac:dyDescent="0.2">
      <c r="A192" s="10">
        <v>6712</v>
      </c>
      <c r="B192" s="10">
        <v>16</v>
      </c>
      <c r="C192" s="10" t="s">
        <v>532</v>
      </c>
      <c r="D192" s="10">
        <v>1603</v>
      </c>
      <c r="E192" s="10" t="s">
        <v>535</v>
      </c>
      <c r="F192" s="11">
        <v>36982</v>
      </c>
      <c r="G192" s="11">
        <v>37818</v>
      </c>
      <c r="H192" s="11">
        <v>74800</v>
      </c>
      <c r="I192" s="11">
        <v>29980</v>
      </c>
    </row>
    <row r="193" spans="1:9" x14ac:dyDescent="0.2">
      <c r="A193" s="10">
        <v>6712</v>
      </c>
      <c r="B193" s="10">
        <v>16</v>
      </c>
      <c r="C193" s="10" t="s">
        <v>532</v>
      </c>
      <c r="D193" s="10">
        <v>1604</v>
      </c>
      <c r="E193" s="10" t="s">
        <v>536</v>
      </c>
      <c r="F193" s="11">
        <v>36093</v>
      </c>
      <c r="G193" s="11">
        <v>36928</v>
      </c>
      <c r="H193" s="11">
        <v>73021</v>
      </c>
      <c r="I193" s="11">
        <v>29362</v>
      </c>
    </row>
    <row r="194" spans="1:9" x14ac:dyDescent="0.2">
      <c r="A194" s="10">
        <v>6712</v>
      </c>
      <c r="B194" s="10">
        <v>16</v>
      </c>
      <c r="C194" s="10" t="s">
        <v>532</v>
      </c>
      <c r="D194" s="10">
        <v>1605</v>
      </c>
      <c r="E194" s="10" t="s">
        <v>537</v>
      </c>
      <c r="F194" s="11">
        <v>20612</v>
      </c>
      <c r="G194" s="11">
        <v>22431</v>
      </c>
      <c r="H194" s="11">
        <v>43043</v>
      </c>
      <c r="I194" s="11">
        <v>14624</v>
      </c>
    </row>
    <row r="195" spans="1:9" x14ac:dyDescent="0.2">
      <c r="A195" s="10">
        <v>6712</v>
      </c>
      <c r="B195" s="10">
        <v>16</v>
      </c>
      <c r="C195" s="10" t="s">
        <v>532</v>
      </c>
      <c r="D195" s="10">
        <v>1606</v>
      </c>
      <c r="E195" s="10" t="s">
        <v>538</v>
      </c>
      <c r="F195" s="11">
        <v>32006</v>
      </c>
      <c r="G195" s="11">
        <v>34773</v>
      </c>
      <c r="H195" s="11">
        <v>66779</v>
      </c>
      <c r="I195" s="11">
        <v>24176</v>
      </c>
    </row>
    <row r="196" spans="1:9" x14ac:dyDescent="0.2">
      <c r="A196" s="10">
        <v>6712</v>
      </c>
      <c r="B196" s="10">
        <v>16</v>
      </c>
      <c r="C196" s="10" t="s">
        <v>532</v>
      </c>
      <c r="D196" s="10">
        <v>1607</v>
      </c>
      <c r="E196" s="10" t="s">
        <v>539</v>
      </c>
      <c r="F196" s="11">
        <v>12697</v>
      </c>
      <c r="G196" s="11">
        <v>13021</v>
      </c>
      <c r="H196" s="11">
        <v>25718</v>
      </c>
      <c r="I196" s="11">
        <v>8933</v>
      </c>
    </row>
    <row r="197" spans="1:9" x14ac:dyDescent="0.2">
      <c r="A197" s="10">
        <v>6712</v>
      </c>
      <c r="B197" s="10">
        <v>16</v>
      </c>
      <c r="C197" s="10" t="s">
        <v>532</v>
      </c>
      <c r="D197" s="10">
        <v>1608</v>
      </c>
      <c r="E197" s="10" t="s">
        <v>540</v>
      </c>
      <c r="F197" s="11">
        <v>7034</v>
      </c>
      <c r="G197" s="11">
        <v>6901</v>
      </c>
      <c r="H197" s="11">
        <v>13935</v>
      </c>
      <c r="I197" s="11">
        <v>5500</v>
      </c>
    </row>
    <row r="198" spans="1:9" x14ac:dyDescent="0.2">
      <c r="A198" s="10">
        <v>6712</v>
      </c>
      <c r="B198" s="10">
        <v>16</v>
      </c>
      <c r="C198" s="10" t="s">
        <v>532</v>
      </c>
      <c r="D198" s="10">
        <v>1609</v>
      </c>
      <c r="E198" s="10" t="s">
        <v>541</v>
      </c>
      <c r="F198" s="11">
        <v>12049</v>
      </c>
      <c r="G198" s="11">
        <v>12080</v>
      </c>
      <c r="H198" s="11">
        <v>24129</v>
      </c>
      <c r="I198" s="11">
        <v>8178</v>
      </c>
    </row>
    <row r="199" spans="1:9" x14ac:dyDescent="0.2">
      <c r="A199" s="10">
        <v>6712</v>
      </c>
      <c r="B199" s="10">
        <v>16</v>
      </c>
      <c r="C199" s="10" t="s">
        <v>532</v>
      </c>
      <c r="D199" s="10">
        <v>1610</v>
      </c>
      <c r="E199" s="10" t="s">
        <v>542</v>
      </c>
      <c r="F199" s="11">
        <v>13320</v>
      </c>
      <c r="G199" s="11">
        <v>13602</v>
      </c>
      <c r="H199" s="11">
        <v>26922</v>
      </c>
      <c r="I199" s="11">
        <v>9872</v>
      </c>
    </row>
    <row r="200" spans="1:9" x14ac:dyDescent="0.2">
      <c r="A200" s="10">
        <v>6712</v>
      </c>
      <c r="B200" s="10">
        <v>16</v>
      </c>
      <c r="C200" s="10" t="s">
        <v>532</v>
      </c>
      <c r="D200" s="10">
        <v>1611</v>
      </c>
      <c r="E200" s="10" t="s">
        <v>543</v>
      </c>
      <c r="F200" s="11">
        <v>13460</v>
      </c>
      <c r="G200" s="11">
        <v>13956</v>
      </c>
      <c r="H200" s="11">
        <v>27416</v>
      </c>
      <c r="I200" s="11">
        <v>10512</v>
      </c>
    </row>
    <row r="201" spans="1:9" x14ac:dyDescent="0.2">
      <c r="A201" s="10">
        <v>6712</v>
      </c>
      <c r="B201" s="10">
        <v>16</v>
      </c>
      <c r="C201" s="10" t="s">
        <v>532</v>
      </c>
      <c r="D201" s="10">
        <v>1681</v>
      </c>
      <c r="E201" s="10" t="s">
        <v>544</v>
      </c>
      <c r="F201" s="11">
        <v>5180</v>
      </c>
      <c r="G201" s="11">
        <v>6093</v>
      </c>
      <c r="H201" s="11">
        <v>11273</v>
      </c>
      <c r="I201" s="11">
        <v>6169</v>
      </c>
    </row>
    <row r="202" spans="1:9" x14ac:dyDescent="0.2">
      <c r="A202" s="10">
        <v>6712</v>
      </c>
      <c r="B202" s="10">
        <v>16</v>
      </c>
      <c r="C202" s="10" t="s">
        <v>532</v>
      </c>
      <c r="D202" s="10">
        <v>1682</v>
      </c>
      <c r="E202" s="10" t="s">
        <v>545</v>
      </c>
      <c r="F202" s="11">
        <v>6044</v>
      </c>
      <c r="G202" s="11">
        <v>5086</v>
      </c>
      <c r="H202" s="11">
        <v>11130</v>
      </c>
      <c r="I202" s="11">
        <v>5000</v>
      </c>
    </row>
    <row r="203" spans="1:9" x14ac:dyDescent="0.2">
      <c r="A203" s="10">
        <v>6712</v>
      </c>
      <c r="B203" s="10">
        <v>16</v>
      </c>
      <c r="C203" s="10" t="s">
        <v>532</v>
      </c>
      <c r="D203" s="10">
        <v>1683</v>
      </c>
      <c r="E203" s="10" t="s">
        <v>546</v>
      </c>
      <c r="F203" s="11">
        <v>15304</v>
      </c>
      <c r="G203" s="11">
        <v>12993</v>
      </c>
      <c r="H203" s="11">
        <v>28297</v>
      </c>
      <c r="I203" s="11">
        <v>13166</v>
      </c>
    </row>
    <row r="204" spans="1:9" x14ac:dyDescent="0.2">
      <c r="A204" s="10">
        <v>6712</v>
      </c>
      <c r="B204" s="10">
        <v>16</v>
      </c>
      <c r="C204" s="10" t="s">
        <v>532</v>
      </c>
      <c r="D204" s="10">
        <v>1684</v>
      </c>
      <c r="E204" s="10" t="s">
        <v>547</v>
      </c>
      <c r="F204" s="11">
        <v>6730</v>
      </c>
      <c r="G204" s="11">
        <v>7628</v>
      </c>
      <c r="H204" s="11">
        <v>14358</v>
      </c>
      <c r="I204" s="11">
        <v>7340</v>
      </c>
    </row>
    <row r="205" spans="1:9" x14ac:dyDescent="0.2">
      <c r="A205" s="10">
        <v>6712</v>
      </c>
      <c r="B205" s="10">
        <v>16</v>
      </c>
      <c r="C205" s="10" t="s">
        <v>532</v>
      </c>
      <c r="D205" s="10">
        <v>1685</v>
      </c>
      <c r="E205" s="10" t="s">
        <v>548</v>
      </c>
      <c r="F205" s="11">
        <v>3889</v>
      </c>
      <c r="G205" s="11">
        <v>4167</v>
      </c>
      <c r="H205" s="11">
        <v>8056</v>
      </c>
      <c r="I205" s="11">
        <v>3955</v>
      </c>
    </row>
    <row r="206" spans="1:9" x14ac:dyDescent="0.2">
      <c r="A206" s="10">
        <v>6712</v>
      </c>
      <c r="B206" s="10">
        <v>16</v>
      </c>
      <c r="C206" s="10" t="s">
        <v>532</v>
      </c>
      <c r="D206" s="10">
        <v>1686</v>
      </c>
      <c r="E206" s="10" t="s">
        <v>549</v>
      </c>
      <c r="F206" s="11">
        <v>14600</v>
      </c>
      <c r="G206" s="11">
        <v>8666</v>
      </c>
      <c r="H206" s="11">
        <v>23266</v>
      </c>
      <c r="I206" s="11">
        <v>12062</v>
      </c>
    </row>
    <row r="207" spans="1:9" x14ac:dyDescent="0.2">
      <c r="A207" s="10">
        <v>6712</v>
      </c>
      <c r="B207" s="10">
        <v>16</v>
      </c>
      <c r="C207" s="10" t="s">
        <v>532</v>
      </c>
      <c r="D207" s="10">
        <v>1688</v>
      </c>
      <c r="E207" s="10" t="s">
        <v>550</v>
      </c>
      <c r="F207" s="11">
        <v>3337</v>
      </c>
      <c r="G207" s="11">
        <v>3610</v>
      </c>
      <c r="H207" s="11">
        <v>6947</v>
      </c>
      <c r="I207" s="11">
        <v>3246</v>
      </c>
    </row>
    <row r="208" spans="1:9" x14ac:dyDescent="0.2">
      <c r="A208" s="10">
        <v>6712</v>
      </c>
      <c r="B208" s="10">
        <v>16</v>
      </c>
      <c r="C208" s="10" t="s">
        <v>532</v>
      </c>
      <c r="D208" s="10">
        <v>1689</v>
      </c>
      <c r="E208" s="10" t="s">
        <v>551</v>
      </c>
      <c r="F208" s="11">
        <v>1853</v>
      </c>
      <c r="G208" s="11">
        <v>1882</v>
      </c>
      <c r="H208" s="11">
        <v>3735</v>
      </c>
      <c r="I208" s="11">
        <v>2222</v>
      </c>
    </row>
    <row r="209" spans="1:9" x14ac:dyDescent="0.2">
      <c r="A209" s="10">
        <v>6712</v>
      </c>
      <c r="B209" s="10">
        <v>16</v>
      </c>
      <c r="C209" s="10" t="s">
        <v>532</v>
      </c>
      <c r="D209" s="10">
        <v>1690</v>
      </c>
      <c r="E209" s="10" t="s">
        <v>552</v>
      </c>
      <c r="F209" s="10">
        <v>992</v>
      </c>
      <c r="G209" s="11">
        <v>1053</v>
      </c>
      <c r="H209" s="11">
        <v>2045</v>
      </c>
      <c r="I209" s="10">
        <v>916</v>
      </c>
    </row>
    <row r="210" spans="1:9" x14ac:dyDescent="0.2">
      <c r="A210" s="10">
        <v>6712</v>
      </c>
      <c r="B210" s="10">
        <v>16</v>
      </c>
      <c r="C210" s="10" t="s">
        <v>532</v>
      </c>
      <c r="D210" s="10">
        <v>1691</v>
      </c>
      <c r="E210" s="10" t="s">
        <v>553</v>
      </c>
      <c r="F210" s="11">
        <v>1017</v>
      </c>
      <c r="G210" s="11">
        <v>1181</v>
      </c>
      <c r="H210" s="11">
        <v>2198</v>
      </c>
      <c r="I210" s="11">
        <v>1044</v>
      </c>
    </row>
    <row r="211" spans="1:9" x14ac:dyDescent="0.2">
      <c r="A211" s="10">
        <v>6712</v>
      </c>
      <c r="B211" s="10">
        <v>16</v>
      </c>
      <c r="C211" s="10" t="s">
        <v>532</v>
      </c>
      <c r="D211" s="10">
        <v>1692</v>
      </c>
      <c r="E211" s="10" t="s">
        <v>554</v>
      </c>
      <c r="F211" s="11">
        <v>7288</v>
      </c>
      <c r="G211" s="11">
        <v>7844</v>
      </c>
      <c r="H211" s="11">
        <v>15132</v>
      </c>
      <c r="I211" s="11">
        <v>8808</v>
      </c>
    </row>
    <row r="212" spans="1:9" x14ac:dyDescent="0.2">
      <c r="A212" s="10">
        <v>6712</v>
      </c>
      <c r="B212" s="10">
        <v>16</v>
      </c>
      <c r="C212" s="10" t="s">
        <v>532</v>
      </c>
      <c r="D212" s="10">
        <v>1693</v>
      </c>
      <c r="E212" s="10" t="s">
        <v>555</v>
      </c>
      <c r="F212" s="11">
        <v>2298</v>
      </c>
      <c r="G212" s="11">
        <v>2454</v>
      </c>
      <c r="H212" s="11">
        <v>4752</v>
      </c>
      <c r="I212" s="11">
        <v>2181</v>
      </c>
    </row>
    <row r="213" spans="1:9" x14ac:dyDescent="0.2">
      <c r="A213" s="10">
        <v>6712</v>
      </c>
      <c r="B213" s="10">
        <v>16</v>
      </c>
      <c r="C213" s="10" t="s">
        <v>532</v>
      </c>
      <c r="D213" s="10">
        <v>1694</v>
      </c>
      <c r="E213" s="10" t="s">
        <v>556</v>
      </c>
      <c r="F213" s="11">
        <v>1430</v>
      </c>
      <c r="G213" s="11">
        <v>1608</v>
      </c>
      <c r="H213" s="11">
        <v>3038</v>
      </c>
      <c r="I213" s="11">
        <v>1485</v>
      </c>
    </row>
    <row r="214" spans="1:9" x14ac:dyDescent="0.2">
      <c r="A214" s="10">
        <v>6712</v>
      </c>
      <c r="B214" s="10">
        <v>16</v>
      </c>
      <c r="C214" s="10" t="s">
        <v>532</v>
      </c>
      <c r="D214" s="10">
        <v>1695</v>
      </c>
      <c r="E214" s="10" t="s">
        <v>557</v>
      </c>
      <c r="F214" s="11">
        <v>1382</v>
      </c>
      <c r="G214" s="11">
        <v>1424</v>
      </c>
      <c r="H214" s="11">
        <v>2806</v>
      </c>
      <c r="I214" s="11">
        <v>1151</v>
      </c>
    </row>
    <row r="215" spans="1:9" x14ac:dyDescent="0.2">
      <c r="A215" s="10">
        <v>6712</v>
      </c>
      <c r="B215" s="10">
        <v>16</v>
      </c>
      <c r="C215" s="10" t="s">
        <v>532</v>
      </c>
      <c r="D215" s="10">
        <v>1696</v>
      </c>
      <c r="E215" s="10" t="s">
        <v>558</v>
      </c>
      <c r="F215" s="11">
        <v>14913</v>
      </c>
      <c r="G215" s="11">
        <v>15304</v>
      </c>
      <c r="H215" s="11">
        <v>30217</v>
      </c>
      <c r="I215" s="11">
        <v>12398</v>
      </c>
    </row>
    <row r="216" spans="1:9" x14ac:dyDescent="0.2">
      <c r="A216" s="10">
        <v>6712</v>
      </c>
      <c r="B216" s="10">
        <v>16</v>
      </c>
      <c r="C216" s="10" t="s">
        <v>532</v>
      </c>
      <c r="D216" s="10">
        <v>1697</v>
      </c>
      <c r="E216" s="10" t="s">
        <v>559</v>
      </c>
      <c r="F216" s="11">
        <v>2636</v>
      </c>
      <c r="G216" s="11">
        <v>2855</v>
      </c>
      <c r="H216" s="11">
        <v>5491</v>
      </c>
      <c r="I216" s="11">
        <v>2445</v>
      </c>
    </row>
    <row r="217" spans="1:9" x14ac:dyDescent="0.2">
      <c r="A217" s="10">
        <v>6712</v>
      </c>
      <c r="B217" s="10">
        <v>16</v>
      </c>
      <c r="C217" s="10" t="s">
        <v>532</v>
      </c>
      <c r="D217" s="10">
        <v>1698</v>
      </c>
      <c r="E217" s="10" t="s">
        <v>560</v>
      </c>
      <c r="F217" s="11">
        <v>1410</v>
      </c>
      <c r="G217" s="11">
        <v>1572</v>
      </c>
      <c r="H217" s="11">
        <v>2982</v>
      </c>
      <c r="I217" s="11">
        <v>1345</v>
      </c>
    </row>
    <row r="218" spans="1:9" x14ac:dyDescent="0.2">
      <c r="A218" s="10">
        <v>6712</v>
      </c>
      <c r="B218" s="10">
        <v>16</v>
      </c>
      <c r="C218" s="10" t="s">
        <v>532</v>
      </c>
      <c r="D218" s="10">
        <v>1699</v>
      </c>
      <c r="E218" s="10" t="s">
        <v>561</v>
      </c>
      <c r="F218" s="11">
        <v>9493</v>
      </c>
      <c r="G218" s="11">
        <v>10166</v>
      </c>
      <c r="H218" s="11">
        <v>19659</v>
      </c>
      <c r="I218" s="11">
        <v>12808</v>
      </c>
    </row>
    <row r="219" spans="1:9" x14ac:dyDescent="0.2">
      <c r="A219" s="10">
        <v>6712</v>
      </c>
      <c r="B219" s="10">
        <v>17</v>
      </c>
      <c r="C219" s="10" t="s">
        <v>562</v>
      </c>
      <c r="D219" s="10">
        <v>1701</v>
      </c>
      <c r="E219" s="10" t="s">
        <v>563</v>
      </c>
      <c r="F219" s="11">
        <v>16819</v>
      </c>
      <c r="G219" s="11">
        <v>19331</v>
      </c>
      <c r="H219" s="11">
        <v>36150</v>
      </c>
      <c r="I219" s="11">
        <v>14194</v>
      </c>
    </row>
    <row r="220" spans="1:9" x14ac:dyDescent="0.2">
      <c r="A220" s="10">
        <v>6712</v>
      </c>
      <c r="B220" s="10">
        <v>17</v>
      </c>
      <c r="C220" s="10" t="s">
        <v>562</v>
      </c>
      <c r="D220" s="10">
        <v>1702</v>
      </c>
      <c r="E220" s="10" t="s">
        <v>564</v>
      </c>
      <c r="F220" s="11">
        <v>9154</v>
      </c>
      <c r="G220" s="11">
        <v>9773</v>
      </c>
      <c r="H220" s="11">
        <v>18927</v>
      </c>
      <c r="I220" s="11">
        <v>7396</v>
      </c>
    </row>
    <row r="221" spans="1:9" x14ac:dyDescent="0.2">
      <c r="A221" s="10">
        <v>6712</v>
      </c>
      <c r="B221" s="10">
        <v>17</v>
      </c>
      <c r="C221" s="10" t="s">
        <v>562</v>
      </c>
      <c r="D221" s="10">
        <v>1703</v>
      </c>
      <c r="E221" s="10" t="s">
        <v>565</v>
      </c>
      <c r="F221" s="11">
        <v>12264</v>
      </c>
      <c r="G221" s="11">
        <v>13165</v>
      </c>
      <c r="H221" s="11">
        <v>25429</v>
      </c>
      <c r="I221" s="11">
        <v>9318</v>
      </c>
    </row>
    <row r="222" spans="1:9" x14ac:dyDescent="0.2">
      <c r="A222" s="10">
        <v>6712</v>
      </c>
      <c r="B222" s="10">
        <v>17</v>
      </c>
      <c r="C222" s="10" t="s">
        <v>562</v>
      </c>
      <c r="D222" s="10">
        <v>1704</v>
      </c>
      <c r="E222" s="10" t="s">
        <v>566</v>
      </c>
      <c r="F222" s="11">
        <v>7587</v>
      </c>
      <c r="G222" s="11">
        <v>8421</v>
      </c>
      <c r="H222" s="11">
        <v>16008</v>
      </c>
      <c r="I222" s="11">
        <v>6153</v>
      </c>
    </row>
    <row r="223" spans="1:9" x14ac:dyDescent="0.2">
      <c r="A223" s="10">
        <v>6712</v>
      </c>
      <c r="B223" s="10">
        <v>17</v>
      </c>
      <c r="C223" s="10" t="s">
        <v>562</v>
      </c>
      <c r="D223" s="10">
        <v>1705</v>
      </c>
      <c r="E223" s="10" t="s">
        <v>567</v>
      </c>
      <c r="F223" s="11">
        <v>2482</v>
      </c>
      <c r="G223" s="11">
        <v>2803</v>
      </c>
      <c r="H223" s="11">
        <v>5285</v>
      </c>
      <c r="I223" s="11">
        <v>1928</v>
      </c>
    </row>
    <row r="224" spans="1:9" x14ac:dyDescent="0.2">
      <c r="A224" s="10">
        <v>6712</v>
      </c>
      <c r="B224" s="10">
        <v>17</v>
      </c>
      <c r="C224" s="10" t="s">
        <v>562</v>
      </c>
      <c r="D224" s="10">
        <v>1706</v>
      </c>
      <c r="E224" s="10" t="s">
        <v>568</v>
      </c>
      <c r="F224" s="11">
        <v>22738</v>
      </c>
      <c r="G224" s="11">
        <v>24680</v>
      </c>
      <c r="H224" s="11">
        <v>47418</v>
      </c>
      <c r="I224" s="11">
        <v>18239</v>
      </c>
    </row>
    <row r="225" spans="1:9" x14ac:dyDescent="0.2">
      <c r="A225" s="10">
        <v>6712</v>
      </c>
      <c r="B225" s="10">
        <v>17</v>
      </c>
      <c r="C225" s="10" t="s">
        <v>562</v>
      </c>
      <c r="D225" s="10">
        <v>1793</v>
      </c>
      <c r="E225" s="10" t="s">
        <v>569</v>
      </c>
      <c r="F225" s="11">
        <v>1998</v>
      </c>
      <c r="G225" s="11">
        <v>2195</v>
      </c>
      <c r="H225" s="11">
        <v>4193</v>
      </c>
      <c r="I225" s="11">
        <v>2304</v>
      </c>
    </row>
    <row r="226" spans="1:9" x14ac:dyDescent="0.2">
      <c r="A226" s="10">
        <v>6712</v>
      </c>
      <c r="B226" s="10">
        <v>17</v>
      </c>
      <c r="C226" s="10" t="s">
        <v>562</v>
      </c>
      <c r="D226" s="10">
        <v>1794</v>
      </c>
      <c r="E226" s="10" t="s">
        <v>570</v>
      </c>
      <c r="F226" s="11">
        <v>4017</v>
      </c>
      <c r="G226" s="11">
        <v>4374</v>
      </c>
      <c r="H226" s="11">
        <v>8391</v>
      </c>
      <c r="I226" s="11">
        <v>3544</v>
      </c>
    </row>
    <row r="227" spans="1:9" x14ac:dyDescent="0.2">
      <c r="A227" s="10">
        <v>6712</v>
      </c>
      <c r="B227" s="10">
        <v>17</v>
      </c>
      <c r="C227" s="10" t="s">
        <v>562</v>
      </c>
      <c r="D227" s="10">
        <v>1795</v>
      </c>
      <c r="E227" s="10" t="s">
        <v>571</v>
      </c>
      <c r="F227" s="11">
        <v>1479</v>
      </c>
      <c r="G227" s="11">
        <v>1582</v>
      </c>
      <c r="H227" s="11">
        <v>3061</v>
      </c>
      <c r="I227" s="11">
        <v>1335</v>
      </c>
    </row>
    <row r="228" spans="1:9" x14ac:dyDescent="0.2">
      <c r="A228" s="10">
        <v>6712</v>
      </c>
      <c r="B228" s="10">
        <v>17</v>
      </c>
      <c r="C228" s="10" t="s">
        <v>562</v>
      </c>
      <c r="D228" s="10">
        <v>1796</v>
      </c>
      <c r="E228" s="10" t="s">
        <v>572</v>
      </c>
      <c r="F228" s="11">
        <v>1561</v>
      </c>
      <c r="G228" s="11">
        <v>1709</v>
      </c>
      <c r="H228" s="11">
        <v>3270</v>
      </c>
      <c r="I228" s="11">
        <v>1426</v>
      </c>
    </row>
    <row r="229" spans="1:9" x14ac:dyDescent="0.2">
      <c r="A229" s="10">
        <v>6712</v>
      </c>
      <c r="B229" s="10">
        <v>17</v>
      </c>
      <c r="C229" s="10" t="s">
        <v>562</v>
      </c>
      <c r="D229" s="10">
        <v>1797</v>
      </c>
      <c r="E229" s="10" t="s">
        <v>573</v>
      </c>
      <c r="F229" s="10">
        <v>910</v>
      </c>
      <c r="G229" s="11">
        <v>1015</v>
      </c>
      <c r="H229" s="11">
        <v>1925</v>
      </c>
      <c r="I229" s="10">
        <v>868</v>
      </c>
    </row>
    <row r="230" spans="1:9" x14ac:dyDescent="0.2">
      <c r="A230" s="10">
        <v>6712</v>
      </c>
      <c r="B230" s="10">
        <v>17</v>
      </c>
      <c r="C230" s="10" t="s">
        <v>562</v>
      </c>
      <c r="D230" s="10">
        <v>1798</v>
      </c>
      <c r="E230" s="10" t="s">
        <v>574</v>
      </c>
      <c r="F230" s="11">
        <v>6289</v>
      </c>
      <c r="G230" s="11">
        <v>7093</v>
      </c>
      <c r="H230" s="11">
        <v>13382</v>
      </c>
      <c r="I230" s="11">
        <v>5839</v>
      </c>
    </row>
    <row r="231" spans="1:9" x14ac:dyDescent="0.2">
      <c r="A231" s="10">
        <v>6712</v>
      </c>
      <c r="B231" s="10">
        <v>17</v>
      </c>
      <c r="C231" s="10" t="s">
        <v>562</v>
      </c>
      <c r="D231" s="10">
        <v>1799</v>
      </c>
      <c r="E231" s="10" t="s">
        <v>575</v>
      </c>
      <c r="F231" s="11">
        <v>7597</v>
      </c>
      <c r="G231" s="11">
        <v>8767</v>
      </c>
      <c r="H231" s="11">
        <v>16364</v>
      </c>
      <c r="I231" s="11">
        <v>9448</v>
      </c>
    </row>
    <row r="232" spans="1:9" x14ac:dyDescent="0.2">
      <c r="A232" s="10">
        <v>6712</v>
      </c>
      <c r="B232" s="10">
        <v>18</v>
      </c>
      <c r="C232" s="10" t="s">
        <v>576</v>
      </c>
      <c r="D232" s="10">
        <v>1801</v>
      </c>
      <c r="E232" s="10" t="s">
        <v>577</v>
      </c>
      <c r="F232" s="11">
        <v>10954</v>
      </c>
      <c r="G232" s="11">
        <v>11729</v>
      </c>
      <c r="H232" s="11">
        <v>22683</v>
      </c>
      <c r="I232" s="11">
        <v>9117</v>
      </c>
    </row>
    <row r="233" spans="1:9" x14ac:dyDescent="0.2">
      <c r="A233" s="10">
        <v>6712</v>
      </c>
      <c r="B233" s="10">
        <v>18</v>
      </c>
      <c r="C233" s="10" t="s">
        <v>576</v>
      </c>
      <c r="D233" s="10">
        <v>1802</v>
      </c>
      <c r="E233" s="10" t="s">
        <v>578</v>
      </c>
      <c r="F233" s="11">
        <v>11065</v>
      </c>
      <c r="G233" s="11">
        <v>12139</v>
      </c>
      <c r="H233" s="11">
        <v>23204</v>
      </c>
      <c r="I233" s="11">
        <v>9341</v>
      </c>
    </row>
    <row r="234" spans="1:9" x14ac:dyDescent="0.2">
      <c r="A234" s="10">
        <v>6712</v>
      </c>
      <c r="B234" s="10">
        <v>18</v>
      </c>
      <c r="C234" s="10" t="s">
        <v>576</v>
      </c>
      <c r="D234" s="10">
        <v>1803</v>
      </c>
      <c r="E234" s="10" t="s">
        <v>579</v>
      </c>
      <c r="F234" s="11">
        <v>10487</v>
      </c>
      <c r="G234" s="11">
        <v>11203</v>
      </c>
      <c r="H234" s="11">
        <v>21690</v>
      </c>
      <c r="I234" s="11">
        <v>9659</v>
      </c>
    </row>
    <row r="235" spans="1:9" x14ac:dyDescent="0.2">
      <c r="A235" s="10">
        <v>6712</v>
      </c>
      <c r="B235" s="10">
        <v>18</v>
      </c>
      <c r="C235" s="10" t="s">
        <v>576</v>
      </c>
      <c r="D235" s="10">
        <v>1804</v>
      </c>
      <c r="E235" s="10" t="s">
        <v>580</v>
      </c>
      <c r="F235" s="11">
        <v>14409</v>
      </c>
      <c r="G235" s="11">
        <v>15479</v>
      </c>
      <c r="H235" s="11">
        <v>29888</v>
      </c>
      <c r="I235" s="11">
        <v>12121</v>
      </c>
    </row>
    <row r="236" spans="1:9" x14ac:dyDescent="0.2">
      <c r="A236" s="10">
        <v>6712</v>
      </c>
      <c r="B236" s="10">
        <v>18</v>
      </c>
      <c r="C236" s="10" t="s">
        <v>576</v>
      </c>
      <c r="D236" s="10">
        <v>1805</v>
      </c>
      <c r="E236" s="10" t="s">
        <v>581</v>
      </c>
      <c r="F236" s="11">
        <v>28442</v>
      </c>
      <c r="G236" s="11">
        <v>30956</v>
      </c>
      <c r="H236" s="11">
        <v>59398</v>
      </c>
      <c r="I236" s="11">
        <v>22886</v>
      </c>
    </row>
    <row r="237" spans="1:9" x14ac:dyDescent="0.2">
      <c r="A237" s="10">
        <v>6712</v>
      </c>
      <c r="B237" s="10">
        <v>18</v>
      </c>
      <c r="C237" s="10" t="s">
        <v>576</v>
      </c>
      <c r="D237" s="10">
        <v>1806</v>
      </c>
      <c r="E237" s="10" t="s">
        <v>582</v>
      </c>
      <c r="F237" s="11">
        <v>19462</v>
      </c>
      <c r="G237" s="11">
        <v>20748</v>
      </c>
      <c r="H237" s="11">
        <v>40210</v>
      </c>
      <c r="I237" s="11">
        <v>15267</v>
      </c>
    </row>
    <row r="238" spans="1:9" x14ac:dyDescent="0.2">
      <c r="A238" s="10">
        <v>6712</v>
      </c>
      <c r="B238" s="10">
        <v>18</v>
      </c>
      <c r="C238" s="10" t="s">
        <v>576</v>
      </c>
      <c r="D238" s="10">
        <v>1807</v>
      </c>
      <c r="E238" s="10" t="s">
        <v>583</v>
      </c>
      <c r="F238" s="11">
        <v>6199</v>
      </c>
      <c r="G238" s="11">
        <v>6426</v>
      </c>
      <c r="H238" s="11">
        <v>12625</v>
      </c>
      <c r="I238" s="11">
        <v>5316</v>
      </c>
    </row>
    <row r="239" spans="1:9" x14ac:dyDescent="0.2">
      <c r="A239" s="10">
        <v>6712</v>
      </c>
      <c r="B239" s="10">
        <v>18</v>
      </c>
      <c r="C239" s="10" t="s">
        <v>576</v>
      </c>
      <c r="D239" s="10">
        <v>1808</v>
      </c>
      <c r="E239" s="10" t="s">
        <v>584</v>
      </c>
      <c r="F239" s="11">
        <v>5241</v>
      </c>
      <c r="G239" s="11">
        <v>5436</v>
      </c>
      <c r="H239" s="11">
        <v>10677</v>
      </c>
      <c r="I239" s="11">
        <v>4139</v>
      </c>
    </row>
    <row r="240" spans="1:9" x14ac:dyDescent="0.2">
      <c r="A240" s="10">
        <v>6712</v>
      </c>
      <c r="B240" s="10">
        <v>18</v>
      </c>
      <c r="C240" s="10" t="s">
        <v>576</v>
      </c>
      <c r="D240" s="10">
        <v>1880</v>
      </c>
      <c r="E240" s="10" t="s">
        <v>457</v>
      </c>
      <c r="F240" s="11">
        <v>2396</v>
      </c>
      <c r="G240" s="11">
        <v>2684</v>
      </c>
      <c r="H240" s="11">
        <v>5080</v>
      </c>
      <c r="I240" s="11">
        <v>2670</v>
      </c>
    </row>
    <row r="241" spans="1:9" x14ac:dyDescent="0.2">
      <c r="A241" s="10">
        <v>6712</v>
      </c>
      <c r="B241" s="10">
        <v>18</v>
      </c>
      <c r="C241" s="10" t="s">
        <v>576</v>
      </c>
      <c r="D241" s="10">
        <v>1881</v>
      </c>
      <c r="E241" s="10" t="s">
        <v>585</v>
      </c>
      <c r="F241" s="11">
        <v>3469</v>
      </c>
      <c r="G241" s="11">
        <v>3879</v>
      </c>
      <c r="H241" s="11">
        <v>7348</v>
      </c>
      <c r="I241" s="11">
        <v>2656</v>
      </c>
    </row>
    <row r="242" spans="1:9" x14ac:dyDescent="0.2">
      <c r="A242" s="10">
        <v>6712</v>
      </c>
      <c r="B242" s="10">
        <v>18</v>
      </c>
      <c r="C242" s="10" t="s">
        <v>576</v>
      </c>
      <c r="D242" s="10">
        <v>1882</v>
      </c>
      <c r="E242" s="10" t="s">
        <v>586</v>
      </c>
      <c r="F242" s="11">
        <v>3604</v>
      </c>
      <c r="G242" s="11">
        <v>3787</v>
      </c>
      <c r="H242" s="11">
        <v>7391</v>
      </c>
      <c r="I242" s="11">
        <v>2559</v>
      </c>
    </row>
    <row r="243" spans="1:9" x14ac:dyDescent="0.2">
      <c r="A243" s="10">
        <v>6712</v>
      </c>
      <c r="B243" s="10">
        <v>18</v>
      </c>
      <c r="C243" s="10" t="s">
        <v>576</v>
      </c>
      <c r="D243" s="10">
        <v>1883</v>
      </c>
      <c r="E243" s="10" t="s">
        <v>587</v>
      </c>
      <c r="F243" s="11">
        <v>2391</v>
      </c>
      <c r="G243" s="11">
        <v>2539</v>
      </c>
      <c r="H243" s="11">
        <v>4930</v>
      </c>
      <c r="I243" s="11">
        <v>1886</v>
      </c>
    </row>
    <row r="244" spans="1:9" x14ac:dyDescent="0.2">
      <c r="A244" s="10">
        <v>6712</v>
      </c>
      <c r="B244" s="10">
        <v>18</v>
      </c>
      <c r="C244" s="10" t="s">
        <v>576</v>
      </c>
      <c r="D244" s="10">
        <v>1884</v>
      </c>
      <c r="E244" s="10" t="s">
        <v>588</v>
      </c>
      <c r="F244" s="11">
        <v>3511</v>
      </c>
      <c r="G244" s="11">
        <v>4250</v>
      </c>
      <c r="H244" s="11">
        <v>7761</v>
      </c>
      <c r="I244" s="11">
        <v>2794</v>
      </c>
    </row>
    <row r="245" spans="1:9" x14ac:dyDescent="0.2">
      <c r="A245" s="10">
        <v>6712</v>
      </c>
      <c r="B245" s="10">
        <v>18</v>
      </c>
      <c r="C245" s="10" t="s">
        <v>576</v>
      </c>
      <c r="D245" s="10">
        <v>1885</v>
      </c>
      <c r="E245" s="10" t="s">
        <v>589</v>
      </c>
      <c r="F245" s="11">
        <v>3322</v>
      </c>
      <c r="G245" s="11">
        <v>3775</v>
      </c>
      <c r="H245" s="11">
        <v>7097</v>
      </c>
      <c r="I245" s="11">
        <v>3800</v>
      </c>
    </row>
    <row r="246" spans="1:9" x14ac:dyDescent="0.2">
      <c r="A246" s="10">
        <v>6712</v>
      </c>
      <c r="B246" s="10">
        <v>18</v>
      </c>
      <c r="C246" s="10" t="s">
        <v>576</v>
      </c>
      <c r="D246" s="10">
        <v>1887</v>
      </c>
      <c r="E246" s="10" t="s">
        <v>590</v>
      </c>
      <c r="F246" s="11">
        <v>3682</v>
      </c>
      <c r="G246" s="11">
        <v>3844</v>
      </c>
      <c r="H246" s="11">
        <v>7526</v>
      </c>
      <c r="I246" s="11">
        <v>2908</v>
      </c>
    </row>
    <row r="247" spans="1:9" x14ac:dyDescent="0.2">
      <c r="A247" s="10">
        <v>6712</v>
      </c>
      <c r="B247" s="10">
        <v>18</v>
      </c>
      <c r="C247" s="10" t="s">
        <v>576</v>
      </c>
      <c r="D247" s="10">
        <v>1889</v>
      </c>
      <c r="E247" s="10" t="s">
        <v>591</v>
      </c>
      <c r="F247" s="11">
        <v>3212</v>
      </c>
      <c r="G247" s="11">
        <v>3381</v>
      </c>
      <c r="H247" s="11">
        <v>6593</v>
      </c>
      <c r="I247" s="11">
        <v>2587</v>
      </c>
    </row>
    <row r="248" spans="1:9" x14ac:dyDescent="0.2">
      <c r="A248" s="10">
        <v>6712</v>
      </c>
      <c r="B248" s="10">
        <v>18</v>
      </c>
      <c r="C248" s="10" t="s">
        <v>576</v>
      </c>
      <c r="D248" s="10">
        <v>1890</v>
      </c>
      <c r="E248" s="10" t="s">
        <v>592</v>
      </c>
      <c r="F248" s="11">
        <v>2799</v>
      </c>
      <c r="G248" s="11">
        <v>3095</v>
      </c>
      <c r="H248" s="11">
        <v>5894</v>
      </c>
      <c r="I248" s="11">
        <v>2800</v>
      </c>
    </row>
    <row r="249" spans="1:9" x14ac:dyDescent="0.2">
      <c r="A249" s="10">
        <v>6712</v>
      </c>
      <c r="B249" s="10">
        <v>18</v>
      </c>
      <c r="C249" s="10" t="s">
        <v>576</v>
      </c>
      <c r="D249" s="10">
        <v>1891</v>
      </c>
      <c r="E249" s="10" t="s">
        <v>593</v>
      </c>
      <c r="F249" s="11">
        <v>1845</v>
      </c>
      <c r="G249" s="11">
        <v>2070</v>
      </c>
      <c r="H249" s="11">
        <v>3915</v>
      </c>
      <c r="I249" s="11">
        <v>2504</v>
      </c>
    </row>
    <row r="250" spans="1:9" x14ac:dyDescent="0.2">
      <c r="A250" s="10">
        <v>6712</v>
      </c>
      <c r="B250" s="10">
        <v>18</v>
      </c>
      <c r="C250" s="10" t="s">
        <v>576</v>
      </c>
      <c r="D250" s="10">
        <v>1892</v>
      </c>
      <c r="E250" s="10" t="s">
        <v>594</v>
      </c>
      <c r="F250" s="10">
        <v>597</v>
      </c>
      <c r="G250" s="10">
        <v>644</v>
      </c>
      <c r="H250" s="11">
        <v>1241</v>
      </c>
      <c r="I250" s="10">
        <v>492</v>
      </c>
    </row>
    <row r="251" spans="1:9" x14ac:dyDescent="0.2">
      <c r="A251" s="10">
        <v>6712</v>
      </c>
      <c r="B251" s="10">
        <v>18</v>
      </c>
      <c r="C251" s="10" t="s">
        <v>576</v>
      </c>
      <c r="D251" s="10">
        <v>1893</v>
      </c>
      <c r="E251" s="10" t="s">
        <v>595</v>
      </c>
      <c r="F251" s="11">
        <v>1110</v>
      </c>
      <c r="G251" s="11">
        <v>1264</v>
      </c>
      <c r="H251" s="11">
        <v>2374</v>
      </c>
      <c r="I251" s="11">
        <v>1401</v>
      </c>
    </row>
    <row r="252" spans="1:9" x14ac:dyDescent="0.2">
      <c r="A252" s="10">
        <v>6712</v>
      </c>
      <c r="B252" s="10">
        <v>18</v>
      </c>
      <c r="C252" s="10" t="s">
        <v>576</v>
      </c>
      <c r="D252" s="10">
        <v>1894</v>
      </c>
      <c r="E252" s="10" t="s">
        <v>596</v>
      </c>
      <c r="F252" s="11">
        <v>1421</v>
      </c>
      <c r="G252" s="11">
        <v>1509</v>
      </c>
      <c r="H252" s="11">
        <v>2930</v>
      </c>
      <c r="I252" s="11">
        <v>1399</v>
      </c>
    </row>
    <row r="253" spans="1:9" x14ac:dyDescent="0.2">
      <c r="A253" s="10">
        <v>6712</v>
      </c>
      <c r="B253" s="10">
        <v>18</v>
      </c>
      <c r="C253" s="10" t="s">
        <v>576</v>
      </c>
      <c r="D253" s="10">
        <v>1895</v>
      </c>
      <c r="E253" s="10" t="s">
        <v>597</v>
      </c>
      <c r="F253" s="10">
        <v>689</v>
      </c>
      <c r="G253" s="10">
        <v>781</v>
      </c>
      <c r="H253" s="11">
        <v>1470</v>
      </c>
      <c r="I253" s="10">
        <v>585</v>
      </c>
    </row>
    <row r="254" spans="1:9" x14ac:dyDescent="0.2">
      <c r="A254" s="10">
        <v>6712</v>
      </c>
      <c r="B254" s="10">
        <v>18</v>
      </c>
      <c r="C254" s="10" t="s">
        <v>576</v>
      </c>
      <c r="D254" s="10">
        <v>1896</v>
      </c>
      <c r="E254" s="10" t="s">
        <v>598</v>
      </c>
      <c r="F254" s="11">
        <v>2886</v>
      </c>
      <c r="G254" s="11">
        <v>3140</v>
      </c>
      <c r="H254" s="11">
        <v>6026</v>
      </c>
      <c r="I254" s="11">
        <v>3329</v>
      </c>
    </row>
    <row r="255" spans="1:9" x14ac:dyDescent="0.2">
      <c r="A255" s="10">
        <v>6712</v>
      </c>
      <c r="B255" s="10">
        <v>18</v>
      </c>
      <c r="C255" s="10" t="s">
        <v>576</v>
      </c>
      <c r="D255" s="10">
        <v>1897</v>
      </c>
      <c r="E255" s="10" t="s">
        <v>599</v>
      </c>
      <c r="F255" s="10">
        <v>845</v>
      </c>
      <c r="G255" s="10">
        <v>929</v>
      </c>
      <c r="H255" s="11">
        <v>1774</v>
      </c>
      <c r="I255" s="11">
        <v>1015</v>
      </c>
    </row>
    <row r="256" spans="1:9" x14ac:dyDescent="0.2">
      <c r="A256" s="10">
        <v>6712</v>
      </c>
      <c r="B256" s="10">
        <v>18</v>
      </c>
      <c r="C256" s="10" t="s">
        <v>576</v>
      </c>
      <c r="D256" s="10">
        <v>1898</v>
      </c>
      <c r="E256" s="10" t="s">
        <v>600</v>
      </c>
      <c r="F256" s="11">
        <v>1418</v>
      </c>
      <c r="G256" s="11">
        <v>1587</v>
      </c>
      <c r="H256" s="11">
        <v>3005</v>
      </c>
      <c r="I256" s="11">
        <v>1989</v>
      </c>
    </row>
    <row r="257" spans="1:9" x14ac:dyDescent="0.2">
      <c r="A257" s="10">
        <v>6712</v>
      </c>
      <c r="B257" s="10">
        <v>18</v>
      </c>
      <c r="C257" s="10" t="s">
        <v>576</v>
      </c>
      <c r="D257" s="10">
        <v>1899</v>
      </c>
      <c r="E257" s="10" t="s">
        <v>601</v>
      </c>
      <c r="F257" s="11">
        <v>5039</v>
      </c>
      <c r="G257" s="11">
        <v>5990</v>
      </c>
      <c r="H257" s="11">
        <v>11029</v>
      </c>
      <c r="I257" s="11">
        <v>7688</v>
      </c>
    </row>
    <row r="258" spans="1:9" x14ac:dyDescent="0.2">
      <c r="A258" s="10">
        <v>6712</v>
      </c>
      <c r="B258" s="10">
        <v>19</v>
      </c>
      <c r="C258" s="10" t="s">
        <v>602</v>
      </c>
      <c r="D258" s="10">
        <v>1901</v>
      </c>
      <c r="E258" s="10" t="s">
        <v>603</v>
      </c>
      <c r="F258" s="11">
        <v>26031</v>
      </c>
      <c r="G258" s="11">
        <v>22612</v>
      </c>
      <c r="H258" s="11">
        <v>48643</v>
      </c>
      <c r="I258" s="11">
        <v>21717</v>
      </c>
    </row>
    <row r="259" spans="1:9" x14ac:dyDescent="0.2">
      <c r="A259" s="10">
        <v>6712</v>
      </c>
      <c r="B259" s="10">
        <v>19</v>
      </c>
      <c r="C259" s="10" t="s">
        <v>602</v>
      </c>
      <c r="D259" s="10">
        <v>1902</v>
      </c>
      <c r="E259" s="10" t="s">
        <v>604</v>
      </c>
      <c r="F259" s="11">
        <v>34838</v>
      </c>
      <c r="G259" s="11">
        <v>35823</v>
      </c>
      <c r="H259" s="11">
        <v>70661</v>
      </c>
      <c r="I259" s="11">
        <v>33528</v>
      </c>
    </row>
    <row r="260" spans="1:9" x14ac:dyDescent="0.2">
      <c r="A260" s="10">
        <v>6712</v>
      </c>
      <c r="B260" s="10">
        <v>19</v>
      </c>
      <c r="C260" s="10" t="s">
        <v>602</v>
      </c>
      <c r="D260" s="10">
        <v>1903</v>
      </c>
      <c r="E260" s="10" t="s">
        <v>605</v>
      </c>
      <c r="F260" s="11">
        <v>33161</v>
      </c>
      <c r="G260" s="11">
        <v>35329</v>
      </c>
      <c r="H260" s="11">
        <v>68490</v>
      </c>
      <c r="I260" s="11">
        <v>36588</v>
      </c>
    </row>
    <row r="261" spans="1:9" x14ac:dyDescent="0.2">
      <c r="A261" s="10">
        <v>6712</v>
      </c>
      <c r="B261" s="10">
        <v>19</v>
      </c>
      <c r="C261" s="10" t="s">
        <v>602</v>
      </c>
      <c r="D261" s="10">
        <v>1904</v>
      </c>
      <c r="E261" s="10" t="s">
        <v>606</v>
      </c>
      <c r="F261" s="11">
        <v>16252</v>
      </c>
      <c r="G261" s="11">
        <v>17001</v>
      </c>
      <c r="H261" s="11">
        <v>33253</v>
      </c>
      <c r="I261" s="11">
        <v>12991</v>
      </c>
    </row>
    <row r="262" spans="1:9" x14ac:dyDescent="0.2">
      <c r="A262" s="10">
        <v>6712</v>
      </c>
      <c r="B262" s="10">
        <v>19</v>
      </c>
      <c r="C262" s="10" t="s">
        <v>602</v>
      </c>
      <c r="D262" s="10">
        <v>1905</v>
      </c>
      <c r="E262" s="10" t="s">
        <v>607</v>
      </c>
      <c r="F262" s="11">
        <v>6158</v>
      </c>
      <c r="G262" s="11">
        <v>6875</v>
      </c>
      <c r="H262" s="11">
        <v>13033</v>
      </c>
      <c r="I262" s="11">
        <v>4803</v>
      </c>
    </row>
    <row r="263" spans="1:9" x14ac:dyDescent="0.2">
      <c r="A263" s="10">
        <v>6712</v>
      </c>
      <c r="B263" s="10">
        <v>19</v>
      </c>
      <c r="C263" s="10" t="s">
        <v>602</v>
      </c>
      <c r="D263" s="10">
        <v>1906</v>
      </c>
      <c r="E263" s="10" t="s">
        <v>608</v>
      </c>
      <c r="F263" s="11">
        <v>15150</v>
      </c>
      <c r="G263" s="11">
        <v>16198</v>
      </c>
      <c r="H263" s="11">
        <v>31348</v>
      </c>
      <c r="I263" s="11">
        <v>13085</v>
      </c>
    </row>
    <row r="264" spans="1:9" x14ac:dyDescent="0.2">
      <c r="A264" s="10">
        <v>6712</v>
      </c>
      <c r="B264" s="10">
        <v>19</v>
      </c>
      <c r="C264" s="10" t="s">
        <v>602</v>
      </c>
      <c r="D264" s="10">
        <v>1907</v>
      </c>
      <c r="E264" s="10" t="s">
        <v>609</v>
      </c>
      <c r="F264" s="10">
        <v>977</v>
      </c>
      <c r="G264" s="11">
        <v>1072</v>
      </c>
      <c r="H264" s="11">
        <v>2049</v>
      </c>
      <c r="I264" s="10">
        <v>685</v>
      </c>
    </row>
    <row r="265" spans="1:9" x14ac:dyDescent="0.2">
      <c r="A265" s="10">
        <v>6712</v>
      </c>
      <c r="B265" s="10">
        <v>19</v>
      </c>
      <c r="C265" s="10" t="s">
        <v>602</v>
      </c>
      <c r="D265" s="10">
        <v>1908</v>
      </c>
      <c r="E265" s="10" t="s">
        <v>610</v>
      </c>
      <c r="F265" s="11">
        <v>5497</v>
      </c>
      <c r="G265" s="11">
        <v>5825</v>
      </c>
      <c r="H265" s="11">
        <v>11322</v>
      </c>
      <c r="I265" s="11">
        <v>4811</v>
      </c>
    </row>
    <row r="266" spans="1:9" x14ac:dyDescent="0.2">
      <c r="A266" s="10">
        <v>6712</v>
      </c>
      <c r="B266" s="10">
        <v>19</v>
      </c>
      <c r="C266" s="10" t="s">
        <v>602</v>
      </c>
      <c r="D266" s="10">
        <v>1909</v>
      </c>
      <c r="E266" s="10" t="s">
        <v>611</v>
      </c>
      <c r="F266" s="11">
        <v>12169</v>
      </c>
      <c r="G266" s="11">
        <v>12970</v>
      </c>
      <c r="H266" s="11">
        <v>25139</v>
      </c>
      <c r="I266" s="11">
        <v>10928</v>
      </c>
    </row>
    <row r="267" spans="1:9" x14ac:dyDescent="0.2">
      <c r="A267" s="10">
        <v>6712</v>
      </c>
      <c r="B267" s="10">
        <v>19</v>
      </c>
      <c r="C267" s="10" t="s">
        <v>602</v>
      </c>
      <c r="D267" s="10">
        <v>1910</v>
      </c>
      <c r="E267" s="10" t="s">
        <v>612</v>
      </c>
      <c r="F267" s="11">
        <v>10617</v>
      </c>
      <c r="G267" s="11">
        <v>11643</v>
      </c>
      <c r="H267" s="11">
        <v>22260</v>
      </c>
      <c r="I267" s="11">
        <v>9050</v>
      </c>
    </row>
    <row r="268" spans="1:9" x14ac:dyDescent="0.2">
      <c r="A268" s="10">
        <v>6712</v>
      </c>
      <c r="B268" s="10">
        <v>19</v>
      </c>
      <c r="C268" s="10" t="s">
        <v>602</v>
      </c>
      <c r="D268" s="10">
        <v>1911</v>
      </c>
      <c r="E268" s="10" t="s">
        <v>613</v>
      </c>
      <c r="F268" s="11">
        <v>24982</v>
      </c>
      <c r="G268" s="11">
        <v>24992</v>
      </c>
      <c r="H268" s="11">
        <v>49974</v>
      </c>
      <c r="I268" s="11">
        <v>23406</v>
      </c>
    </row>
    <row r="269" spans="1:9" x14ac:dyDescent="0.2">
      <c r="A269" s="10">
        <v>6712</v>
      </c>
      <c r="B269" s="10">
        <v>19</v>
      </c>
      <c r="C269" s="10" t="s">
        <v>602</v>
      </c>
      <c r="D269" s="10">
        <v>1912</v>
      </c>
      <c r="E269" s="10" t="s">
        <v>614</v>
      </c>
      <c r="F269" s="11">
        <v>5638</v>
      </c>
      <c r="G269" s="11">
        <v>5929</v>
      </c>
      <c r="H269" s="11">
        <v>11567</v>
      </c>
      <c r="I269" s="11">
        <v>4845</v>
      </c>
    </row>
    <row r="270" spans="1:9" x14ac:dyDescent="0.2">
      <c r="A270" s="10">
        <v>6712</v>
      </c>
      <c r="B270" s="10">
        <v>19</v>
      </c>
      <c r="C270" s="10" t="s">
        <v>602</v>
      </c>
      <c r="D270" s="10">
        <v>1913</v>
      </c>
      <c r="E270" s="10" t="s">
        <v>615</v>
      </c>
      <c r="F270" s="11">
        <v>14832</v>
      </c>
      <c r="G270" s="11">
        <v>15760</v>
      </c>
      <c r="H270" s="11">
        <v>30592</v>
      </c>
      <c r="I270" s="11">
        <v>13862</v>
      </c>
    </row>
    <row r="271" spans="1:9" x14ac:dyDescent="0.2">
      <c r="A271" s="10">
        <v>6712</v>
      </c>
      <c r="B271" s="10">
        <v>19</v>
      </c>
      <c r="C271" s="10" t="s">
        <v>602</v>
      </c>
      <c r="D271" s="10">
        <v>1974</v>
      </c>
      <c r="E271" s="10" t="s">
        <v>616</v>
      </c>
      <c r="F271" s="11">
        <v>3295</v>
      </c>
      <c r="G271" s="11">
        <v>3502</v>
      </c>
      <c r="H271" s="11">
        <v>6797</v>
      </c>
      <c r="I271" s="11">
        <v>2581</v>
      </c>
    </row>
    <row r="272" spans="1:9" x14ac:dyDescent="0.2">
      <c r="A272" s="10">
        <v>6712</v>
      </c>
      <c r="B272" s="10">
        <v>19</v>
      </c>
      <c r="C272" s="10" t="s">
        <v>602</v>
      </c>
      <c r="D272" s="10">
        <v>1975</v>
      </c>
      <c r="E272" s="10" t="s">
        <v>617</v>
      </c>
      <c r="F272" s="11">
        <v>2099</v>
      </c>
      <c r="G272" s="11">
        <v>2182</v>
      </c>
      <c r="H272" s="11">
        <v>4281</v>
      </c>
      <c r="I272" s="11">
        <v>2230</v>
      </c>
    </row>
    <row r="273" spans="1:9" x14ac:dyDescent="0.2">
      <c r="A273" s="10">
        <v>6712</v>
      </c>
      <c r="B273" s="10">
        <v>19</v>
      </c>
      <c r="C273" s="10" t="s">
        <v>602</v>
      </c>
      <c r="D273" s="10">
        <v>1976</v>
      </c>
      <c r="E273" s="10" t="s">
        <v>618</v>
      </c>
      <c r="F273" s="11">
        <v>2084</v>
      </c>
      <c r="G273" s="11">
        <v>2129</v>
      </c>
      <c r="H273" s="11">
        <v>4213</v>
      </c>
      <c r="I273" s="11">
        <v>2425</v>
      </c>
    </row>
    <row r="274" spans="1:9" x14ac:dyDescent="0.2">
      <c r="A274" s="10">
        <v>6712</v>
      </c>
      <c r="B274" s="10">
        <v>19</v>
      </c>
      <c r="C274" s="10" t="s">
        <v>602</v>
      </c>
      <c r="D274" s="10">
        <v>1977</v>
      </c>
      <c r="E274" s="10" t="s">
        <v>619</v>
      </c>
      <c r="F274" s="11">
        <v>2375</v>
      </c>
      <c r="G274" s="11">
        <v>2527</v>
      </c>
      <c r="H274" s="11">
        <v>4902</v>
      </c>
      <c r="I274" s="11">
        <v>2445</v>
      </c>
    </row>
    <row r="275" spans="1:9" x14ac:dyDescent="0.2">
      <c r="A275" s="10">
        <v>6712</v>
      </c>
      <c r="B275" s="10">
        <v>19</v>
      </c>
      <c r="C275" s="10" t="s">
        <v>602</v>
      </c>
      <c r="D275" s="10">
        <v>1978</v>
      </c>
      <c r="E275" s="10" t="s">
        <v>620</v>
      </c>
      <c r="F275" s="11">
        <v>3053</v>
      </c>
      <c r="G275" s="11">
        <v>3251</v>
      </c>
      <c r="H275" s="11">
        <v>6304</v>
      </c>
      <c r="I275" s="11">
        <v>2863</v>
      </c>
    </row>
    <row r="276" spans="1:9" x14ac:dyDescent="0.2">
      <c r="A276" s="10">
        <v>6712</v>
      </c>
      <c r="B276" s="10">
        <v>19</v>
      </c>
      <c r="C276" s="10" t="s">
        <v>602</v>
      </c>
      <c r="D276" s="10">
        <v>1979</v>
      </c>
      <c r="E276" s="10" t="s">
        <v>621</v>
      </c>
      <c r="F276" s="11">
        <v>3717</v>
      </c>
      <c r="G276" s="11">
        <v>3730</v>
      </c>
      <c r="H276" s="11">
        <v>7447</v>
      </c>
      <c r="I276" s="11">
        <v>3414</v>
      </c>
    </row>
    <row r="277" spans="1:9" x14ac:dyDescent="0.2">
      <c r="A277" s="10">
        <v>6712</v>
      </c>
      <c r="B277" s="10">
        <v>19</v>
      </c>
      <c r="C277" s="10" t="s">
        <v>602</v>
      </c>
      <c r="D277" s="10">
        <v>1980</v>
      </c>
      <c r="E277" s="10" t="s">
        <v>622</v>
      </c>
      <c r="F277" s="11">
        <v>2095</v>
      </c>
      <c r="G277" s="11">
        <v>2215</v>
      </c>
      <c r="H277" s="11">
        <v>4310</v>
      </c>
      <c r="I277" s="11">
        <v>2723</v>
      </c>
    </row>
    <row r="278" spans="1:9" x14ac:dyDescent="0.2">
      <c r="A278" s="10">
        <v>6712</v>
      </c>
      <c r="B278" s="10">
        <v>19</v>
      </c>
      <c r="C278" s="10" t="s">
        <v>602</v>
      </c>
      <c r="D278" s="10">
        <v>1981</v>
      </c>
      <c r="E278" s="10" t="s">
        <v>623</v>
      </c>
      <c r="F278" s="11">
        <v>3179</v>
      </c>
      <c r="G278" s="11">
        <v>3410</v>
      </c>
      <c r="H278" s="11">
        <v>6589</v>
      </c>
      <c r="I278" s="11">
        <v>4531</v>
      </c>
    </row>
    <row r="279" spans="1:9" x14ac:dyDescent="0.2">
      <c r="A279" s="10">
        <v>6712</v>
      </c>
      <c r="B279" s="10">
        <v>19</v>
      </c>
      <c r="C279" s="10" t="s">
        <v>602</v>
      </c>
      <c r="D279" s="10">
        <v>1982</v>
      </c>
      <c r="E279" s="10" t="s">
        <v>624</v>
      </c>
      <c r="F279" s="11">
        <v>1441</v>
      </c>
      <c r="G279" s="11">
        <v>1583</v>
      </c>
      <c r="H279" s="11">
        <v>3024</v>
      </c>
      <c r="I279" s="11">
        <v>1581</v>
      </c>
    </row>
    <row r="280" spans="1:9" x14ac:dyDescent="0.2">
      <c r="A280" s="10">
        <v>6712</v>
      </c>
      <c r="B280" s="10">
        <v>19</v>
      </c>
      <c r="C280" s="10" t="s">
        <v>602</v>
      </c>
      <c r="D280" s="10">
        <v>1983</v>
      </c>
      <c r="E280" s="10" t="s">
        <v>625</v>
      </c>
      <c r="F280" s="11">
        <v>3748</v>
      </c>
      <c r="G280" s="11">
        <v>4176</v>
      </c>
      <c r="H280" s="11">
        <v>7924</v>
      </c>
      <c r="I280" s="11">
        <v>4461</v>
      </c>
    </row>
    <row r="281" spans="1:9" x14ac:dyDescent="0.2">
      <c r="A281" s="10">
        <v>6712</v>
      </c>
      <c r="B281" s="10">
        <v>19</v>
      </c>
      <c r="C281" s="10" t="s">
        <v>602</v>
      </c>
      <c r="D281" s="10">
        <v>1984</v>
      </c>
      <c r="E281" s="10" t="s">
        <v>626</v>
      </c>
      <c r="F281" s="10">
        <v>721</v>
      </c>
      <c r="G281" s="10">
        <v>766</v>
      </c>
      <c r="H281" s="11">
        <v>1487</v>
      </c>
      <c r="I281" s="10">
        <v>419</v>
      </c>
    </row>
    <row r="282" spans="1:9" x14ac:dyDescent="0.2">
      <c r="A282" s="10">
        <v>6712</v>
      </c>
      <c r="B282" s="10">
        <v>19</v>
      </c>
      <c r="C282" s="10" t="s">
        <v>602</v>
      </c>
      <c r="D282" s="10">
        <v>1985</v>
      </c>
      <c r="E282" s="10" t="s">
        <v>627</v>
      </c>
      <c r="F282" s="11">
        <v>1104</v>
      </c>
      <c r="G282" s="11">
        <v>1227</v>
      </c>
      <c r="H282" s="11">
        <v>2331</v>
      </c>
      <c r="I282" s="11">
        <v>1063</v>
      </c>
    </row>
    <row r="283" spans="1:9" x14ac:dyDescent="0.2">
      <c r="A283" s="10">
        <v>6712</v>
      </c>
      <c r="B283" s="10">
        <v>19</v>
      </c>
      <c r="C283" s="10" t="s">
        <v>602</v>
      </c>
      <c r="D283" s="10">
        <v>1986</v>
      </c>
      <c r="E283" s="10" t="s">
        <v>628</v>
      </c>
      <c r="F283" s="11">
        <v>2260</v>
      </c>
      <c r="G283" s="11">
        <v>2312</v>
      </c>
      <c r="H283" s="11">
        <v>4572</v>
      </c>
      <c r="I283" s="11">
        <v>1918</v>
      </c>
    </row>
    <row r="284" spans="1:9" x14ac:dyDescent="0.2">
      <c r="A284" s="10">
        <v>6712</v>
      </c>
      <c r="B284" s="10">
        <v>19</v>
      </c>
      <c r="C284" s="10" t="s">
        <v>602</v>
      </c>
      <c r="D284" s="10">
        <v>1987</v>
      </c>
      <c r="E284" s="10" t="s">
        <v>629</v>
      </c>
      <c r="F284" s="11">
        <v>1177</v>
      </c>
      <c r="G284" s="11">
        <v>1282</v>
      </c>
      <c r="H284" s="11">
        <v>2459</v>
      </c>
      <c r="I284" s="11">
        <v>1352</v>
      </c>
    </row>
    <row r="285" spans="1:9" x14ac:dyDescent="0.2">
      <c r="A285" s="10">
        <v>6712</v>
      </c>
      <c r="B285" s="10">
        <v>19</v>
      </c>
      <c r="C285" s="10" t="s">
        <v>602</v>
      </c>
      <c r="D285" s="10">
        <v>1988</v>
      </c>
      <c r="E285" s="10" t="s">
        <v>630</v>
      </c>
      <c r="F285" s="11">
        <v>3573</v>
      </c>
      <c r="G285" s="11">
        <v>3832</v>
      </c>
      <c r="H285" s="11">
        <v>7405</v>
      </c>
      <c r="I285" s="11">
        <v>4072</v>
      </c>
    </row>
    <row r="286" spans="1:9" x14ac:dyDescent="0.2">
      <c r="A286" s="10">
        <v>6712</v>
      </c>
      <c r="B286" s="10">
        <v>19</v>
      </c>
      <c r="C286" s="10" t="s">
        <v>602</v>
      </c>
      <c r="D286" s="10">
        <v>1989</v>
      </c>
      <c r="E286" s="10" t="s">
        <v>590</v>
      </c>
      <c r="F286" s="11">
        <v>1342</v>
      </c>
      <c r="G286" s="11">
        <v>1464</v>
      </c>
      <c r="H286" s="11">
        <v>2806</v>
      </c>
      <c r="I286" s="11">
        <v>1067</v>
      </c>
    </row>
    <row r="287" spans="1:9" x14ac:dyDescent="0.2">
      <c r="A287" s="10">
        <v>6712</v>
      </c>
      <c r="B287" s="10">
        <v>19</v>
      </c>
      <c r="C287" s="10" t="s">
        <v>602</v>
      </c>
      <c r="D287" s="10">
        <v>1990</v>
      </c>
      <c r="E287" s="10" t="s">
        <v>631</v>
      </c>
      <c r="F287" s="10">
        <v>812</v>
      </c>
      <c r="G287" s="10">
        <v>858</v>
      </c>
      <c r="H287" s="11">
        <v>1670</v>
      </c>
      <c r="I287" s="10">
        <v>511</v>
      </c>
    </row>
    <row r="288" spans="1:9" x14ac:dyDescent="0.2">
      <c r="A288" s="10">
        <v>6712</v>
      </c>
      <c r="B288" s="10">
        <v>19</v>
      </c>
      <c r="C288" s="10" t="s">
        <v>602</v>
      </c>
      <c r="D288" s="10">
        <v>1991</v>
      </c>
      <c r="E288" s="10" t="s">
        <v>632</v>
      </c>
      <c r="F288" s="11">
        <v>1814</v>
      </c>
      <c r="G288" s="11">
        <v>1999</v>
      </c>
      <c r="H288" s="11">
        <v>3813</v>
      </c>
      <c r="I288" s="11">
        <v>2016</v>
      </c>
    </row>
    <row r="289" spans="1:9" x14ac:dyDescent="0.2">
      <c r="A289" s="10">
        <v>6712</v>
      </c>
      <c r="B289" s="10">
        <v>19</v>
      </c>
      <c r="C289" s="10" t="s">
        <v>602</v>
      </c>
      <c r="D289" s="10">
        <v>1992</v>
      </c>
      <c r="E289" s="10" t="s">
        <v>633</v>
      </c>
      <c r="F289" s="11">
        <v>4415</v>
      </c>
      <c r="G289" s="11">
        <v>4893</v>
      </c>
      <c r="H289" s="11">
        <v>9308</v>
      </c>
      <c r="I289" s="11">
        <v>5847</v>
      </c>
    </row>
    <row r="290" spans="1:9" x14ac:dyDescent="0.2">
      <c r="A290" s="10">
        <v>6712</v>
      </c>
      <c r="B290" s="10">
        <v>19</v>
      </c>
      <c r="C290" s="10" t="s">
        <v>602</v>
      </c>
      <c r="D290" s="10">
        <v>1993</v>
      </c>
      <c r="E290" s="10" t="s">
        <v>634</v>
      </c>
      <c r="F290" s="10">
        <v>626</v>
      </c>
      <c r="G290" s="10">
        <v>697</v>
      </c>
      <c r="H290" s="11">
        <v>1323</v>
      </c>
      <c r="I290" s="10">
        <v>694</v>
      </c>
    </row>
    <row r="291" spans="1:9" x14ac:dyDescent="0.2">
      <c r="A291" s="10">
        <v>6712</v>
      </c>
      <c r="B291" s="10">
        <v>19</v>
      </c>
      <c r="C291" s="10" t="s">
        <v>602</v>
      </c>
      <c r="D291" s="10">
        <v>1994</v>
      </c>
      <c r="E291" s="10" t="s">
        <v>635</v>
      </c>
      <c r="F291" s="11">
        <v>10275</v>
      </c>
      <c r="G291" s="11">
        <v>10274</v>
      </c>
      <c r="H291" s="11">
        <v>20549</v>
      </c>
      <c r="I291" s="11">
        <v>10521</v>
      </c>
    </row>
    <row r="292" spans="1:9" x14ac:dyDescent="0.2">
      <c r="A292" s="10">
        <v>6712</v>
      </c>
      <c r="B292" s="10">
        <v>19</v>
      </c>
      <c r="C292" s="10" t="s">
        <v>602</v>
      </c>
      <c r="D292" s="10">
        <v>1995</v>
      </c>
      <c r="E292" s="10" t="s">
        <v>636</v>
      </c>
      <c r="F292" s="10">
        <v>356</v>
      </c>
      <c r="G292" s="10">
        <v>400</v>
      </c>
      <c r="H292" s="10">
        <v>756</v>
      </c>
      <c r="I292" s="10">
        <v>450</v>
      </c>
    </row>
    <row r="293" spans="1:9" x14ac:dyDescent="0.2">
      <c r="A293" s="10">
        <v>6712</v>
      </c>
      <c r="B293" s="10">
        <v>19</v>
      </c>
      <c r="C293" s="10" t="s">
        <v>602</v>
      </c>
      <c r="D293" s="10">
        <v>1996</v>
      </c>
      <c r="E293" s="10" t="s">
        <v>637</v>
      </c>
      <c r="F293" s="11">
        <v>12826</v>
      </c>
      <c r="G293" s="11">
        <v>14861</v>
      </c>
      <c r="H293" s="11">
        <v>27687</v>
      </c>
      <c r="I293" s="11">
        <v>13868</v>
      </c>
    </row>
    <row r="294" spans="1:9" x14ac:dyDescent="0.2">
      <c r="A294" s="10">
        <v>6712</v>
      </c>
      <c r="B294" s="10">
        <v>19</v>
      </c>
      <c r="C294" s="10" t="s">
        <v>602</v>
      </c>
      <c r="D294" s="10">
        <v>1997</v>
      </c>
      <c r="E294" s="10" t="s">
        <v>638</v>
      </c>
      <c r="F294" s="11">
        <v>5841</v>
      </c>
      <c r="G294" s="11">
        <v>6182</v>
      </c>
      <c r="H294" s="11">
        <v>12023</v>
      </c>
      <c r="I294" s="11">
        <v>6594</v>
      </c>
    </row>
    <row r="295" spans="1:9" x14ac:dyDescent="0.2">
      <c r="A295" s="10">
        <v>6712</v>
      </c>
      <c r="B295" s="10">
        <v>19</v>
      </c>
      <c r="C295" s="10" t="s">
        <v>602</v>
      </c>
      <c r="D295" s="10">
        <v>1998</v>
      </c>
      <c r="E295" s="10" t="s">
        <v>639</v>
      </c>
      <c r="F295" s="11">
        <v>4972</v>
      </c>
      <c r="G295" s="11">
        <v>5406</v>
      </c>
      <c r="H295" s="11">
        <v>10378</v>
      </c>
      <c r="I295" s="11">
        <v>6305</v>
      </c>
    </row>
    <row r="296" spans="1:9" x14ac:dyDescent="0.2">
      <c r="A296" s="10">
        <v>6712</v>
      </c>
      <c r="B296" s="10">
        <v>19</v>
      </c>
      <c r="C296" s="10" t="s">
        <v>602</v>
      </c>
      <c r="D296" s="10">
        <v>1999</v>
      </c>
      <c r="E296" s="10" t="s">
        <v>640</v>
      </c>
      <c r="F296" s="11">
        <v>27760</v>
      </c>
      <c r="G296" s="11">
        <v>28716</v>
      </c>
      <c r="H296" s="11">
        <v>56476</v>
      </c>
      <c r="I296" s="11">
        <v>29276</v>
      </c>
    </row>
    <row r="297" spans="1:9" x14ac:dyDescent="0.2">
      <c r="A297" s="10">
        <v>6712</v>
      </c>
      <c r="B297" s="10">
        <v>20</v>
      </c>
      <c r="C297" s="10" t="s">
        <v>641</v>
      </c>
      <c r="D297" s="10">
        <v>2001</v>
      </c>
      <c r="E297" s="10" t="s">
        <v>642</v>
      </c>
      <c r="F297" s="11">
        <v>22493</v>
      </c>
      <c r="G297" s="11">
        <v>24077</v>
      </c>
      <c r="H297" s="11">
        <v>46570</v>
      </c>
      <c r="I297" s="11">
        <v>29911</v>
      </c>
    </row>
    <row r="298" spans="1:9" x14ac:dyDescent="0.2">
      <c r="A298" s="10">
        <v>6712</v>
      </c>
      <c r="B298" s="10">
        <v>20</v>
      </c>
      <c r="C298" s="10" t="s">
        <v>641</v>
      </c>
      <c r="D298" s="10">
        <v>2002</v>
      </c>
      <c r="E298" s="10" t="s">
        <v>643</v>
      </c>
      <c r="F298" s="11">
        <v>42638</v>
      </c>
      <c r="G298" s="11">
        <v>44181</v>
      </c>
      <c r="H298" s="11">
        <v>86819</v>
      </c>
      <c r="I298" s="11">
        <v>51018</v>
      </c>
    </row>
    <row r="299" spans="1:9" x14ac:dyDescent="0.2">
      <c r="A299" s="10">
        <v>6712</v>
      </c>
      <c r="B299" s="10">
        <v>20</v>
      </c>
      <c r="C299" s="10" t="s">
        <v>641</v>
      </c>
      <c r="D299" s="10">
        <v>2003</v>
      </c>
      <c r="E299" s="10" t="s">
        <v>644</v>
      </c>
      <c r="F299" s="11">
        <v>7656</v>
      </c>
      <c r="G299" s="11">
        <v>7659</v>
      </c>
      <c r="H299" s="11">
        <v>15315</v>
      </c>
      <c r="I299" s="11">
        <v>7378</v>
      </c>
    </row>
    <row r="300" spans="1:9" x14ac:dyDescent="0.2">
      <c r="A300" s="10">
        <v>6712</v>
      </c>
      <c r="B300" s="10">
        <v>20</v>
      </c>
      <c r="C300" s="10" t="s">
        <v>641</v>
      </c>
      <c r="D300" s="10">
        <v>2004</v>
      </c>
      <c r="E300" s="10" t="s">
        <v>645</v>
      </c>
      <c r="F300" s="11">
        <v>15347</v>
      </c>
      <c r="G300" s="11">
        <v>17433</v>
      </c>
      <c r="H300" s="11">
        <v>32780</v>
      </c>
      <c r="I300" s="11">
        <v>20786</v>
      </c>
    </row>
    <row r="301" spans="1:9" x14ac:dyDescent="0.2">
      <c r="A301" s="10">
        <v>6712</v>
      </c>
      <c r="B301" s="10">
        <v>20</v>
      </c>
      <c r="C301" s="10" t="s">
        <v>641</v>
      </c>
      <c r="D301" s="10">
        <v>2005</v>
      </c>
      <c r="E301" s="10" t="s">
        <v>646</v>
      </c>
      <c r="F301" s="11">
        <v>25755</v>
      </c>
      <c r="G301" s="11">
        <v>26832</v>
      </c>
      <c r="H301" s="11">
        <v>52587</v>
      </c>
      <c r="I301" s="11">
        <v>46495</v>
      </c>
    </row>
    <row r="302" spans="1:9" x14ac:dyDescent="0.2">
      <c r="A302" s="10">
        <v>6712</v>
      </c>
      <c r="B302" s="10">
        <v>20</v>
      </c>
      <c r="C302" s="10" t="s">
        <v>641</v>
      </c>
      <c r="D302" s="10">
        <v>2006</v>
      </c>
      <c r="E302" s="10" t="s">
        <v>647</v>
      </c>
      <c r="F302" s="11">
        <v>49977</v>
      </c>
      <c r="G302" s="11">
        <v>53110</v>
      </c>
      <c r="H302" s="11">
        <v>103087</v>
      </c>
      <c r="I302" s="11">
        <v>41090</v>
      </c>
    </row>
    <row r="303" spans="1:9" x14ac:dyDescent="0.2">
      <c r="A303" s="10">
        <v>6712</v>
      </c>
      <c r="B303" s="10">
        <v>20</v>
      </c>
      <c r="C303" s="10" t="s">
        <v>641</v>
      </c>
      <c r="D303" s="10">
        <v>2007</v>
      </c>
      <c r="E303" s="10" t="s">
        <v>648</v>
      </c>
      <c r="F303" s="11">
        <v>29401</v>
      </c>
      <c r="G303" s="11">
        <v>29925</v>
      </c>
      <c r="H303" s="11">
        <v>59326</v>
      </c>
      <c r="I303" s="11">
        <v>52114</v>
      </c>
    </row>
    <row r="304" spans="1:9" x14ac:dyDescent="0.2">
      <c r="A304" s="10">
        <v>6712</v>
      </c>
      <c r="B304" s="10">
        <v>20</v>
      </c>
      <c r="C304" s="10" t="s">
        <v>641</v>
      </c>
      <c r="D304" s="10">
        <v>2009</v>
      </c>
      <c r="E304" s="10" t="s">
        <v>649</v>
      </c>
      <c r="F304" s="11">
        <v>27158</v>
      </c>
      <c r="G304" s="11">
        <v>26846</v>
      </c>
      <c r="H304" s="11">
        <v>54004</v>
      </c>
      <c r="I304" s="11">
        <v>31247</v>
      </c>
    </row>
    <row r="305" spans="1:9" x14ac:dyDescent="0.2">
      <c r="A305" s="10">
        <v>6712</v>
      </c>
      <c r="B305" s="10">
        <v>20</v>
      </c>
      <c r="C305" s="10" t="s">
        <v>641</v>
      </c>
      <c r="D305" s="10">
        <v>2010</v>
      </c>
      <c r="E305" s="10" t="s">
        <v>650</v>
      </c>
      <c r="F305" s="11">
        <v>19056</v>
      </c>
      <c r="G305" s="11">
        <v>18862</v>
      </c>
      <c r="H305" s="11">
        <v>37918</v>
      </c>
      <c r="I305" s="11">
        <v>14367</v>
      </c>
    </row>
    <row r="306" spans="1:9" x14ac:dyDescent="0.2">
      <c r="A306" s="10">
        <v>6712</v>
      </c>
      <c r="B306" s="10">
        <v>20</v>
      </c>
      <c r="C306" s="10" t="s">
        <v>641</v>
      </c>
      <c r="D306" s="10">
        <v>2011</v>
      </c>
      <c r="E306" s="10" t="s">
        <v>651</v>
      </c>
      <c r="F306" s="11">
        <v>14153</v>
      </c>
      <c r="G306" s="11">
        <v>13166</v>
      </c>
      <c r="H306" s="11">
        <v>27319</v>
      </c>
      <c r="I306" s="11">
        <v>9435</v>
      </c>
    </row>
    <row r="307" spans="1:9" x14ac:dyDescent="0.2">
      <c r="A307" s="10">
        <v>6712</v>
      </c>
      <c r="B307" s="10">
        <v>20</v>
      </c>
      <c r="C307" s="10" t="s">
        <v>641</v>
      </c>
      <c r="D307" s="10">
        <v>2060</v>
      </c>
      <c r="E307" s="10" t="s">
        <v>652</v>
      </c>
      <c r="F307" s="11">
        <v>7165</v>
      </c>
      <c r="G307" s="11">
        <v>5894</v>
      </c>
      <c r="H307" s="11">
        <v>13059</v>
      </c>
      <c r="I307" s="11">
        <v>6917</v>
      </c>
    </row>
    <row r="308" spans="1:9" x14ac:dyDescent="0.2">
      <c r="A308" s="10">
        <v>6712</v>
      </c>
      <c r="B308" s="10">
        <v>20</v>
      </c>
      <c r="C308" s="10" t="s">
        <v>641</v>
      </c>
      <c r="D308" s="10">
        <v>2061</v>
      </c>
      <c r="E308" s="10" t="s">
        <v>653</v>
      </c>
      <c r="F308" s="11">
        <v>33905</v>
      </c>
      <c r="G308" s="11">
        <v>22232</v>
      </c>
      <c r="H308" s="11">
        <v>56137</v>
      </c>
      <c r="I308" s="11">
        <v>28758</v>
      </c>
    </row>
    <row r="309" spans="1:9" x14ac:dyDescent="0.2">
      <c r="A309" s="10">
        <v>6712</v>
      </c>
      <c r="B309" s="10">
        <v>20</v>
      </c>
      <c r="C309" s="10" t="s">
        <v>641</v>
      </c>
      <c r="D309" s="10">
        <v>2063</v>
      </c>
      <c r="E309" s="10" t="s">
        <v>654</v>
      </c>
      <c r="F309" s="11">
        <v>6514</v>
      </c>
      <c r="G309" s="11">
        <v>6976</v>
      </c>
      <c r="H309" s="11">
        <v>13490</v>
      </c>
      <c r="I309" s="11">
        <v>4920</v>
      </c>
    </row>
    <row r="310" spans="1:9" x14ac:dyDescent="0.2">
      <c r="A310" s="10">
        <v>6712</v>
      </c>
      <c r="B310" s="10">
        <v>20</v>
      </c>
      <c r="C310" s="10" t="s">
        <v>641</v>
      </c>
      <c r="D310" s="10">
        <v>2064</v>
      </c>
      <c r="E310" s="10" t="s">
        <v>655</v>
      </c>
      <c r="F310" s="11">
        <v>13459</v>
      </c>
      <c r="G310" s="11">
        <v>14689</v>
      </c>
      <c r="H310" s="11">
        <v>28148</v>
      </c>
      <c r="I310" s="11">
        <v>14857</v>
      </c>
    </row>
    <row r="311" spans="1:9" x14ac:dyDescent="0.2">
      <c r="A311" s="10">
        <v>6712</v>
      </c>
      <c r="B311" s="10">
        <v>20</v>
      </c>
      <c r="C311" s="10" t="s">
        <v>641</v>
      </c>
      <c r="D311" s="10">
        <v>2065</v>
      </c>
      <c r="E311" s="10" t="s">
        <v>656</v>
      </c>
      <c r="F311" s="11">
        <v>10486</v>
      </c>
      <c r="G311" s="11">
        <v>12746</v>
      </c>
      <c r="H311" s="11">
        <v>23232</v>
      </c>
      <c r="I311" s="11">
        <v>17967</v>
      </c>
    </row>
    <row r="312" spans="1:9" x14ac:dyDescent="0.2">
      <c r="A312" s="10">
        <v>6712</v>
      </c>
      <c r="B312" s="10">
        <v>20</v>
      </c>
      <c r="C312" s="10" t="s">
        <v>641</v>
      </c>
      <c r="D312" s="10">
        <v>2066</v>
      </c>
      <c r="E312" s="10" t="s">
        <v>657</v>
      </c>
      <c r="F312" s="11">
        <v>7086</v>
      </c>
      <c r="G312" s="11">
        <v>7331</v>
      </c>
      <c r="H312" s="11">
        <v>14417</v>
      </c>
      <c r="I312" s="11">
        <v>17176</v>
      </c>
    </row>
    <row r="313" spans="1:9" x14ac:dyDescent="0.2">
      <c r="A313" s="10">
        <v>6712</v>
      </c>
      <c r="B313" s="10">
        <v>20</v>
      </c>
      <c r="C313" s="10" t="s">
        <v>641</v>
      </c>
      <c r="D313" s="10">
        <v>2067</v>
      </c>
      <c r="E313" s="10" t="s">
        <v>658</v>
      </c>
      <c r="F313" s="11">
        <v>8328</v>
      </c>
      <c r="G313" s="11">
        <v>9558</v>
      </c>
      <c r="H313" s="11">
        <v>17886</v>
      </c>
      <c r="I313" s="11">
        <v>12341</v>
      </c>
    </row>
    <row r="314" spans="1:9" x14ac:dyDescent="0.2">
      <c r="A314" s="10">
        <v>6712</v>
      </c>
      <c r="B314" s="10">
        <v>20</v>
      </c>
      <c r="C314" s="10" t="s">
        <v>641</v>
      </c>
      <c r="D314" s="10">
        <v>2068</v>
      </c>
      <c r="E314" s="10" t="s">
        <v>659</v>
      </c>
      <c r="F314" s="11">
        <v>21229</v>
      </c>
      <c r="G314" s="11">
        <v>22455</v>
      </c>
      <c r="H314" s="11">
        <v>43684</v>
      </c>
      <c r="I314" s="11">
        <v>28247</v>
      </c>
    </row>
    <row r="315" spans="1:9" x14ac:dyDescent="0.2">
      <c r="A315" s="10">
        <v>6712</v>
      </c>
      <c r="B315" s="10">
        <v>20</v>
      </c>
      <c r="C315" s="10" t="s">
        <v>641</v>
      </c>
      <c r="D315" s="10">
        <v>2069</v>
      </c>
      <c r="E315" s="10" t="s">
        <v>660</v>
      </c>
      <c r="F315" s="11">
        <v>6943</v>
      </c>
      <c r="G315" s="11">
        <v>6581</v>
      </c>
      <c r="H315" s="11">
        <v>13524</v>
      </c>
      <c r="I315" s="11">
        <v>11613</v>
      </c>
    </row>
    <row r="316" spans="1:9" x14ac:dyDescent="0.2">
      <c r="A316" s="10">
        <v>6712</v>
      </c>
      <c r="B316" s="10">
        <v>20</v>
      </c>
      <c r="C316" s="10" t="s">
        <v>641</v>
      </c>
      <c r="D316" s="10">
        <v>2070</v>
      </c>
      <c r="E316" s="10" t="s">
        <v>661</v>
      </c>
      <c r="F316" s="11">
        <v>3840</v>
      </c>
      <c r="G316" s="11">
        <v>3979</v>
      </c>
      <c r="H316" s="11">
        <v>7819</v>
      </c>
      <c r="I316" s="11">
        <v>2908</v>
      </c>
    </row>
    <row r="317" spans="1:9" x14ac:dyDescent="0.2">
      <c r="A317" s="10">
        <v>6712</v>
      </c>
      <c r="B317" s="10">
        <v>20</v>
      </c>
      <c r="C317" s="10" t="s">
        <v>641</v>
      </c>
      <c r="D317" s="10">
        <v>2071</v>
      </c>
      <c r="E317" s="10" t="s">
        <v>662</v>
      </c>
      <c r="F317" s="11">
        <v>5858</v>
      </c>
      <c r="G317" s="11">
        <v>6435</v>
      </c>
      <c r="H317" s="11">
        <v>12293</v>
      </c>
      <c r="I317" s="11">
        <v>7634</v>
      </c>
    </row>
    <row r="318" spans="1:9" x14ac:dyDescent="0.2">
      <c r="A318" s="10">
        <v>6712</v>
      </c>
      <c r="B318" s="10">
        <v>20</v>
      </c>
      <c r="C318" s="10" t="s">
        <v>641</v>
      </c>
      <c r="D318" s="10">
        <v>2072</v>
      </c>
      <c r="E318" s="10" t="s">
        <v>663</v>
      </c>
      <c r="F318" s="11">
        <v>42168</v>
      </c>
      <c r="G318" s="11">
        <v>51957</v>
      </c>
      <c r="H318" s="11">
        <v>94125</v>
      </c>
      <c r="I318" s="11">
        <v>53868</v>
      </c>
    </row>
    <row r="319" spans="1:9" x14ac:dyDescent="0.2">
      <c r="A319" s="10">
        <v>6712</v>
      </c>
      <c r="B319" s="10">
        <v>20</v>
      </c>
      <c r="C319" s="10" t="s">
        <v>641</v>
      </c>
      <c r="D319" s="10">
        <v>2073</v>
      </c>
      <c r="E319" s="10" t="s">
        <v>664</v>
      </c>
      <c r="F319" s="11">
        <v>3203</v>
      </c>
      <c r="G319" s="11">
        <v>3417</v>
      </c>
      <c r="H319" s="11">
        <v>6620</v>
      </c>
      <c r="I319" s="11">
        <v>4290</v>
      </c>
    </row>
    <row r="320" spans="1:9" x14ac:dyDescent="0.2">
      <c r="A320" s="10">
        <v>6712</v>
      </c>
      <c r="B320" s="10">
        <v>20</v>
      </c>
      <c r="C320" s="10" t="s">
        <v>641</v>
      </c>
      <c r="D320" s="10">
        <v>2074</v>
      </c>
      <c r="E320" s="10" t="s">
        <v>665</v>
      </c>
      <c r="F320" s="11">
        <v>4307</v>
      </c>
      <c r="G320" s="11">
        <v>1834</v>
      </c>
      <c r="H320" s="11">
        <v>6141</v>
      </c>
      <c r="I320" s="11">
        <v>2211</v>
      </c>
    </row>
    <row r="321" spans="1:9" x14ac:dyDescent="0.2">
      <c r="A321" s="10">
        <v>6712</v>
      </c>
      <c r="B321" s="10">
        <v>20</v>
      </c>
      <c r="C321" s="10" t="s">
        <v>641</v>
      </c>
      <c r="D321" s="10">
        <v>2075</v>
      </c>
      <c r="E321" s="10" t="s">
        <v>666</v>
      </c>
      <c r="F321" s="11">
        <v>1956</v>
      </c>
      <c r="G321" s="11">
        <v>2046</v>
      </c>
      <c r="H321" s="11">
        <v>4002</v>
      </c>
      <c r="I321" s="11">
        <v>2230</v>
      </c>
    </row>
    <row r="322" spans="1:9" x14ac:dyDescent="0.2">
      <c r="A322" s="10">
        <v>6712</v>
      </c>
      <c r="B322" s="10">
        <v>20</v>
      </c>
      <c r="C322" s="10" t="s">
        <v>641</v>
      </c>
      <c r="D322" s="10">
        <v>2076</v>
      </c>
      <c r="E322" s="10" t="s">
        <v>667</v>
      </c>
      <c r="F322" s="11">
        <v>9895</v>
      </c>
      <c r="G322" s="11">
        <v>11161</v>
      </c>
      <c r="H322" s="11">
        <v>21056</v>
      </c>
      <c r="I322" s="11">
        <v>12297</v>
      </c>
    </row>
    <row r="323" spans="1:9" x14ac:dyDescent="0.2">
      <c r="A323" s="10">
        <v>6712</v>
      </c>
      <c r="B323" s="10">
        <v>20</v>
      </c>
      <c r="C323" s="10" t="s">
        <v>641</v>
      </c>
      <c r="D323" s="10">
        <v>2077</v>
      </c>
      <c r="E323" s="10" t="s">
        <v>668</v>
      </c>
      <c r="F323" s="11">
        <v>5383</v>
      </c>
      <c r="G323" s="11">
        <v>6415</v>
      </c>
      <c r="H323" s="11">
        <v>11798</v>
      </c>
      <c r="I323" s="11">
        <v>9793</v>
      </c>
    </row>
    <row r="324" spans="1:9" x14ac:dyDescent="0.2">
      <c r="A324" s="10">
        <v>6712</v>
      </c>
      <c r="B324" s="10">
        <v>20</v>
      </c>
      <c r="C324" s="10" t="s">
        <v>641</v>
      </c>
      <c r="D324" s="10">
        <v>2078</v>
      </c>
      <c r="E324" s="10" t="s">
        <v>669</v>
      </c>
      <c r="F324" s="11">
        <v>3735</v>
      </c>
      <c r="G324" s="11">
        <v>4112</v>
      </c>
      <c r="H324" s="11">
        <v>7847</v>
      </c>
      <c r="I324" s="11">
        <v>17025</v>
      </c>
    </row>
    <row r="325" spans="1:9" x14ac:dyDescent="0.2">
      <c r="A325" s="10">
        <v>6712</v>
      </c>
      <c r="B325" s="10">
        <v>20</v>
      </c>
      <c r="C325" s="10" t="s">
        <v>641</v>
      </c>
      <c r="D325" s="10">
        <v>2079</v>
      </c>
      <c r="E325" s="10" t="s">
        <v>670</v>
      </c>
      <c r="F325" s="11">
        <v>2298</v>
      </c>
      <c r="G325" s="11">
        <v>2380</v>
      </c>
      <c r="H325" s="11">
        <v>4678</v>
      </c>
      <c r="I325" s="11">
        <v>2317</v>
      </c>
    </row>
    <row r="326" spans="1:9" x14ac:dyDescent="0.2">
      <c r="A326" s="10">
        <v>6712</v>
      </c>
      <c r="B326" s="10">
        <v>20</v>
      </c>
      <c r="C326" s="10" t="s">
        <v>641</v>
      </c>
      <c r="D326" s="10">
        <v>2080</v>
      </c>
      <c r="E326" s="10" t="s">
        <v>671</v>
      </c>
      <c r="F326" s="11">
        <v>77981</v>
      </c>
      <c r="G326" s="11">
        <v>82601</v>
      </c>
      <c r="H326" s="11">
        <v>160582</v>
      </c>
      <c r="I326" s="11">
        <v>113075</v>
      </c>
    </row>
    <row r="327" spans="1:9" x14ac:dyDescent="0.2">
      <c r="A327" s="10">
        <v>6712</v>
      </c>
      <c r="B327" s="10">
        <v>20</v>
      </c>
      <c r="C327" s="10" t="s">
        <v>641</v>
      </c>
      <c r="D327" s="10">
        <v>2081</v>
      </c>
      <c r="E327" s="10" t="s">
        <v>672</v>
      </c>
      <c r="F327" s="11">
        <v>6432</v>
      </c>
      <c r="G327" s="11">
        <v>7125</v>
      </c>
      <c r="H327" s="11">
        <v>13557</v>
      </c>
      <c r="I327" s="11">
        <v>8355</v>
      </c>
    </row>
    <row r="328" spans="1:9" x14ac:dyDescent="0.2">
      <c r="A328" s="10">
        <v>6712</v>
      </c>
      <c r="B328" s="10">
        <v>20</v>
      </c>
      <c r="C328" s="10" t="s">
        <v>641</v>
      </c>
      <c r="D328" s="10">
        <v>2082</v>
      </c>
      <c r="E328" s="10" t="s">
        <v>673</v>
      </c>
      <c r="F328" s="11">
        <v>11668</v>
      </c>
      <c r="G328" s="11">
        <v>12072</v>
      </c>
      <c r="H328" s="11">
        <v>23740</v>
      </c>
      <c r="I328" s="11">
        <v>18588</v>
      </c>
    </row>
    <row r="329" spans="1:9" x14ac:dyDescent="0.2">
      <c r="A329" s="10">
        <v>6712</v>
      </c>
      <c r="B329" s="10">
        <v>20</v>
      </c>
      <c r="C329" s="10" t="s">
        <v>641</v>
      </c>
      <c r="D329" s="10">
        <v>2083</v>
      </c>
      <c r="E329" s="10" t="s">
        <v>674</v>
      </c>
      <c r="F329" s="11">
        <v>3170</v>
      </c>
      <c r="G329" s="11">
        <v>3387</v>
      </c>
      <c r="H329" s="11">
        <v>6557</v>
      </c>
      <c r="I329" s="11">
        <v>3906</v>
      </c>
    </row>
    <row r="330" spans="1:9" x14ac:dyDescent="0.2">
      <c r="A330" s="10">
        <v>6712</v>
      </c>
      <c r="B330" s="10">
        <v>20</v>
      </c>
      <c r="C330" s="10" t="s">
        <v>641</v>
      </c>
      <c r="D330" s="10">
        <v>2084</v>
      </c>
      <c r="E330" s="10" t="s">
        <v>675</v>
      </c>
      <c r="F330" s="11">
        <v>15127</v>
      </c>
      <c r="G330" s="11">
        <v>17155</v>
      </c>
      <c r="H330" s="11">
        <v>32282</v>
      </c>
      <c r="I330" s="11">
        <v>20033</v>
      </c>
    </row>
    <row r="331" spans="1:9" x14ac:dyDescent="0.2">
      <c r="A331" s="10">
        <v>6712</v>
      </c>
      <c r="B331" s="10">
        <v>20</v>
      </c>
      <c r="C331" s="10" t="s">
        <v>641</v>
      </c>
      <c r="D331" s="10">
        <v>2085</v>
      </c>
      <c r="E331" s="10" t="s">
        <v>676</v>
      </c>
      <c r="F331" s="11">
        <v>6429</v>
      </c>
      <c r="G331" s="11">
        <v>7139</v>
      </c>
      <c r="H331" s="11">
        <v>13568</v>
      </c>
      <c r="I331" s="11">
        <v>9373</v>
      </c>
    </row>
    <row r="332" spans="1:9" x14ac:dyDescent="0.2">
      <c r="A332" s="10">
        <v>6712</v>
      </c>
      <c r="B332" s="10">
        <v>20</v>
      </c>
      <c r="C332" s="10" t="s">
        <v>641</v>
      </c>
      <c r="D332" s="10">
        <v>2086</v>
      </c>
      <c r="E332" s="10" t="s">
        <v>677</v>
      </c>
      <c r="F332" s="11">
        <v>4426</v>
      </c>
      <c r="G332" s="11">
        <v>4245</v>
      </c>
      <c r="H332" s="11">
        <v>8671</v>
      </c>
      <c r="I332" s="11">
        <v>3999</v>
      </c>
    </row>
    <row r="333" spans="1:9" x14ac:dyDescent="0.2">
      <c r="A333" s="10">
        <v>6712</v>
      </c>
      <c r="B333" s="10">
        <v>20</v>
      </c>
      <c r="C333" s="10" t="s">
        <v>641</v>
      </c>
      <c r="D333" s="10">
        <v>2087</v>
      </c>
      <c r="E333" s="10" t="s">
        <v>678</v>
      </c>
      <c r="F333" s="11">
        <v>1612</v>
      </c>
      <c r="G333" s="11">
        <v>1820</v>
      </c>
      <c r="H333" s="11">
        <v>3432</v>
      </c>
      <c r="I333" s="11">
        <v>2221</v>
      </c>
    </row>
    <row r="334" spans="1:9" x14ac:dyDescent="0.2">
      <c r="A334" s="10">
        <v>6712</v>
      </c>
      <c r="B334" s="10">
        <v>20</v>
      </c>
      <c r="C334" s="10" t="s">
        <v>641</v>
      </c>
      <c r="D334" s="10">
        <v>2088</v>
      </c>
      <c r="E334" s="10" t="s">
        <v>679</v>
      </c>
      <c r="F334" s="11">
        <v>1089</v>
      </c>
      <c r="G334" s="11">
        <v>1168</v>
      </c>
      <c r="H334" s="11">
        <v>2257</v>
      </c>
      <c r="I334" s="11">
        <v>1662</v>
      </c>
    </row>
    <row r="335" spans="1:9" x14ac:dyDescent="0.2">
      <c r="A335" s="10">
        <v>6712</v>
      </c>
      <c r="B335" s="10">
        <v>20</v>
      </c>
      <c r="C335" s="10" t="s">
        <v>641</v>
      </c>
      <c r="D335" s="10">
        <v>2089</v>
      </c>
      <c r="E335" s="10" t="s">
        <v>680</v>
      </c>
      <c r="F335" s="11">
        <v>17287</v>
      </c>
      <c r="G335" s="11">
        <v>20307</v>
      </c>
      <c r="H335" s="11">
        <v>37594</v>
      </c>
      <c r="I335" s="11">
        <v>23259</v>
      </c>
    </row>
    <row r="336" spans="1:9" x14ac:dyDescent="0.2">
      <c r="A336" s="10">
        <v>6712</v>
      </c>
      <c r="B336" s="10">
        <v>20</v>
      </c>
      <c r="C336" s="10" t="s">
        <v>641</v>
      </c>
      <c r="D336" s="10">
        <v>2090</v>
      </c>
      <c r="E336" s="10" t="s">
        <v>681</v>
      </c>
      <c r="F336" s="11">
        <v>34340</v>
      </c>
      <c r="G336" s="11">
        <v>34817</v>
      </c>
      <c r="H336" s="11">
        <v>69157</v>
      </c>
      <c r="I336" s="11">
        <v>46736</v>
      </c>
    </row>
    <row r="337" spans="1:9" x14ac:dyDescent="0.2">
      <c r="A337" s="10">
        <v>6712</v>
      </c>
      <c r="B337" s="10">
        <v>20</v>
      </c>
      <c r="C337" s="10" t="s">
        <v>641</v>
      </c>
      <c r="D337" s="10">
        <v>2091</v>
      </c>
      <c r="E337" s="10" t="s">
        <v>682</v>
      </c>
      <c r="F337" s="11">
        <v>6043</v>
      </c>
      <c r="G337" s="11">
        <v>4893</v>
      </c>
      <c r="H337" s="11">
        <v>10936</v>
      </c>
      <c r="I337" s="11">
        <v>7492</v>
      </c>
    </row>
    <row r="338" spans="1:9" x14ac:dyDescent="0.2">
      <c r="A338" s="10">
        <v>6712</v>
      </c>
      <c r="B338" s="10">
        <v>20</v>
      </c>
      <c r="C338" s="10" t="s">
        <v>641</v>
      </c>
      <c r="D338" s="10">
        <v>2092</v>
      </c>
      <c r="E338" s="10" t="s">
        <v>683</v>
      </c>
      <c r="F338" s="11">
        <v>2200</v>
      </c>
      <c r="G338" s="11">
        <v>2480</v>
      </c>
      <c r="H338" s="11">
        <v>4680</v>
      </c>
      <c r="I338" s="11">
        <v>7403</v>
      </c>
    </row>
    <row r="339" spans="1:9" x14ac:dyDescent="0.2">
      <c r="A339" s="10">
        <v>6712</v>
      </c>
      <c r="B339" s="10">
        <v>20</v>
      </c>
      <c r="C339" s="10" t="s">
        <v>641</v>
      </c>
      <c r="D339" s="10">
        <v>2093</v>
      </c>
      <c r="E339" s="10" t="s">
        <v>684</v>
      </c>
      <c r="F339" s="11">
        <v>45951</v>
      </c>
      <c r="G339" s="11">
        <v>47715</v>
      </c>
      <c r="H339" s="11">
        <v>93666</v>
      </c>
      <c r="I339" s="11">
        <v>86790</v>
      </c>
    </row>
    <row r="340" spans="1:9" x14ac:dyDescent="0.2">
      <c r="A340" s="10">
        <v>6712</v>
      </c>
      <c r="B340" s="10">
        <v>20</v>
      </c>
      <c r="C340" s="10" t="s">
        <v>641</v>
      </c>
      <c r="D340" s="10">
        <v>2094</v>
      </c>
      <c r="E340" s="10" t="s">
        <v>685</v>
      </c>
      <c r="F340" s="11">
        <v>21544</v>
      </c>
      <c r="G340" s="11">
        <v>24848</v>
      </c>
      <c r="H340" s="11">
        <v>46392</v>
      </c>
      <c r="I340" s="11">
        <v>41230</v>
      </c>
    </row>
    <row r="341" spans="1:9" x14ac:dyDescent="0.2">
      <c r="A341" s="10">
        <v>6712</v>
      </c>
      <c r="B341" s="10">
        <v>20</v>
      </c>
      <c r="C341" s="10" t="s">
        <v>641</v>
      </c>
      <c r="D341" s="10">
        <v>2095</v>
      </c>
      <c r="E341" s="10" t="s">
        <v>686</v>
      </c>
      <c r="F341" s="11">
        <v>9017</v>
      </c>
      <c r="G341" s="11">
        <v>10324</v>
      </c>
      <c r="H341" s="11">
        <v>19341</v>
      </c>
      <c r="I341" s="11">
        <v>10935</v>
      </c>
    </row>
    <row r="342" spans="1:9" x14ac:dyDescent="0.2">
      <c r="A342" s="10">
        <v>6712</v>
      </c>
      <c r="B342" s="10">
        <v>20</v>
      </c>
      <c r="C342" s="10" t="s">
        <v>641</v>
      </c>
      <c r="D342" s="10">
        <v>2096</v>
      </c>
      <c r="E342" s="10" t="s">
        <v>687</v>
      </c>
      <c r="F342" s="11">
        <v>53005</v>
      </c>
      <c r="G342" s="11">
        <v>63499</v>
      </c>
      <c r="H342" s="11">
        <v>116504</v>
      </c>
      <c r="I342" s="11">
        <v>179568</v>
      </c>
    </row>
    <row r="343" spans="1:9" x14ac:dyDescent="0.2">
      <c r="A343" s="10">
        <v>6712</v>
      </c>
      <c r="B343" s="10">
        <v>20</v>
      </c>
      <c r="C343" s="10" t="s">
        <v>641</v>
      </c>
      <c r="D343" s="10">
        <v>2097</v>
      </c>
      <c r="E343" s="10" t="s">
        <v>688</v>
      </c>
      <c r="F343" s="11">
        <v>10949</v>
      </c>
      <c r="G343" s="11">
        <v>13692</v>
      </c>
      <c r="H343" s="11">
        <v>24641</v>
      </c>
      <c r="I343" s="11">
        <v>8991</v>
      </c>
    </row>
    <row r="344" spans="1:9" x14ac:dyDescent="0.2">
      <c r="A344" s="10">
        <v>6712</v>
      </c>
      <c r="B344" s="10">
        <v>20</v>
      </c>
      <c r="C344" s="10" t="s">
        <v>641</v>
      </c>
      <c r="D344" s="10">
        <v>2098</v>
      </c>
      <c r="E344" s="10" t="s">
        <v>689</v>
      </c>
      <c r="F344" s="11">
        <v>4453</v>
      </c>
      <c r="G344" s="11">
        <v>5271</v>
      </c>
      <c r="H344" s="11">
        <v>9724</v>
      </c>
      <c r="I344" s="11">
        <v>5093</v>
      </c>
    </row>
    <row r="345" spans="1:9" x14ac:dyDescent="0.2">
      <c r="A345" s="10">
        <v>6712</v>
      </c>
      <c r="B345" s="10">
        <v>20</v>
      </c>
      <c r="C345" s="10" t="s">
        <v>641</v>
      </c>
      <c r="D345" s="10">
        <v>2099</v>
      </c>
      <c r="E345" s="10" t="s">
        <v>690</v>
      </c>
      <c r="F345" s="11">
        <v>10668</v>
      </c>
      <c r="G345" s="11">
        <v>11895</v>
      </c>
      <c r="H345" s="11">
        <v>22563</v>
      </c>
      <c r="I345" s="11">
        <v>12506</v>
      </c>
    </row>
    <row r="346" spans="1:9" x14ac:dyDescent="0.2">
      <c r="A346" s="10">
        <v>6712</v>
      </c>
      <c r="B346" s="10">
        <v>21</v>
      </c>
      <c r="C346" s="10" t="s">
        <v>691</v>
      </c>
      <c r="D346" s="10">
        <v>2101</v>
      </c>
      <c r="E346" s="10" t="s">
        <v>692</v>
      </c>
      <c r="F346" s="11">
        <v>51178</v>
      </c>
      <c r="G346" s="11">
        <v>53322</v>
      </c>
      <c r="H346" s="11">
        <v>104500</v>
      </c>
      <c r="I346" s="11">
        <v>70408</v>
      </c>
    </row>
    <row r="347" spans="1:9" x14ac:dyDescent="0.2">
      <c r="A347" s="10">
        <v>6712</v>
      </c>
      <c r="B347" s="10">
        <v>21</v>
      </c>
      <c r="C347" s="10" t="s">
        <v>691</v>
      </c>
      <c r="D347" s="10">
        <v>2102</v>
      </c>
      <c r="E347" s="10" t="s">
        <v>693</v>
      </c>
      <c r="F347" s="11">
        <v>5662</v>
      </c>
      <c r="G347" s="11">
        <v>5371</v>
      </c>
      <c r="H347" s="11">
        <v>11033</v>
      </c>
      <c r="I347" s="11">
        <v>5459</v>
      </c>
    </row>
    <row r="348" spans="1:9" x14ac:dyDescent="0.2">
      <c r="A348" s="10">
        <v>6712</v>
      </c>
      <c r="B348" s="10">
        <v>21</v>
      </c>
      <c r="C348" s="10" t="s">
        <v>691</v>
      </c>
      <c r="D348" s="10">
        <v>2103</v>
      </c>
      <c r="E348" s="10" t="s">
        <v>694</v>
      </c>
      <c r="F348" s="11">
        <v>32450</v>
      </c>
      <c r="G348" s="11">
        <v>35036</v>
      </c>
      <c r="H348" s="11">
        <v>67486</v>
      </c>
      <c r="I348" s="11">
        <v>33340</v>
      </c>
    </row>
    <row r="349" spans="1:9" x14ac:dyDescent="0.2">
      <c r="A349" s="10">
        <v>6712</v>
      </c>
      <c r="B349" s="10">
        <v>21</v>
      </c>
      <c r="C349" s="10" t="s">
        <v>691</v>
      </c>
      <c r="D349" s="10">
        <v>2104</v>
      </c>
      <c r="E349" s="10" t="s">
        <v>695</v>
      </c>
      <c r="F349" s="11">
        <v>11121</v>
      </c>
      <c r="G349" s="11">
        <v>11172</v>
      </c>
      <c r="H349" s="11">
        <v>22293</v>
      </c>
      <c r="I349" s="11">
        <v>11834</v>
      </c>
    </row>
    <row r="350" spans="1:9" x14ac:dyDescent="0.2">
      <c r="A350" s="10">
        <v>6712</v>
      </c>
      <c r="B350" s="10">
        <v>21</v>
      </c>
      <c r="C350" s="10" t="s">
        <v>691</v>
      </c>
      <c r="D350" s="10">
        <v>2105</v>
      </c>
      <c r="E350" s="10" t="s">
        <v>696</v>
      </c>
      <c r="F350" s="11">
        <v>34112</v>
      </c>
      <c r="G350" s="11">
        <v>35903</v>
      </c>
      <c r="H350" s="11">
        <v>70015</v>
      </c>
      <c r="I350" s="11">
        <v>39451</v>
      </c>
    </row>
    <row r="351" spans="1:9" x14ac:dyDescent="0.2">
      <c r="A351" s="10">
        <v>6712</v>
      </c>
      <c r="B351" s="10">
        <v>21</v>
      </c>
      <c r="C351" s="10" t="s">
        <v>691</v>
      </c>
      <c r="D351" s="10">
        <v>2106</v>
      </c>
      <c r="E351" s="10" t="s">
        <v>697</v>
      </c>
      <c r="F351" s="11">
        <v>42285</v>
      </c>
      <c r="G351" s="11">
        <v>41383</v>
      </c>
      <c r="H351" s="11">
        <v>83668</v>
      </c>
      <c r="I351" s="11">
        <v>116865</v>
      </c>
    </row>
    <row r="352" spans="1:9" x14ac:dyDescent="0.2">
      <c r="A352" s="10">
        <v>6712</v>
      </c>
      <c r="B352" s="10">
        <v>21</v>
      </c>
      <c r="C352" s="10" t="s">
        <v>691</v>
      </c>
      <c r="D352" s="10">
        <v>2107</v>
      </c>
      <c r="E352" s="10" t="s">
        <v>698</v>
      </c>
      <c r="F352" s="11">
        <v>11672</v>
      </c>
      <c r="G352" s="11">
        <v>11906</v>
      </c>
      <c r="H352" s="11">
        <v>23578</v>
      </c>
      <c r="I352" s="11">
        <v>11651</v>
      </c>
    </row>
    <row r="353" spans="1:9" x14ac:dyDescent="0.2">
      <c r="A353" s="10">
        <v>6712</v>
      </c>
      <c r="B353" s="10">
        <v>21</v>
      </c>
      <c r="C353" s="10" t="s">
        <v>691</v>
      </c>
      <c r="D353" s="10">
        <v>2108</v>
      </c>
      <c r="E353" s="10" t="s">
        <v>699</v>
      </c>
      <c r="F353" s="11">
        <v>13056</v>
      </c>
      <c r="G353" s="11">
        <v>13119</v>
      </c>
      <c r="H353" s="11">
        <v>26175</v>
      </c>
      <c r="I353" s="11">
        <v>23199</v>
      </c>
    </row>
    <row r="354" spans="1:9" x14ac:dyDescent="0.2">
      <c r="A354" s="10">
        <v>6712</v>
      </c>
      <c r="B354" s="10">
        <v>21</v>
      </c>
      <c r="C354" s="10" t="s">
        <v>691</v>
      </c>
      <c r="D354" s="10">
        <v>2177</v>
      </c>
      <c r="E354" s="10" t="s">
        <v>700</v>
      </c>
      <c r="F354" s="11">
        <v>4372</v>
      </c>
      <c r="G354" s="11">
        <v>4360</v>
      </c>
      <c r="H354" s="11">
        <v>8732</v>
      </c>
      <c r="I354" s="11">
        <v>5900</v>
      </c>
    </row>
    <row r="355" spans="1:9" x14ac:dyDescent="0.2">
      <c r="A355" s="10">
        <v>6712</v>
      </c>
      <c r="B355" s="10">
        <v>21</v>
      </c>
      <c r="C355" s="10" t="s">
        <v>691</v>
      </c>
      <c r="D355" s="10">
        <v>2178</v>
      </c>
      <c r="E355" s="10" t="s">
        <v>701</v>
      </c>
      <c r="F355" s="11">
        <v>2216</v>
      </c>
      <c r="G355" s="11">
        <v>2345</v>
      </c>
      <c r="H355" s="11">
        <v>4561</v>
      </c>
      <c r="I355" s="11">
        <v>2084</v>
      </c>
    </row>
    <row r="356" spans="1:9" x14ac:dyDescent="0.2">
      <c r="A356" s="10">
        <v>6712</v>
      </c>
      <c r="B356" s="10">
        <v>21</v>
      </c>
      <c r="C356" s="10" t="s">
        <v>691</v>
      </c>
      <c r="D356" s="10">
        <v>2179</v>
      </c>
      <c r="E356" s="10" t="s">
        <v>702</v>
      </c>
      <c r="F356" s="11">
        <v>12917</v>
      </c>
      <c r="G356" s="11">
        <v>13219</v>
      </c>
      <c r="H356" s="11">
        <v>26136</v>
      </c>
      <c r="I356" s="11">
        <v>18648</v>
      </c>
    </row>
    <row r="357" spans="1:9" x14ac:dyDescent="0.2">
      <c r="A357" s="10">
        <v>6712</v>
      </c>
      <c r="B357" s="10">
        <v>21</v>
      </c>
      <c r="C357" s="10" t="s">
        <v>691</v>
      </c>
      <c r="D357" s="10">
        <v>2180</v>
      </c>
      <c r="E357" s="10" t="s">
        <v>703</v>
      </c>
      <c r="F357" s="11">
        <v>4213</v>
      </c>
      <c r="G357" s="11">
        <v>4435</v>
      </c>
      <c r="H357" s="11">
        <v>8648</v>
      </c>
      <c r="I357" s="11">
        <v>3640</v>
      </c>
    </row>
    <row r="358" spans="1:9" x14ac:dyDescent="0.2">
      <c r="A358" s="10">
        <v>6712</v>
      </c>
      <c r="B358" s="10">
        <v>21</v>
      </c>
      <c r="C358" s="10" t="s">
        <v>691</v>
      </c>
      <c r="D358" s="10">
        <v>2181</v>
      </c>
      <c r="E358" s="10" t="s">
        <v>704</v>
      </c>
      <c r="F358" s="11">
        <v>6037</v>
      </c>
      <c r="G358" s="11">
        <v>6055</v>
      </c>
      <c r="H358" s="11">
        <v>12092</v>
      </c>
      <c r="I358" s="11">
        <v>8827</v>
      </c>
    </row>
    <row r="359" spans="1:9" x14ac:dyDescent="0.2">
      <c r="A359" s="10">
        <v>6712</v>
      </c>
      <c r="B359" s="10">
        <v>21</v>
      </c>
      <c r="C359" s="10" t="s">
        <v>691</v>
      </c>
      <c r="D359" s="10">
        <v>2182</v>
      </c>
      <c r="E359" s="10" t="s">
        <v>705</v>
      </c>
      <c r="F359" s="11">
        <v>8261</v>
      </c>
      <c r="G359" s="11">
        <v>8675</v>
      </c>
      <c r="H359" s="11">
        <v>16936</v>
      </c>
      <c r="I359" s="11">
        <v>10242</v>
      </c>
    </row>
    <row r="360" spans="1:9" x14ac:dyDescent="0.2">
      <c r="A360" s="10">
        <v>6712</v>
      </c>
      <c r="B360" s="10">
        <v>21</v>
      </c>
      <c r="C360" s="10" t="s">
        <v>691</v>
      </c>
      <c r="D360" s="10">
        <v>2183</v>
      </c>
      <c r="E360" s="10" t="s">
        <v>706</v>
      </c>
      <c r="F360" s="11">
        <v>7660</v>
      </c>
      <c r="G360" s="11">
        <v>7729</v>
      </c>
      <c r="H360" s="11">
        <v>15389</v>
      </c>
      <c r="I360" s="11">
        <v>14410</v>
      </c>
    </row>
    <row r="361" spans="1:9" x14ac:dyDescent="0.2">
      <c r="A361" s="10">
        <v>6712</v>
      </c>
      <c r="B361" s="10">
        <v>21</v>
      </c>
      <c r="C361" s="10" t="s">
        <v>691</v>
      </c>
      <c r="D361" s="10">
        <v>2184</v>
      </c>
      <c r="E361" s="10" t="s">
        <v>707</v>
      </c>
      <c r="F361" s="11">
        <v>5742</v>
      </c>
      <c r="G361" s="11">
        <v>5698</v>
      </c>
      <c r="H361" s="11">
        <v>11440</v>
      </c>
      <c r="I361" s="11">
        <v>9067</v>
      </c>
    </row>
    <row r="362" spans="1:9" x14ac:dyDescent="0.2">
      <c r="A362" s="10">
        <v>6712</v>
      </c>
      <c r="B362" s="10">
        <v>21</v>
      </c>
      <c r="C362" s="10" t="s">
        <v>691</v>
      </c>
      <c r="D362" s="10">
        <v>2185</v>
      </c>
      <c r="E362" s="10" t="s">
        <v>708</v>
      </c>
      <c r="F362" s="11">
        <v>2601</v>
      </c>
      <c r="G362" s="11">
        <v>2969</v>
      </c>
      <c r="H362" s="11">
        <v>5570</v>
      </c>
      <c r="I362" s="11">
        <v>4609</v>
      </c>
    </row>
    <row r="363" spans="1:9" x14ac:dyDescent="0.2">
      <c r="A363" s="10">
        <v>6712</v>
      </c>
      <c r="B363" s="10">
        <v>21</v>
      </c>
      <c r="C363" s="10" t="s">
        <v>691</v>
      </c>
      <c r="D363" s="10">
        <v>2186</v>
      </c>
      <c r="E363" s="10" t="s">
        <v>709</v>
      </c>
      <c r="F363" s="10">
        <v>204</v>
      </c>
      <c r="G363" s="10">
        <v>189</v>
      </c>
      <c r="H363" s="10">
        <v>393</v>
      </c>
      <c r="I363" s="10">
        <v>620</v>
      </c>
    </row>
    <row r="364" spans="1:9" x14ac:dyDescent="0.2">
      <c r="A364" s="10">
        <v>6712</v>
      </c>
      <c r="B364" s="10">
        <v>21</v>
      </c>
      <c r="C364" s="10" t="s">
        <v>691</v>
      </c>
      <c r="D364" s="10">
        <v>2187</v>
      </c>
      <c r="E364" s="10" t="s">
        <v>710</v>
      </c>
      <c r="F364" s="11">
        <v>1621</v>
      </c>
      <c r="G364" s="11">
        <v>1768</v>
      </c>
      <c r="H364" s="11">
        <v>3389</v>
      </c>
      <c r="I364" s="11">
        <v>2183</v>
      </c>
    </row>
    <row r="365" spans="1:9" x14ac:dyDescent="0.2">
      <c r="A365" s="10">
        <v>6712</v>
      </c>
      <c r="B365" s="10">
        <v>21</v>
      </c>
      <c r="C365" s="10" t="s">
        <v>691</v>
      </c>
      <c r="D365" s="10">
        <v>2188</v>
      </c>
      <c r="E365" s="10" t="s">
        <v>711</v>
      </c>
      <c r="F365" s="11">
        <v>1820</v>
      </c>
      <c r="G365" s="11">
        <v>1896</v>
      </c>
      <c r="H365" s="11">
        <v>3716</v>
      </c>
      <c r="I365" s="11">
        <v>2499</v>
      </c>
    </row>
    <row r="366" spans="1:9" x14ac:dyDescent="0.2">
      <c r="A366" s="10">
        <v>6712</v>
      </c>
      <c r="B366" s="10">
        <v>21</v>
      </c>
      <c r="C366" s="10" t="s">
        <v>691</v>
      </c>
      <c r="D366" s="10">
        <v>2189</v>
      </c>
      <c r="E366" s="10" t="s">
        <v>712</v>
      </c>
      <c r="F366" s="11">
        <v>7189</v>
      </c>
      <c r="G366" s="11">
        <v>7983</v>
      </c>
      <c r="H366" s="11">
        <v>15172</v>
      </c>
      <c r="I366" s="11">
        <v>10601</v>
      </c>
    </row>
    <row r="367" spans="1:9" x14ac:dyDescent="0.2">
      <c r="A367" s="10">
        <v>6712</v>
      </c>
      <c r="B367" s="10">
        <v>21</v>
      </c>
      <c r="C367" s="10" t="s">
        <v>691</v>
      </c>
      <c r="D367" s="10">
        <v>2190</v>
      </c>
      <c r="E367" s="10" t="s">
        <v>713</v>
      </c>
      <c r="F367" s="11">
        <v>2242</v>
      </c>
      <c r="G367" s="11">
        <v>2378</v>
      </c>
      <c r="H367" s="11">
        <v>4620</v>
      </c>
      <c r="I367" s="11">
        <v>2113</v>
      </c>
    </row>
    <row r="368" spans="1:9" x14ac:dyDescent="0.2">
      <c r="A368" s="10">
        <v>6712</v>
      </c>
      <c r="B368" s="10">
        <v>21</v>
      </c>
      <c r="C368" s="10" t="s">
        <v>691</v>
      </c>
      <c r="D368" s="10">
        <v>2191</v>
      </c>
      <c r="E368" s="10" t="s">
        <v>714</v>
      </c>
      <c r="F368" s="11">
        <v>3075</v>
      </c>
      <c r="G368" s="11">
        <v>3418</v>
      </c>
      <c r="H368" s="11">
        <v>6493</v>
      </c>
      <c r="I368" s="11">
        <v>4223</v>
      </c>
    </row>
    <row r="369" spans="1:9" x14ac:dyDescent="0.2">
      <c r="A369" s="10">
        <v>6712</v>
      </c>
      <c r="B369" s="10">
        <v>21</v>
      </c>
      <c r="C369" s="10" t="s">
        <v>691</v>
      </c>
      <c r="D369" s="10">
        <v>2192</v>
      </c>
      <c r="E369" s="10" t="s">
        <v>715</v>
      </c>
      <c r="F369" s="11">
        <v>2322</v>
      </c>
      <c r="G369" s="11">
        <v>2368</v>
      </c>
      <c r="H369" s="11">
        <v>4690</v>
      </c>
      <c r="I369" s="11">
        <v>1919</v>
      </c>
    </row>
    <row r="370" spans="1:9" x14ac:dyDescent="0.2">
      <c r="A370" s="10">
        <v>6712</v>
      </c>
      <c r="B370" s="10">
        <v>21</v>
      </c>
      <c r="C370" s="10" t="s">
        <v>691</v>
      </c>
      <c r="D370" s="10">
        <v>2193</v>
      </c>
      <c r="E370" s="10" t="s">
        <v>716</v>
      </c>
      <c r="F370" s="11">
        <v>5589</v>
      </c>
      <c r="G370" s="11">
        <v>5791</v>
      </c>
      <c r="H370" s="11">
        <v>11380</v>
      </c>
      <c r="I370" s="11">
        <v>6402</v>
      </c>
    </row>
    <row r="371" spans="1:9" x14ac:dyDescent="0.2">
      <c r="A371" s="10">
        <v>6712</v>
      </c>
      <c r="B371" s="10">
        <v>21</v>
      </c>
      <c r="C371" s="10" t="s">
        <v>691</v>
      </c>
      <c r="D371" s="10">
        <v>2194</v>
      </c>
      <c r="E371" s="10" t="s">
        <v>717</v>
      </c>
      <c r="F371" s="11">
        <v>15485</v>
      </c>
      <c r="G371" s="11">
        <v>16505</v>
      </c>
      <c r="H371" s="11">
        <v>31990</v>
      </c>
      <c r="I371" s="11">
        <v>22168</v>
      </c>
    </row>
    <row r="372" spans="1:9" x14ac:dyDescent="0.2">
      <c r="A372" s="10">
        <v>6712</v>
      </c>
      <c r="B372" s="10">
        <v>21</v>
      </c>
      <c r="C372" s="10" t="s">
        <v>691</v>
      </c>
      <c r="D372" s="10">
        <v>2195</v>
      </c>
      <c r="E372" s="10" t="s">
        <v>718</v>
      </c>
      <c r="F372" s="11">
        <v>8625</v>
      </c>
      <c r="G372" s="11">
        <v>9571</v>
      </c>
      <c r="H372" s="11">
        <v>18196</v>
      </c>
      <c r="I372" s="11">
        <v>12698</v>
      </c>
    </row>
    <row r="373" spans="1:9" x14ac:dyDescent="0.2">
      <c r="A373" s="10">
        <v>6712</v>
      </c>
      <c r="B373" s="10">
        <v>21</v>
      </c>
      <c r="C373" s="10" t="s">
        <v>691</v>
      </c>
      <c r="D373" s="10">
        <v>2196</v>
      </c>
      <c r="E373" s="10" t="s">
        <v>719</v>
      </c>
      <c r="F373" s="11">
        <v>3427</v>
      </c>
      <c r="G373" s="11">
        <v>3724</v>
      </c>
      <c r="H373" s="11">
        <v>7151</v>
      </c>
      <c r="I373" s="11">
        <v>3567</v>
      </c>
    </row>
    <row r="374" spans="1:9" x14ac:dyDescent="0.2">
      <c r="A374" s="10">
        <v>6712</v>
      </c>
      <c r="B374" s="10">
        <v>21</v>
      </c>
      <c r="C374" s="10" t="s">
        <v>691</v>
      </c>
      <c r="D374" s="10">
        <v>2197</v>
      </c>
      <c r="E374" s="10" t="s">
        <v>720</v>
      </c>
      <c r="F374" s="11">
        <v>39769</v>
      </c>
      <c r="G374" s="11">
        <v>40004</v>
      </c>
      <c r="H374" s="11">
        <v>79773</v>
      </c>
      <c r="I374" s="11">
        <v>69179</v>
      </c>
    </row>
    <row r="375" spans="1:9" x14ac:dyDescent="0.2">
      <c r="A375" s="10">
        <v>6712</v>
      </c>
      <c r="B375" s="10">
        <v>21</v>
      </c>
      <c r="C375" s="10" t="s">
        <v>691</v>
      </c>
      <c r="D375" s="10">
        <v>2198</v>
      </c>
      <c r="E375" s="10" t="s">
        <v>721</v>
      </c>
      <c r="F375" s="11">
        <v>8647</v>
      </c>
      <c r="G375" s="11">
        <v>9695</v>
      </c>
      <c r="H375" s="11">
        <v>18342</v>
      </c>
      <c r="I375" s="11">
        <v>12071</v>
      </c>
    </row>
    <row r="376" spans="1:9" x14ac:dyDescent="0.2">
      <c r="A376" s="10">
        <v>6712</v>
      </c>
      <c r="B376" s="10">
        <v>21</v>
      </c>
      <c r="C376" s="10" t="s">
        <v>691</v>
      </c>
      <c r="D376" s="10">
        <v>2199</v>
      </c>
      <c r="E376" s="10" t="s">
        <v>722</v>
      </c>
      <c r="F376" s="11">
        <v>27409</v>
      </c>
      <c r="G376" s="11">
        <v>31205</v>
      </c>
      <c r="H376" s="11">
        <v>58614</v>
      </c>
      <c r="I376" s="11">
        <v>38537</v>
      </c>
    </row>
    <row r="377" spans="1:9" x14ac:dyDescent="0.2">
      <c r="A377" s="10">
        <v>6712</v>
      </c>
      <c r="B377" s="10">
        <v>22</v>
      </c>
      <c r="C377" s="10" t="s">
        <v>723</v>
      </c>
      <c r="D377" s="10">
        <v>2201</v>
      </c>
      <c r="E377" s="10" t="s">
        <v>724</v>
      </c>
      <c r="F377" s="11">
        <v>23026</v>
      </c>
      <c r="G377" s="11">
        <v>25609</v>
      </c>
      <c r="H377" s="11">
        <v>48635</v>
      </c>
      <c r="I377" s="11">
        <v>24450</v>
      </c>
    </row>
    <row r="378" spans="1:9" x14ac:dyDescent="0.2">
      <c r="A378" s="10">
        <v>6712</v>
      </c>
      <c r="B378" s="10">
        <v>22</v>
      </c>
      <c r="C378" s="10" t="s">
        <v>723</v>
      </c>
      <c r="D378" s="10">
        <v>2202</v>
      </c>
      <c r="E378" s="10" t="s">
        <v>725</v>
      </c>
      <c r="F378" s="11">
        <v>12459</v>
      </c>
      <c r="G378" s="11">
        <v>13001</v>
      </c>
      <c r="H378" s="11">
        <v>25460</v>
      </c>
      <c r="I378" s="11">
        <v>10815</v>
      </c>
    </row>
    <row r="379" spans="1:9" x14ac:dyDescent="0.2">
      <c r="A379" s="10">
        <v>6712</v>
      </c>
      <c r="B379" s="10">
        <v>22</v>
      </c>
      <c r="C379" s="10" t="s">
        <v>723</v>
      </c>
      <c r="D379" s="10">
        <v>2203</v>
      </c>
      <c r="E379" s="10" t="s">
        <v>726</v>
      </c>
      <c r="F379" s="11">
        <v>23241</v>
      </c>
      <c r="G379" s="11">
        <v>24302</v>
      </c>
      <c r="H379" s="11">
        <v>47543</v>
      </c>
      <c r="I379" s="11">
        <v>19239</v>
      </c>
    </row>
    <row r="380" spans="1:9" x14ac:dyDescent="0.2">
      <c r="A380" s="10">
        <v>6712</v>
      </c>
      <c r="B380" s="10">
        <v>22</v>
      </c>
      <c r="C380" s="10" t="s">
        <v>723</v>
      </c>
      <c r="D380" s="10">
        <v>2204</v>
      </c>
      <c r="E380" s="10" t="s">
        <v>727</v>
      </c>
      <c r="F380" s="11">
        <v>11005</v>
      </c>
      <c r="G380" s="11">
        <v>10527</v>
      </c>
      <c r="H380" s="11">
        <v>21532</v>
      </c>
      <c r="I380" s="11">
        <v>9196</v>
      </c>
    </row>
    <row r="381" spans="1:9" x14ac:dyDescent="0.2">
      <c r="A381" s="10">
        <v>6712</v>
      </c>
      <c r="B381" s="10">
        <v>22</v>
      </c>
      <c r="C381" s="10" t="s">
        <v>723</v>
      </c>
      <c r="D381" s="10">
        <v>2205</v>
      </c>
      <c r="E381" s="10" t="s">
        <v>728</v>
      </c>
      <c r="F381" s="11">
        <v>15269</v>
      </c>
      <c r="G381" s="11">
        <v>15915</v>
      </c>
      <c r="H381" s="11">
        <v>31184</v>
      </c>
      <c r="I381" s="11">
        <v>14383</v>
      </c>
    </row>
    <row r="382" spans="1:9" x14ac:dyDescent="0.2">
      <c r="A382" s="10">
        <v>6712</v>
      </c>
      <c r="B382" s="10">
        <v>22</v>
      </c>
      <c r="C382" s="10" t="s">
        <v>723</v>
      </c>
      <c r="D382" s="10">
        <v>2206</v>
      </c>
      <c r="E382" s="10" t="s">
        <v>729</v>
      </c>
      <c r="F382" s="11">
        <v>6763</v>
      </c>
      <c r="G382" s="11">
        <v>7084</v>
      </c>
      <c r="H382" s="11">
        <v>13847</v>
      </c>
      <c r="I382" s="11">
        <v>5522</v>
      </c>
    </row>
    <row r="383" spans="1:9" x14ac:dyDescent="0.2">
      <c r="A383" s="10">
        <v>6712</v>
      </c>
      <c r="B383" s="10">
        <v>22</v>
      </c>
      <c r="C383" s="10" t="s">
        <v>723</v>
      </c>
      <c r="D383" s="10">
        <v>2207</v>
      </c>
      <c r="E383" s="10" t="s">
        <v>730</v>
      </c>
      <c r="F383" s="11">
        <v>18607</v>
      </c>
      <c r="G383" s="11">
        <v>18346</v>
      </c>
      <c r="H383" s="11">
        <v>36953</v>
      </c>
      <c r="I383" s="11">
        <v>15547</v>
      </c>
    </row>
    <row r="384" spans="1:9" x14ac:dyDescent="0.2">
      <c r="A384" s="10">
        <v>6712</v>
      </c>
      <c r="B384" s="10">
        <v>22</v>
      </c>
      <c r="C384" s="10" t="s">
        <v>723</v>
      </c>
      <c r="D384" s="10">
        <v>2208</v>
      </c>
      <c r="E384" s="10" t="s">
        <v>731</v>
      </c>
      <c r="F384" s="11">
        <v>21455</v>
      </c>
      <c r="G384" s="11">
        <v>21366</v>
      </c>
      <c r="H384" s="11">
        <v>42821</v>
      </c>
      <c r="I384" s="11">
        <v>22728</v>
      </c>
    </row>
    <row r="385" spans="1:9" x14ac:dyDescent="0.2">
      <c r="A385" s="10">
        <v>6712</v>
      </c>
      <c r="B385" s="10">
        <v>22</v>
      </c>
      <c r="C385" s="10" t="s">
        <v>723</v>
      </c>
      <c r="D385" s="10">
        <v>2209</v>
      </c>
      <c r="E385" s="10" t="s">
        <v>732</v>
      </c>
      <c r="F385" s="11">
        <v>14890</v>
      </c>
      <c r="G385" s="11">
        <v>15938</v>
      </c>
      <c r="H385" s="11">
        <v>30828</v>
      </c>
      <c r="I385" s="11">
        <v>12712</v>
      </c>
    </row>
    <row r="386" spans="1:9" x14ac:dyDescent="0.2">
      <c r="A386" s="10">
        <v>6712</v>
      </c>
      <c r="B386" s="10">
        <v>22</v>
      </c>
      <c r="C386" s="10" t="s">
        <v>723</v>
      </c>
      <c r="D386" s="10">
        <v>2210</v>
      </c>
      <c r="E386" s="10" t="s">
        <v>733</v>
      </c>
      <c r="F386" s="11">
        <v>6325</v>
      </c>
      <c r="G386" s="11">
        <v>6530</v>
      </c>
      <c r="H386" s="11">
        <v>12855</v>
      </c>
      <c r="I386" s="11">
        <v>5863</v>
      </c>
    </row>
    <row r="387" spans="1:9" x14ac:dyDescent="0.2">
      <c r="A387" s="10">
        <v>6712</v>
      </c>
      <c r="B387" s="10">
        <v>22</v>
      </c>
      <c r="C387" s="10" t="s">
        <v>723</v>
      </c>
      <c r="D387" s="10">
        <v>2272</v>
      </c>
      <c r="E387" s="10" t="s">
        <v>734</v>
      </c>
      <c r="F387" s="11">
        <v>3061</v>
      </c>
      <c r="G387" s="11">
        <v>3218</v>
      </c>
      <c r="H387" s="11">
        <v>6279</v>
      </c>
      <c r="I387" s="11">
        <v>2658</v>
      </c>
    </row>
    <row r="388" spans="1:9" x14ac:dyDescent="0.2">
      <c r="A388" s="10">
        <v>6712</v>
      </c>
      <c r="B388" s="10">
        <v>22</v>
      </c>
      <c r="C388" s="10" t="s">
        <v>723</v>
      </c>
      <c r="D388" s="10">
        <v>2273</v>
      </c>
      <c r="E388" s="10" t="s">
        <v>735</v>
      </c>
      <c r="F388" s="11">
        <v>2698</v>
      </c>
      <c r="G388" s="11">
        <v>2710</v>
      </c>
      <c r="H388" s="11">
        <v>5408</v>
      </c>
      <c r="I388" s="11">
        <v>2192</v>
      </c>
    </row>
    <row r="389" spans="1:9" x14ac:dyDescent="0.2">
      <c r="A389" s="10">
        <v>6712</v>
      </c>
      <c r="B389" s="10">
        <v>22</v>
      </c>
      <c r="C389" s="10" t="s">
        <v>723</v>
      </c>
      <c r="D389" s="10">
        <v>2274</v>
      </c>
      <c r="E389" s="10" t="s">
        <v>736</v>
      </c>
      <c r="F389" s="11">
        <v>5206</v>
      </c>
      <c r="G389" s="11">
        <v>4960</v>
      </c>
      <c r="H389" s="11">
        <v>10166</v>
      </c>
      <c r="I389" s="11">
        <v>4188</v>
      </c>
    </row>
    <row r="390" spans="1:9" x14ac:dyDescent="0.2">
      <c r="A390" s="10">
        <v>6712</v>
      </c>
      <c r="B390" s="10">
        <v>22</v>
      </c>
      <c r="C390" s="10" t="s">
        <v>723</v>
      </c>
      <c r="D390" s="10">
        <v>2275</v>
      </c>
      <c r="E390" s="10" t="s">
        <v>737</v>
      </c>
      <c r="F390" s="11">
        <v>1980</v>
      </c>
      <c r="G390" s="11">
        <v>2143</v>
      </c>
      <c r="H390" s="11">
        <v>4123</v>
      </c>
      <c r="I390" s="11">
        <v>1710</v>
      </c>
    </row>
    <row r="391" spans="1:9" x14ac:dyDescent="0.2">
      <c r="A391" s="10">
        <v>6712</v>
      </c>
      <c r="B391" s="10">
        <v>22</v>
      </c>
      <c r="C391" s="10" t="s">
        <v>723</v>
      </c>
      <c r="D391" s="10">
        <v>2276</v>
      </c>
      <c r="E391" s="10" t="s">
        <v>738</v>
      </c>
      <c r="F391" s="11">
        <v>2152</v>
      </c>
      <c r="G391" s="11">
        <v>2503</v>
      </c>
      <c r="H391" s="11">
        <v>4655</v>
      </c>
      <c r="I391" s="11">
        <v>2384</v>
      </c>
    </row>
    <row r="392" spans="1:9" x14ac:dyDescent="0.2">
      <c r="A392" s="10">
        <v>6712</v>
      </c>
      <c r="B392" s="10">
        <v>22</v>
      </c>
      <c r="C392" s="10" t="s">
        <v>723</v>
      </c>
      <c r="D392" s="10">
        <v>2277</v>
      </c>
      <c r="E392" s="10" t="s">
        <v>739</v>
      </c>
      <c r="F392" s="11">
        <v>3443</v>
      </c>
      <c r="G392" s="11">
        <v>3621</v>
      </c>
      <c r="H392" s="11">
        <v>7064</v>
      </c>
      <c r="I392" s="11">
        <v>2912</v>
      </c>
    </row>
    <row r="393" spans="1:9" x14ac:dyDescent="0.2">
      <c r="A393" s="10">
        <v>6712</v>
      </c>
      <c r="B393" s="10">
        <v>22</v>
      </c>
      <c r="C393" s="10" t="s">
        <v>723</v>
      </c>
      <c r="D393" s="10">
        <v>2278</v>
      </c>
      <c r="E393" s="10" t="s">
        <v>740</v>
      </c>
      <c r="F393" s="11">
        <v>2133</v>
      </c>
      <c r="G393" s="11">
        <v>2259</v>
      </c>
      <c r="H393" s="11">
        <v>4392</v>
      </c>
      <c r="I393" s="11">
        <v>1974</v>
      </c>
    </row>
    <row r="394" spans="1:9" x14ac:dyDescent="0.2">
      <c r="A394" s="10">
        <v>6712</v>
      </c>
      <c r="B394" s="10">
        <v>22</v>
      </c>
      <c r="C394" s="10" t="s">
        <v>723</v>
      </c>
      <c r="D394" s="10">
        <v>2279</v>
      </c>
      <c r="E394" s="10" t="s">
        <v>741</v>
      </c>
      <c r="F394" s="11">
        <v>2388</v>
      </c>
      <c r="G394" s="11">
        <v>2354</v>
      </c>
      <c r="H394" s="11">
        <v>4742</v>
      </c>
      <c r="I394" s="11">
        <v>1931</v>
      </c>
    </row>
    <row r="395" spans="1:9" x14ac:dyDescent="0.2">
      <c r="A395" s="10">
        <v>6712</v>
      </c>
      <c r="B395" s="10">
        <v>22</v>
      </c>
      <c r="C395" s="10" t="s">
        <v>723</v>
      </c>
      <c r="D395" s="10">
        <v>2280</v>
      </c>
      <c r="E395" s="10" t="s">
        <v>742</v>
      </c>
      <c r="F395" s="11">
        <v>8557</v>
      </c>
      <c r="G395" s="11">
        <v>9548</v>
      </c>
      <c r="H395" s="11">
        <v>18105</v>
      </c>
      <c r="I395" s="11">
        <v>9022</v>
      </c>
    </row>
    <row r="396" spans="1:9" x14ac:dyDescent="0.2">
      <c r="A396" s="10">
        <v>6712</v>
      </c>
      <c r="B396" s="10">
        <v>22</v>
      </c>
      <c r="C396" s="10" t="s">
        <v>723</v>
      </c>
      <c r="D396" s="10">
        <v>2281</v>
      </c>
      <c r="E396" s="10" t="s">
        <v>743</v>
      </c>
      <c r="F396" s="11">
        <v>2269</v>
      </c>
      <c r="G396" s="11">
        <v>2118</v>
      </c>
      <c r="H396" s="11">
        <v>4387</v>
      </c>
      <c r="I396" s="11">
        <v>2720</v>
      </c>
    </row>
    <row r="397" spans="1:9" x14ac:dyDescent="0.2">
      <c r="A397" s="10">
        <v>6712</v>
      </c>
      <c r="B397" s="10">
        <v>22</v>
      </c>
      <c r="C397" s="10" t="s">
        <v>723</v>
      </c>
      <c r="D397" s="10">
        <v>2282</v>
      </c>
      <c r="E397" s="10" t="s">
        <v>744</v>
      </c>
      <c r="F397" s="11">
        <v>3576</v>
      </c>
      <c r="G397" s="11">
        <v>3776</v>
      </c>
      <c r="H397" s="11">
        <v>7352</v>
      </c>
      <c r="I397" s="11">
        <v>4364</v>
      </c>
    </row>
    <row r="398" spans="1:9" x14ac:dyDescent="0.2">
      <c r="A398" s="10">
        <v>6712</v>
      </c>
      <c r="B398" s="10">
        <v>22</v>
      </c>
      <c r="C398" s="10" t="s">
        <v>723</v>
      </c>
      <c r="D398" s="10">
        <v>2283</v>
      </c>
      <c r="E398" s="10" t="s">
        <v>745</v>
      </c>
      <c r="F398" s="11">
        <v>8098</v>
      </c>
      <c r="G398" s="11">
        <v>8078</v>
      </c>
      <c r="H398" s="11">
        <v>16176</v>
      </c>
      <c r="I398" s="11">
        <v>6331</v>
      </c>
    </row>
    <row r="399" spans="1:9" x14ac:dyDescent="0.2">
      <c r="A399" s="10">
        <v>6712</v>
      </c>
      <c r="B399" s="10">
        <v>22</v>
      </c>
      <c r="C399" s="10" t="s">
        <v>723</v>
      </c>
      <c r="D399" s="10">
        <v>2284</v>
      </c>
      <c r="E399" s="10" t="s">
        <v>746</v>
      </c>
      <c r="F399" s="11">
        <v>1605</v>
      </c>
      <c r="G399" s="11">
        <v>1796</v>
      </c>
      <c r="H399" s="11">
        <v>3401</v>
      </c>
      <c r="I399" s="11">
        <v>2034</v>
      </c>
    </row>
    <row r="400" spans="1:9" x14ac:dyDescent="0.2">
      <c r="A400" s="10">
        <v>6712</v>
      </c>
      <c r="B400" s="10">
        <v>22</v>
      </c>
      <c r="C400" s="10" t="s">
        <v>723</v>
      </c>
      <c r="D400" s="10">
        <v>2285</v>
      </c>
      <c r="E400" s="10" t="s">
        <v>747</v>
      </c>
      <c r="F400" s="11">
        <v>5505</v>
      </c>
      <c r="G400" s="11">
        <v>5703</v>
      </c>
      <c r="H400" s="11">
        <v>11208</v>
      </c>
      <c r="I400" s="11">
        <v>6611</v>
      </c>
    </row>
    <row r="401" spans="1:9" x14ac:dyDescent="0.2">
      <c r="A401" s="10">
        <v>6712</v>
      </c>
      <c r="B401" s="10">
        <v>22</v>
      </c>
      <c r="C401" s="10" t="s">
        <v>723</v>
      </c>
      <c r="D401" s="10">
        <v>2286</v>
      </c>
      <c r="E401" s="10" t="s">
        <v>748</v>
      </c>
      <c r="F401" s="11">
        <v>3198</v>
      </c>
      <c r="G401" s="11">
        <v>3687</v>
      </c>
      <c r="H401" s="11">
        <v>6885</v>
      </c>
      <c r="I401" s="11">
        <v>3243</v>
      </c>
    </row>
    <row r="402" spans="1:9" x14ac:dyDescent="0.2">
      <c r="A402" s="10">
        <v>6712</v>
      </c>
      <c r="B402" s="10">
        <v>22</v>
      </c>
      <c r="C402" s="10" t="s">
        <v>723</v>
      </c>
      <c r="D402" s="10">
        <v>2287</v>
      </c>
      <c r="E402" s="10" t="s">
        <v>749</v>
      </c>
      <c r="F402" s="11">
        <v>4108</v>
      </c>
      <c r="G402" s="11">
        <v>4368</v>
      </c>
      <c r="H402" s="11">
        <v>8476</v>
      </c>
      <c r="I402" s="11">
        <v>3543</v>
      </c>
    </row>
    <row r="403" spans="1:9" x14ac:dyDescent="0.2">
      <c r="A403" s="10">
        <v>6712</v>
      </c>
      <c r="B403" s="10">
        <v>22</v>
      </c>
      <c r="C403" s="10" t="s">
        <v>723</v>
      </c>
      <c r="D403" s="10">
        <v>2288</v>
      </c>
      <c r="E403" s="10" t="s">
        <v>750</v>
      </c>
      <c r="F403" s="10">
        <v>784</v>
      </c>
      <c r="G403" s="10">
        <v>897</v>
      </c>
      <c r="H403" s="11">
        <v>1681</v>
      </c>
      <c r="I403" s="11">
        <v>1041</v>
      </c>
    </row>
    <row r="404" spans="1:9" x14ac:dyDescent="0.2">
      <c r="A404" s="10">
        <v>6712</v>
      </c>
      <c r="B404" s="10">
        <v>22</v>
      </c>
      <c r="C404" s="10" t="s">
        <v>723</v>
      </c>
      <c r="D404" s="10">
        <v>2289</v>
      </c>
      <c r="E404" s="10" t="s">
        <v>751</v>
      </c>
      <c r="F404" s="11">
        <v>5129</v>
      </c>
      <c r="G404" s="11">
        <v>4292</v>
      </c>
      <c r="H404" s="11">
        <v>9421</v>
      </c>
      <c r="I404" s="11">
        <v>4492</v>
      </c>
    </row>
    <row r="405" spans="1:9" x14ac:dyDescent="0.2">
      <c r="A405" s="10">
        <v>6712</v>
      </c>
      <c r="B405" s="10">
        <v>22</v>
      </c>
      <c r="C405" s="10" t="s">
        <v>723</v>
      </c>
      <c r="D405" s="10">
        <v>2290</v>
      </c>
      <c r="E405" s="10" t="s">
        <v>752</v>
      </c>
      <c r="F405" s="11">
        <v>1752</v>
      </c>
      <c r="G405" s="11">
        <v>1963</v>
      </c>
      <c r="H405" s="11">
        <v>3715</v>
      </c>
      <c r="I405" s="11">
        <v>2249</v>
      </c>
    </row>
    <row r="406" spans="1:9" x14ac:dyDescent="0.2">
      <c r="A406" s="10">
        <v>6712</v>
      </c>
      <c r="B406" s="10">
        <v>22</v>
      </c>
      <c r="C406" s="10" t="s">
        <v>723</v>
      </c>
      <c r="D406" s="10">
        <v>2291</v>
      </c>
      <c r="E406" s="10" t="s">
        <v>753</v>
      </c>
      <c r="F406" s="11">
        <v>1481</v>
      </c>
      <c r="G406" s="11">
        <v>1567</v>
      </c>
      <c r="H406" s="11">
        <v>3048</v>
      </c>
      <c r="I406" s="11">
        <v>1789</v>
      </c>
    </row>
    <row r="407" spans="1:9" x14ac:dyDescent="0.2">
      <c r="A407" s="10">
        <v>6712</v>
      </c>
      <c r="B407" s="10">
        <v>22</v>
      </c>
      <c r="C407" s="10" t="s">
        <v>723</v>
      </c>
      <c r="D407" s="10">
        <v>2292</v>
      </c>
      <c r="E407" s="10" t="s">
        <v>754</v>
      </c>
      <c r="F407" s="10">
        <v>998</v>
      </c>
      <c r="G407" s="11">
        <v>1152</v>
      </c>
      <c r="H407" s="11">
        <v>2150</v>
      </c>
      <c r="I407" s="10">
        <v>992</v>
      </c>
    </row>
    <row r="408" spans="1:9" x14ac:dyDescent="0.2">
      <c r="A408" s="10">
        <v>6712</v>
      </c>
      <c r="B408" s="10">
        <v>22</v>
      </c>
      <c r="C408" s="10" t="s">
        <v>723</v>
      </c>
      <c r="D408" s="10">
        <v>2293</v>
      </c>
      <c r="E408" s="10" t="s">
        <v>755</v>
      </c>
      <c r="F408" s="11">
        <v>4859</v>
      </c>
      <c r="G408" s="11">
        <v>5430</v>
      </c>
      <c r="H408" s="11">
        <v>10289</v>
      </c>
      <c r="I408" s="11">
        <v>6832</v>
      </c>
    </row>
    <row r="409" spans="1:9" x14ac:dyDescent="0.2">
      <c r="A409" s="10">
        <v>6712</v>
      </c>
      <c r="B409" s="10">
        <v>22</v>
      </c>
      <c r="C409" s="10" t="s">
        <v>723</v>
      </c>
      <c r="D409" s="10">
        <v>2294</v>
      </c>
      <c r="E409" s="10" t="s">
        <v>756</v>
      </c>
      <c r="F409" s="11">
        <v>2474</v>
      </c>
      <c r="G409" s="11">
        <v>2669</v>
      </c>
      <c r="H409" s="11">
        <v>5143</v>
      </c>
      <c r="I409" s="11">
        <v>2333</v>
      </c>
    </row>
    <row r="410" spans="1:9" x14ac:dyDescent="0.2">
      <c r="A410" s="10">
        <v>6712</v>
      </c>
      <c r="B410" s="10">
        <v>22</v>
      </c>
      <c r="C410" s="10" t="s">
        <v>723</v>
      </c>
      <c r="D410" s="10">
        <v>2295</v>
      </c>
      <c r="E410" s="10" t="s">
        <v>757</v>
      </c>
      <c r="F410" s="11">
        <v>6468</v>
      </c>
      <c r="G410" s="11">
        <v>7637</v>
      </c>
      <c r="H410" s="11">
        <v>14105</v>
      </c>
      <c r="I410" s="11">
        <v>11403</v>
      </c>
    </row>
    <row r="411" spans="1:9" x14ac:dyDescent="0.2">
      <c r="A411" s="10">
        <v>6712</v>
      </c>
      <c r="B411" s="10">
        <v>22</v>
      </c>
      <c r="C411" s="10" t="s">
        <v>723</v>
      </c>
      <c r="D411" s="10">
        <v>2296</v>
      </c>
      <c r="E411" s="10" t="s">
        <v>758</v>
      </c>
      <c r="F411" s="11">
        <v>5342</v>
      </c>
      <c r="G411" s="11">
        <v>6103</v>
      </c>
      <c r="H411" s="11">
        <v>11445</v>
      </c>
      <c r="I411" s="11">
        <v>8015</v>
      </c>
    </row>
    <row r="412" spans="1:9" x14ac:dyDescent="0.2">
      <c r="A412" s="10">
        <v>6712</v>
      </c>
      <c r="B412" s="10">
        <v>22</v>
      </c>
      <c r="C412" s="10" t="s">
        <v>723</v>
      </c>
      <c r="D412" s="10">
        <v>2297</v>
      </c>
      <c r="E412" s="10" t="s">
        <v>759</v>
      </c>
      <c r="F412" s="11">
        <v>4701</v>
      </c>
      <c r="G412" s="11">
        <v>5359</v>
      </c>
      <c r="H412" s="11">
        <v>10060</v>
      </c>
      <c r="I412" s="11">
        <v>4339</v>
      </c>
    </row>
    <row r="413" spans="1:9" x14ac:dyDescent="0.2">
      <c r="A413" s="10">
        <v>6712</v>
      </c>
      <c r="B413" s="10">
        <v>22</v>
      </c>
      <c r="C413" s="10" t="s">
        <v>723</v>
      </c>
      <c r="D413" s="10">
        <v>2298</v>
      </c>
      <c r="E413" s="10" t="s">
        <v>760</v>
      </c>
      <c r="F413" s="11">
        <v>4611</v>
      </c>
      <c r="G413" s="11">
        <v>5299</v>
      </c>
      <c r="H413" s="11">
        <v>9910</v>
      </c>
      <c r="I413" s="11">
        <v>4826</v>
      </c>
    </row>
    <row r="414" spans="1:9" x14ac:dyDescent="0.2">
      <c r="A414" s="10">
        <v>6712</v>
      </c>
      <c r="B414" s="10">
        <v>22</v>
      </c>
      <c r="C414" s="10" t="s">
        <v>723</v>
      </c>
      <c r="D414" s="10">
        <v>2299</v>
      </c>
      <c r="E414" s="10" t="s">
        <v>761</v>
      </c>
      <c r="F414" s="11">
        <v>9939</v>
      </c>
      <c r="G414" s="11">
        <v>11005</v>
      </c>
      <c r="H414" s="11">
        <v>20944</v>
      </c>
      <c r="I414" s="11">
        <v>15066</v>
      </c>
    </row>
    <row r="415" spans="1:9" x14ac:dyDescent="0.2">
      <c r="A415" s="10">
        <v>6712</v>
      </c>
      <c r="B415" s="10">
        <v>23</v>
      </c>
      <c r="C415" s="10" t="s">
        <v>762</v>
      </c>
      <c r="D415" s="10">
        <v>2301</v>
      </c>
      <c r="E415" s="10" t="s">
        <v>763</v>
      </c>
      <c r="F415" s="11">
        <v>36036</v>
      </c>
      <c r="G415" s="11">
        <v>38610</v>
      </c>
      <c r="H415" s="11">
        <v>74646</v>
      </c>
      <c r="I415" s="11">
        <v>37597</v>
      </c>
    </row>
    <row r="416" spans="1:9" x14ac:dyDescent="0.2">
      <c r="A416" s="10">
        <v>6712</v>
      </c>
      <c r="B416" s="10">
        <v>23</v>
      </c>
      <c r="C416" s="10" t="s">
        <v>762</v>
      </c>
      <c r="D416" s="10">
        <v>2302</v>
      </c>
      <c r="E416" s="10" t="s">
        <v>764</v>
      </c>
      <c r="F416" s="11">
        <v>7294</v>
      </c>
      <c r="G416" s="11">
        <v>7120</v>
      </c>
      <c r="H416" s="11">
        <v>14414</v>
      </c>
      <c r="I416" s="11">
        <v>5664</v>
      </c>
    </row>
    <row r="417" spans="1:9" x14ac:dyDescent="0.2">
      <c r="A417" s="10">
        <v>6712</v>
      </c>
      <c r="B417" s="10">
        <v>23</v>
      </c>
      <c r="C417" s="10" t="s">
        <v>762</v>
      </c>
      <c r="D417" s="10">
        <v>2303</v>
      </c>
      <c r="E417" s="10" t="s">
        <v>765</v>
      </c>
      <c r="F417" s="11">
        <v>19764</v>
      </c>
      <c r="G417" s="11">
        <v>20058</v>
      </c>
      <c r="H417" s="11">
        <v>39822</v>
      </c>
      <c r="I417" s="11">
        <v>18700</v>
      </c>
    </row>
    <row r="418" spans="1:9" x14ac:dyDescent="0.2">
      <c r="A418" s="10">
        <v>6712</v>
      </c>
      <c r="B418" s="10">
        <v>23</v>
      </c>
      <c r="C418" s="10" t="s">
        <v>762</v>
      </c>
      <c r="D418" s="10">
        <v>2304</v>
      </c>
      <c r="E418" s="10" t="s">
        <v>766</v>
      </c>
      <c r="F418" s="11">
        <v>9508</v>
      </c>
      <c r="G418" s="11">
        <v>9034</v>
      </c>
      <c r="H418" s="11">
        <v>18542</v>
      </c>
      <c r="I418" s="11">
        <v>7901</v>
      </c>
    </row>
    <row r="419" spans="1:9" x14ac:dyDescent="0.2">
      <c r="A419" s="10">
        <v>6712</v>
      </c>
      <c r="B419" s="10">
        <v>23</v>
      </c>
      <c r="C419" s="10" t="s">
        <v>762</v>
      </c>
      <c r="D419" s="10">
        <v>2305</v>
      </c>
      <c r="E419" s="10" t="s">
        <v>767</v>
      </c>
      <c r="F419" s="11">
        <v>7335</v>
      </c>
      <c r="G419" s="11">
        <v>7031</v>
      </c>
      <c r="H419" s="11">
        <v>14366</v>
      </c>
      <c r="I419" s="11">
        <v>6172</v>
      </c>
    </row>
    <row r="420" spans="1:9" x14ac:dyDescent="0.2">
      <c r="A420" s="10">
        <v>6712</v>
      </c>
      <c r="B420" s="10">
        <v>23</v>
      </c>
      <c r="C420" s="10" t="s">
        <v>762</v>
      </c>
      <c r="D420" s="10">
        <v>2306</v>
      </c>
      <c r="E420" s="10" t="s">
        <v>768</v>
      </c>
      <c r="F420" s="11">
        <v>1547</v>
      </c>
      <c r="G420" s="11">
        <v>1415</v>
      </c>
      <c r="H420" s="11">
        <v>2962</v>
      </c>
      <c r="I420" s="11">
        <v>2214</v>
      </c>
    </row>
    <row r="421" spans="1:9" x14ac:dyDescent="0.2">
      <c r="A421" s="10">
        <v>6712</v>
      </c>
      <c r="B421" s="10">
        <v>23</v>
      </c>
      <c r="C421" s="10" t="s">
        <v>762</v>
      </c>
      <c r="D421" s="10">
        <v>2307</v>
      </c>
      <c r="E421" s="10" t="s">
        <v>769</v>
      </c>
      <c r="F421" s="11">
        <v>4344</v>
      </c>
      <c r="G421" s="11">
        <v>4384</v>
      </c>
      <c r="H421" s="11">
        <v>8728</v>
      </c>
      <c r="I421" s="11">
        <v>6392</v>
      </c>
    </row>
    <row r="422" spans="1:9" x14ac:dyDescent="0.2">
      <c r="A422" s="10">
        <v>6712</v>
      </c>
      <c r="B422" s="10">
        <v>23</v>
      </c>
      <c r="C422" s="10" t="s">
        <v>762</v>
      </c>
      <c r="D422" s="10">
        <v>2389</v>
      </c>
      <c r="E422" s="10" t="s">
        <v>770</v>
      </c>
      <c r="F422" s="11">
        <v>1252</v>
      </c>
      <c r="G422" s="11">
        <v>1350</v>
      </c>
      <c r="H422" s="11">
        <v>2602</v>
      </c>
      <c r="I422" s="11">
        <v>1416</v>
      </c>
    </row>
    <row r="423" spans="1:9" x14ac:dyDescent="0.2">
      <c r="A423" s="10">
        <v>6712</v>
      </c>
      <c r="B423" s="10">
        <v>23</v>
      </c>
      <c r="C423" s="10" t="s">
        <v>762</v>
      </c>
      <c r="D423" s="10">
        <v>2390</v>
      </c>
      <c r="E423" s="10" t="s">
        <v>771</v>
      </c>
      <c r="F423" s="11">
        <v>3655</v>
      </c>
      <c r="G423" s="11">
        <v>3568</v>
      </c>
      <c r="H423" s="11">
        <v>7223</v>
      </c>
      <c r="I423" s="11">
        <v>4009</v>
      </c>
    </row>
    <row r="424" spans="1:9" x14ac:dyDescent="0.2">
      <c r="A424" s="10">
        <v>6712</v>
      </c>
      <c r="B424" s="10">
        <v>23</v>
      </c>
      <c r="C424" s="10" t="s">
        <v>762</v>
      </c>
      <c r="D424" s="10">
        <v>2391</v>
      </c>
      <c r="E424" s="10" t="s">
        <v>772</v>
      </c>
      <c r="F424" s="10">
        <v>833</v>
      </c>
      <c r="G424" s="10">
        <v>850</v>
      </c>
      <c r="H424" s="11">
        <v>1683</v>
      </c>
      <c r="I424" s="10">
        <v>764</v>
      </c>
    </row>
    <row r="425" spans="1:9" x14ac:dyDescent="0.2">
      <c r="A425" s="10">
        <v>6712</v>
      </c>
      <c r="B425" s="10">
        <v>23</v>
      </c>
      <c r="C425" s="10" t="s">
        <v>762</v>
      </c>
      <c r="D425" s="10">
        <v>2392</v>
      </c>
      <c r="E425" s="10" t="s">
        <v>773</v>
      </c>
      <c r="F425" s="11">
        <v>1494</v>
      </c>
      <c r="G425" s="11">
        <v>1603</v>
      </c>
      <c r="H425" s="11">
        <v>3097</v>
      </c>
      <c r="I425" s="11">
        <v>1350</v>
      </c>
    </row>
    <row r="426" spans="1:9" x14ac:dyDescent="0.2">
      <c r="A426" s="10">
        <v>6712</v>
      </c>
      <c r="B426" s="10">
        <v>23</v>
      </c>
      <c r="C426" s="10" t="s">
        <v>762</v>
      </c>
      <c r="D426" s="10">
        <v>2393</v>
      </c>
      <c r="E426" s="10" t="s">
        <v>774</v>
      </c>
      <c r="F426" s="11">
        <v>4224</v>
      </c>
      <c r="G426" s="11">
        <v>4298</v>
      </c>
      <c r="H426" s="11">
        <v>8522</v>
      </c>
      <c r="I426" s="11">
        <v>5867</v>
      </c>
    </row>
    <row r="427" spans="1:9" x14ac:dyDescent="0.2">
      <c r="A427" s="10">
        <v>6712</v>
      </c>
      <c r="B427" s="10">
        <v>23</v>
      </c>
      <c r="C427" s="10" t="s">
        <v>762</v>
      </c>
      <c r="D427" s="10">
        <v>2394</v>
      </c>
      <c r="E427" s="10" t="s">
        <v>775</v>
      </c>
      <c r="F427" s="11">
        <v>1525</v>
      </c>
      <c r="G427" s="11">
        <v>1580</v>
      </c>
      <c r="H427" s="11">
        <v>3105</v>
      </c>
      <c r="I427" s="11">
        <v>2441</v>
      </c>
    </row>
    <row r="428" spans="1:9" x14ac:dyDescent="0.2">
      <c r="A428" s="10">
        <v>6712</v>
      </c>
      <c r="B428" s="10">
        <v>23</v>
      </c>
      <c r="C428" s="10" t="s">
        <v>762</v>
      </c>
      <c r="D428" s="10">
        <v>2395</v>
      </c>
      <c r="E428" s="10" t="s">
        <v>776</v>
      </c>
      <c r="F428" s="10">
        <v>769</v>
      </c>
      <c r="G428" s="10">
        <v>748</v>
      </c>
      <c r="H428" s="11">
        <v>1517</v>
      </c>
      <c r="I428" s="10">
        <v>617</v>
      </c>
    </row>
    <row r="429" spans="1:9" x14ac:dyDescent="0.2">
      <c r="A429" s="10">
        <v>6712</v>
      </c>
      <c r="B429" s="10">
        <v>23</v>
      </c>
      <c r="C429" s="10" t="s">
        <v>762</v>
      </c>
      <c r="D429" s="10">
        <v>2396</v>
      </c>
      <c r="E429" s="10" t="s">
        <v>777</v>
      </c>
      <c r="F429" s="11">
        <v>2681</v>
      </c>
      <c r="G429" s="11">
        <v>2552</v>
      </c>
      <c r="H429" s="11">
        <v>5233</v>
      </c>
      <c r="I429" s="11">
        <v>2032</v>
      </c>
    </row>
    <row r="430" spans="1:9" x14ac:dyDescent="0.2">
      <c r="A430" s="10">
        <v>6712</v>
      </c>
      <c r="B430" s="10">
        <v>23</v>
      </c>
      <c r="C430" s="10" t="s">
        <v>762</v>
      </c>
      <c r="D430" s="10">
        <v>2397</v>
      </c>
      <c r="E430" s="10" t="s">
        <v>735</v>
      </c>
      <c r="F430" s="11">
        <v>2525</v>
      </c>
      <c r="G430" s="11">
        <v>2567</v>
      </c>
      <c r="H430" s="11">
        <v>5092</v>
      </c>
      <c r="I430" s="11">
        <v>2457</v>
      </c>
    </row>
    <row r="431" spans="1:9" x14ac:dyDescent="0.2">
      <c r="A431" s="10">
        <v>6712</v>
      </c>
      <c r="B431" s="10">
        <v>23</v>
      </c>
      <c r="C431" s="10" t="s">
        <v>762</v>
      </c>
      <c r="D431" s="10">
        <v>2398</v>
      </c>
      <c r="E431" s="10" t="s">
        <v>778</v>
      </c>
      <c r="F431" s="11">
        <v>3122</v>
      </c>
      <c r="G431" s="11">
        <v>3430</v>
      </c>
      <c r="H431" s="11">
        <v>6552</v>
      </c>
      <c r="I431" s="11">
        <v>3220</v>
      </c>
    </row>
    <row r="432" spans="1:9" x14ac:dyDescent="0.2">
      <c r="A432" s="10">
        <v>6712</v>
      </c>
      <c r="B432" s="10">
        <v>23</v>
      </c>
      <c r="C432" s="10" t="s">
        <v>762</v>
      </c>
      <c r="D432" s="10">
        <v>2399</v>
      </c>
      <c r="E432" s="10" t="s">
        <v>779</v>
      </c>
      <c r="F432" s="11">
        <v>3985</v>
      </c>
      <c r="G432" s="11">
        <v>4426</v>
      </c>
      <c r="H432" s="11">
        <v>8411</v>
      </c>
      <c r="I432" s="11">
        <v>5580</v>
      </c>
    </row>
    <row r="433" spans="1:9" x14ac:dyDescent="0.2">
      <c r="A433" s="10">
        <v>6712</v>
      </c>
      <c r="B433" s="10">
        <v>24</v>
      </c>
      <c r="C433" s="10" t="s">
        <v>780</v>
      </c>
      <c r="D433" s="10">
        <v>2401</v>
      </c>
      <c r="E433" s="10" t="s">
        <v>781</v>
      </c>
      <c r="F433" s="11">
        <v>61490</v>
      </c>
      <c r="G433" s="11">
        <v>65257</v>
      </c>
      <c r="H433" s="11">
        <v>126747</v>
      </c>
      <c r="I433" s="11">
        <v>56559</v>
      </c>
    </row>
    <row r="434" spans="1:9" x14ac:dyDescent="0.2">
      <c r="A434" s="10">
        <v>6712</v>
      </c>
      <c r="B434" s="10">
        <v>24</v>
      </c>
      <c r="C434" s="10" t="s">
        <v>780</v>
      </c>
      <c r="D434" s="10">
        <v>2402</v>
      </c>
      <c r="E434" s="10" t="s">
        <v>782</v>
      </c>
      <c r="F434" s="11">
        <v>14658</v>
      </c>
      <c r="G434" s="11">
        <v>15685</v>
      </c>
      <c r="H434" s="11">
        <v>30343</v>
      </c>
      <c r="I434" s="11">
        <v>13395</v>
      </c>
    </row>
    <row r="435" spans="1:9" x14ac:dyDescent="0.2">
      <c r="A435" s="10">
        <v>6712</v>
      </c>
      <c r="B435" s="10">
        <v>24</v>
      </c>
      <c r="C435" s="10" t="s">
        <v>780</v>
      </c>
      <c r="D435" s="10">
        <v>2403</v>
      </c>
      <c r="E435" s="10" t="s">
        <v>783</v>
      </c>
      <c r="F435" s="11">
        <v>36580</v>
      </c>
      <c r="G435" s="11">
        <v>37215</v>
      </c>
      <c r="H435" s="11">
        <v>73795</v>
      </c>
      <c r="I435" s="11">
        <v>24009</v>
      </c>
    </row>
    <row r="436" spans="1:9" x14ac:dyDescent="0.2">
      <c r="A436" s="10">
        <v>6712</v>
      </c>
      <c r="B436" s="10">
        <v>24</v>
      </c>
      <c r="C436" s="10" t="s">
        <v>780</v>
      </c>
      <c r="D436" s="10">
        <v>2404</v>
      </c>
      <c r="E436" s="10" t="s">
        <v>784</v>
      </c>
      <c r="F436" s="11">
        <v>29250</v>
      </c>
      <c r="G436" s="11">
        <v>30344</v>
      </c>
      <c r="H436" s="11">
        <v>59594</v>
      </c>
      <c r="I436" s="11">
        <v>29826</v>
      </c>
    </row>
    <row r="437" spans="1:9" x14ac:dyDescent="0.2">
      <c r="A437" s="10">
        <v>6712</v>
      </c>
      <c r="B437" s="10">
        <v>24</v>
      </c>
      <c r="C437" s="10" t="s">
        <v>780</v>
      </c>
      <c r="D437" s="10">
        <v>2405</v>
      </c>
      <c r="E437" s="10" t="s">
        <v>785</v>
      </c>
      <c r="F437" s="11">
        <v>22616</v>
      </c>
      <c r="G437" s="11">
        <v>24533</v>
      </c>
      <c r="H437" s="11">
        <v>47149</v>
      </c>
      <c r="I437" s="11">
        <v>22943</v>
      </c>
    </row>
    <row r="438" spans="1:9" x14ac:dyDescent="0.2">
      <c r="A438" s="10">
        <v>6712</v>
      </c>
      <c r="B438" s="10">
        <v>24</v>
      </c>
      <c r="C438" s="10" t="s">
        <v>780</v>
      </c>
      <c r="D438" s="10">
        <v>2406</v>
      </c>
      <c r="E438" s="10" t="s">
        <v>786</v>
      </c>
      <c r="F438" s="11">
        <v>34991</v>
      </c>
      <c r="G438" s="11">
        <v>37071</v>
      </c>
      <c r="H438" s="11">
        <v>72062</v>
      </c>
      <c r="I438" s="11">
        <v>32344</v>
      </c>
    </row>
    <row r="439" spans="1:9" x14ac:dyDescent="0.2">
      <c r="A439" s="10">
        <v>6712</v>
      </c>
      <c r="B439" s="10">
        <v>24</v>
      </c>
      <c r="C439" s="10" t="s">
        <v>780</v>
      </c>
      <c r="D439" s="10">
        <v>2407</v>
      </c>
      <c r="E439" s="10" t="s">
        <v>787</v>
      </c>
      <c r="F439" s="11">
        <v>6130</v>
      </c>
      <c r="G439" s="11">
        <v>6380</v>
      </c>
      <c r="H439" s="11">
        <v>12510</v>
      </c>
      <c r="I439" s="11">
        <v>5117</v>
      </c>
    </row>
    <row r="440" spans="1:9" x14ac:dyDescent="0.2">
      <c r="A440" s="10">
        <v>6712</v>
      </c>
      <c r="B440" s="10">
        <v>24</v>
      </c>
      <c r="C440" s="10" t="s">
        <v>780</v>
      </c>
      <c r="D440" s="10">
        <v>2408</v>
      </c>
      <c r="E440" s="10" t="s">
        <v>788</v>
      </c>
      <c r="F440" s="11">
        <v>35587</v>
      </c>
      <c r="G440" s="11">
        <v>35574</v>
      </c>
      <c r="H440" s="11">
        <v>71161</v>
      </c>
      <c r="I440" s="11">
        <v>24441</v>
      </c>
    </row>
    <row r="441" spans="1:9" x14ac:dyDescent="0.2">
      <c r="A441" s="10">
        <v>6712</v>
      </c>
      <c r="B441" s="10">
        <v>24</v>
      </c>
      <c r="C441" s="10" t="s">
        <v>780</v>
      </c>
      <c r="D441" s="10">
        <v>2409</v>
      </c>
      <c r="E441" s="10" t="s">
        <v>789</v>
      </c>
      <c r="F441" s="11">
        <v>12020</v>
      </c>
      <c r="G441" s="11">
        <v>11789</v>
      </c>
      <c r="H441" s="11">
        <v>23809</v>
      </c>
      <c r="I441" s="11">
        <v>14024</v>
      </c>
    </row>
    <row r="442" spans="1:9" x14ac:dyDescent="0.2">
      <c r="A442" s="10">
        <v>6712</v>
      </c>
      <c r="B442" s="10">
        <v>24</v>
      </c>
      <c r="C442" s="10" t="s">
        <v>780</v>
      </c>
      <c r="D442" s="10">
        <v>2410</v>
      </c>
      <c r="E442" s="10" t="s">
        <v>790</v>
      </c>
      <c r="F442" s="11">
        <v>23547</v>
      </c>
      <c r="G442" s="11">
        <v>23212</v>
      </c>
      <c r="H442" s="11">
        <v>46759</v>
      </c>
      <c r="I442" s="11">
        <v>18165</v>
      </c>
    </row>
    <row r="443" spans="1:9" x14ac:dyDescent="0.2">
      <c r="A443" s="10">
        <v>6712</v>
      </c>
      <c r="B443" s="10">
        <v>24</v>
      </c>
      <c r="C443" s="10" t="s">
        <v>780</v>
      </c>
      <c r="D443" s="10">
        <v>2411</v>
      </c>
      <c r="E443" s="10" t="s">
        <v>791</v>
      </c>
      <c r="F443" s="11">
        <v>6064</v>
      </c>
      <c r="G443" s="11">
        <v>6328</v>
      </c>
      <c r="H443" s="11">
        <v>12392</v>
      </c>
      <c r="I443" s="11">
        <v>4788</v>
      </c>
    </row>
    <row r="444" spans="1:9" x14ac:dyDescent="0.2">
      <c r="A444" s="10">
        <v>6712</v>
      </c>
      <c r="B444" s="10">
        <v>24</v>
      </c>
      <c r="C444" s="10" t="s">
        <v>780</v>
      </c>
      <c r="D444" s="10">
        <v>2474</v>
      </c>
      <c r="E444" s="10" t="s">
        <v>792</v>
      </c>
      <c r="F444" s="11">
        <v>5515</v>
      </c>
      <c r="G444" s="11">
        <v>6006</v>
      </c>
      <c r="H444" s="11">
        <v>11521</v>
      </c>
      <c r="I444" s="11">
        <v>9761</v>
      </c>
    </row>
    <row r="445" spans="1:9" x14ac:dyDescent="0.2">
      <c r="A445" s="10">
        <v>6712</v>
      </c>
      <c r="B445" s="10">
        <v>24</v>
      </c>
      <c r="C445" s="10" t="s">
        <v>780</v>
      </c>
      <c r="D445" s="10">
        <v>2475</v>
      </c>
      <c r="E445" s="10" t="s">
        <v>793</v>
      </c>
      <c r="F445" s="11">
        <v>1823</v>
      </c>
      <c r="G445" s="11">
        <v>1957</v>
      </c>
      <c r="H445" s="11">
        <v>3780</v>
      </c>
      <c r="I445" s="11">
        <v>4397</v>
      </c>
    </row>
    <row r="446" spans="1:9" x14ac:dyDescent="0.2">
      <c r="A446" s="10">
        <v>6712</v>
      </c>
      <c r="B446" s="10">
        <v>24</v>
      </c>
      <c r="C446" s="10" t="s">
        <v>780</v>
      </c>
      <c r="D446" s="10">
        <v>2476</v>
      </c>
      <c r="E446" s="10" t="s">
        <v>794</v>
      </c>
      <c r="F446" s="11">
        <v>4902</v>
      </c>
      <c r="G446" s="11">
        <v>4984</v>
      </c>
      <c r="H446" s="11">
        <v>9886</v>
      </c>
      <c r="I446" s="11">
        <v>3837</v>
      </c>
    </row>
    <row r="447" spans="1:9" x14ac:dyDescent="0.2">
      <c r="A447" s="10">
        <v>6712</v>
      </c>
      <c r="B447" s="10">
        <v>24</v>
      </c>
      <c r="C447" s="10" t="s">
        <v>780</v>
      </c>
      <c r="D447" s="10">
        <v>2477</v>
      </c>
      <c r="E447" s="10" t="s">
        <v>795</v>
      </c>
      <c r="F447" s="11">
        <v>4368</v>
      </c>
      <c r="G447" s="11">
        <v>4252</v>
      </c>
      <c r="H447" s="11">
        <v>8620</v>
      </c>
      <c r="I447" s="11">
        <v>2524</v>
      </c>
    </row>
    <row r="448" spans="1:9" x14ac:dyDescent="0.2">
      <c r="A448" s="10">
        <v>6712</v>
      </c>
      <c r="B448" s="10">
        <v>24</v>
      </c>
      <c r="C448" s="10" t="s">
        <v>780</v>
      </c>
      <c r="D448" s="10">
        <v>2478</v>
      </c>
      <c r="E448" s="10" t="s">
        <v>796</v>
      </c>
      <c r="F448" s="11">
        <v>3377</v>
      </c>
      <c r="G448" s="11">
        <v>3538</v>
      </c>
      <c r="H448" s="11">
        <v>6915</v>
      </c>
      <c r="I448" s="11">
        <v>4250</v>
      </c>
    </row>
    <row r="449" spans="1:9" x14ac:dyDescent="0.2">
      <c r="A449" s="10">
        <v>6712</v>
      </c>
      <c r="B449" s="10">
        <v>24</v>
      </c>
      <c r="C449" s="10" t="s">
        <v>780</v>
      </c>
      <c r="D449" s="10">
        <v>2479</v>
      </c>
      <c r="E449" s="10" t="s">
        <v>797</v>
      </c>
      <c r="F449" s="11">
        <v>3062</v>
      </c>
      <c r="G449" s="11">
        <v>3198</v>
      </c>
      <c r="H449" s="11">
        <v>6260</v>
      </c>
      <c r="I449" s="11">
        <v>3832</v>
      </c>
    </row>
    <row r="450" spans="1:9" x14ac:dyDescent="0.2">
      <c r="A450" s="10">
        <v>6712</v>
      </c>
      <c r="B450" s="10">
        <v>24</v>
      </c>
      <c r="C450" s="10" t="s">
        <v>780</v>
      </c>
      <c r="D450" s="10">
        <v>2480</v>
      </c>
      <c r="E450" s="10" t="s">
        <v>798</v>
      </c>
      <c r="F450" s="11">
        <v>3064</v>
      </c>
      <c r="G450" s="11">
        <v>2718</v>
      </c>
      <c r="H450" s="11">
        <v>5782</v>
      </c>
      <c r="I450" s="11">
        <v>4773</v>
      </c>
    </row>
    <row r="451" spans="1:9" x14ac:dyDescent="0.2">
      <c r="A451" s="10">
        <v>6712</v>
      </c>
      <c r="B451" s="10">
        <v>24</v>
      </c>
      <c r="C451" s="10" t="s">
        <v>780</v>
      </c>
      <c r="D451" s="10">
        <v>2481</v>
      </c>
      <c r="E451" s="10" t="s">
        <v>799</v>
      </c>
      <c r="F451" s="11">
        <v>1998</v>
      </c>
      <c r="G451" s="11">
        <v>2233</v>
      </c>
      <c r="H451" s="11">
        <v>4231</v>
      </c>
      <c r="I451" s="11">
        <v>3064</v>
      </c>
    </row>
    <row r="452" spans="1:9" x14ac:dyDescent="0.2">
      <c r="A452" s="10">
        <v>6712</v>
      </c>
      <c r="B452" s="10">
        <v>24</v>
      </c>
      <c r="C452" s="10" t="s">
        <v>780</v>
      </c>
      <c r="D452" s="10">
        <v>2482</v>
      </c>
      <c r="E452" s="10" t="s">
        <v>800</v>
      </c>
      <c r="F452" s="11">
        <v>2806</v>
      </c>
      <c r="G452" s="11">
        <v>3295</v>
      </c>
      <c r="H452" s="11">
        <v>6101</v>
      </c>
      <c r="I452" s="11">
        <v>4310</v>
      </c>
    </row>
    <row r="453" spans="1:9" x14ac:dyDescent="0.2">
      <c r="A453" s="10">
        <v>6712</v>
      </c>
      <c r="B453" s="10">
        <v>24</v>
      </c>
      <c r="C453" s="10" t="s">
        <v>780</v>
      </c>
      <c r="D453" s="10">
        <v>2483</v>
      </c>
      <c r="E453" s="10" t="s">
        <v>801</v>
      </c>
      <c r="F453" s="11">
        <v>1683</v>
      </c>
      <c r="G453" s="11">
        <v>1764</v>
      </c>
      <c r="H453" s="11">
        <v>3447</v>
      </c>
      <c r="I453" s="11">
        <v>2743</v>
      </c>
    </row>
    <row r="454" spans="1:9" x14ac:dyDescent="0.2">
      <c r="A454" s="10">
        <v>6712</v>
      </c>
      <c r="B454" s="10">
        <v>24</v>
      </c>
      <c r="C454" s="10" t="s">
        <v>780</v>
      </c>
      <c r="D454" s="10">
        <v>2484</v>
      </c>
      <c r="E454" s="10" t="s">
        <v>802</v>
      </c>
      <c r="F454" s="10">
        <v>967</v>
      </c>
      <c r="G454" s="11">
        <v>1101</v>
      </c>
      <c r="H454" s="11">
        <v>2068</v>
      </c>
      <c r="I454" s="11">
        <v>1129</v>
      </c>
    </row>
    <row r="455" spans="1:9" x14ac:dyDescent="0.2">
      <c r="A455" s="10">
        <v>6712</v>
      </c>
      <c r="B455" s="10">
        <v>24</v>
      </c>
      <c r="C455" s="10" t="s">
        <v>780</v>
      </c>
      <c r="D455" s="10">
        <v>2485</v>
      </c>
      <c r="E455" s="10" t="s">
        <v>803</v>
      </c>
      <c r="F455" s="11">
        <v>1402</v>
      </c>
      <c r="G455" s="11">
        <v>1479</v>
      </c>
      <c r="H455" s="11">
        <v>2881</v>
      </c>
      <c r="I455" s="11">
        <v>1458</v>
      </c>
    </row>
    <row r="456" spans="1:9" x14ac:dyDescent="0.2">
      <c r="A456" s="10">
        <v>6712</v>
      </c>
      <c r="B456" s="10">
        <v>24</v>
      </c>
      <c r="C456" s="10" t="s">
        <v>780</v>
      </c>
      <c r="D456" s="10">
        <v>2486</v>
      </c>
      <c r="E456" s="10" t="s">
        <v>804</v>
      </c>
      <c r="F456" s="11">
        <v>1988</v>
      </c>
      <c r="G456" s="11">
        <v>2117</v>
      </c>
      <c r="H456" s="11">
        <v>4105</v>
      </c>
      <c r="I456" s="11">
        <v>1313</v>
      </c>
    </row>
    <row r="457" spans="1:9" x14ac:dyDescent="0.2">
      <c r="A457" s="10">
        <v>6712</v>
      </c>
      <c r="B457" s="10">
        <v>24</v>
      </c>
      <c r="C457" s="10" t="s">
        <v>780</v>
      </c>
      <c r="D457" s="10">
        <v>2487</v>
      </c>
      <c r="E457" s="10" t="s">
        <v>805</v>
      </c>
      <c r="F457" s="11">
        <v>1198</v>
      </c>
      <c r="G457" s="11">
        <v>1347</v>
      </c>
      <c r="H457" s="11">
        <v>2545</v>
      </c>
      <c r="I457" s="11">
        <v>2031</v>
      </c>
    </row>
    <row r="458" spans="1:9" x14ac:dyDescent="0.2">
      <c r="A458" s="10">
        <v>6712</v>
      </c>
      <c r="B458" s="10">
        <v>24</v>
      </c>
      <c r="C458" s="10" t="s">
        <v>780</v>
      </c>
      <c r="D458" s="10">
        <v>2488</v>
      </c>
      <c r="E458" s="10" t="s">
        <v>806</v>
      </c>
      <c r="F458" s="11">
        <v>2822</v>
      </c>
      <c r="G458" s="11">
        <v>3071</v>
      </c>
      <c r="H458" s="11">
        <v>5893</v>
      </c>
      <c r="I458" s="11">
        <v>2959</v>
      </c>
    </row>
    <row r="459" spans="1:9" x14ac:dyDescent="0.2">
      <c r="A459" s="10">
        <v>6712</v>
      </c>
      <c r="B459" s="10">
        <v>24</v>
      </c>
      <c r="C459" s="10" t="s">
        <v>780</v>
      </c>
      <c r="D459" s="10">
        <v>2489</v>
      </c>
      <c r="E459" s="10" t="s">
        <v>807</v>
      </c>
      <c r="F459" s="10">
        <v>622</v>
      </c>
      <c r="G459" s="10">
        <v>639</v>
      </c>
      <c r="H459" s="11">
        <v>1261</v>
      </c>
      <c r="I459" s="10">
        <v>327</v>
      </c>
    </row>
    <row r="460" spans="1:9" x14ac:dyDescent="0.2">
      <c r="A460" s="10">
        <v>6712</v>
      </c>
      <c r="B460" s="10">
        <v>24</v>
      </c>
      <c r="C460" s="10" t="s">
        <v>780</v>
      </c>
      <c r="D460" s="10">
        <v>2490</v>
      </c>
      <c r="E460" s="10" t="s">
        <v>808</v>
      </c>
      <c r="F460" s="11">
        <v>1868</v>
      </c>
      <c r="G460" s="11">
        <v>1988</v>
      </c>
      <c r="H460" s="11">
        <v>3856</v>
      </c>
      <c r="I460" s="11">
        <v>2837</v>
      </c>
    </row>
    <row r="461" spans="1:9" x14ac:dyDescent="0.2">
      <c r="A461" s="10">
        <v>6712</v>
      </c>
      <c r="B461" s="10">
        <v>24</v>
      </c>
      <c r="C461" s="10" t="s">
        <v>780</v>
      </c>
      <c r="D461" s="10">
        <v>2491</v>
      </c>
      <c r="E461" s="10" t="s">
        <v>809</v>
      </c>
      <c r="F461" s="11">
        <v>3555</v>
      </c>
      <c r="G461" s="11">
        <v>3815</v>
      </c>
      <c r="H461" s="11">
        <v>7370</v>
      </c>
      <c r="I461" s="11">
        <v>9606</v>
      </c>
    </row>
    <row r="462" spans="1:9" x14ac:dyDescent="0.2">
      <c r="A462" s="10">
        <v>6712</v>
      </c>
      <c r="B462" s="10">
        <v>24</v>
      </c>
      <c r="C462" s="10" t="s">
        <v>780</v>
      </c>
      <c r="D462" s="10">
        <v>2492</v>
      </c>
      <c r="E462" s="10" t="s">
        <v>810</v>
      </c>
      <c r="F462" s="10">
        <v>713</v>
      </c>
      <c r="G462" s="10">
        <v>761</v>
      </c>
      <c r="H462" s="11">
        <v>1474</v>
      </c>
      <c r="I462" s="10">
        <v>566</v>
      </c>
    </row>
    <row r="463" spans="1:9" x14ac:dyDescent="0.2">
      <c r="A463" s="10">
        <v>6712</v>
      </c>
      <c r="B463" s="10">
        <v>24</v>
      </c>
      <c r="C463" s="10" t="s">
        <v>780</v>
      </c>
      <c r="D463" s="10">
        <v>2493</v>
      </c>
      <c r="E463" s="10" t="s">
        <v>811</v>
      </c>
      <c r="F463" s="11">
        <v>1097</v>
      </c>
      <c r="G463" s="11">
        <v>1161</v>
      </c>
      <c r="H463" s="11">
        <v>2258</v>
      </c>
      <c r="I463" s="11">
        <v>1238</v>
      </c>
    </row>
    <row r="464" spans="1:9" x14ac:dyDescent="0.2">
      <c r="A464" s="10">
        <v>6712</v>
      </c>
      <c r="B464" s="10">
        <v>24</v>
      </c>
      <c r="C464" s="10" t="s">
        <v>780</v>
      </c>
      <c r="D464" s="10">
        <v>2494</v>
      </c>
      <c r="E464" s="10" t="s">
        <v>812</v>
      </c>
      <c r="F464" s="11">
        <v>1067</v>
      </c>
      <c r="G464" s="11">
        <v>1027</v>
      </c>
      <c r="H464" s="11">
        <v>2094</v>
      </c>
      <c r="I464" s="10">
        <v>818</v>
      </c>
    </row>
    <row r="465" spans="1:9" x14ac:dyDescent="0.2">
      <c r="A465" s="10">
        <v>6712</v>
      </c>
      <c r="B465" s="10">
        <v>24</v>
      </c>
      <c r="C465" s="10" t="s">
        <v>780</v>
      </c>
      <c r="D465" s="10">
        <v>2495</v>
      </c>
      <c r="E465" s="10" t="s">
        <v>813</v>
      </c>
      <c r="F465" s="10">
        <v>756</v>
      </c>
      <c r="G465" s="10">
        <v>764</v>
      </c>
      <c r="H465" s="11">
        <v>1520</v>
      </c>
      <c r="I465" s="10">
        <v>742</v>
      </c>
    </row>
    <row r="466" spans="1:9" x14ac:dyDescent="0.2">
      <c r="A466" s="10">
        <v>6712</v>
      </c>
      <c r="B466" s="10">
        <v>24</v>
      </c>
      <c r="C466" s="10" t="s">
        <v>780</v>
      </c>
      <c r="D466" s="10">
        <v>2496</v>
      </c>
      <c r="E466" s="10" t="s">
        <v>814</v>
      </c>
      <c r="F466" s="11">
        <v>2564</v>
      </c>
      <c r="G466" s="11">
        <v>2800</v>
      </c>
      <c r="H466" s="11">
        <v>5364</v>
      </c>
      <c r="I466" s="11">
        <v>2789</v>
      </c>
    </row>
    <row r="467" spans="1:9" x14ac:dyDescent="0.2">
      <c r="A467" s="10">
        <v>6712</v>
      </c>
      <c r="B467" s="10">
        <v>24</v>
      </c>
      <c r="C467" s="10" t="s">
        <v>780</v>
      </c>
      <c r="D467" s="10">
        <v>2497</v>
      </c>
      <c r="E467" s="10" t="s">
        <v>815</v>
      </c>
      <c r="F467" s="10">
        <v>621</v>
      </c>
      <c r="G467" s="10">
        <v>726</v>
      </c>
      <c r="H467" s="11">
        <v>1347</v>
      </c>
      <c r="I467" s="10">
        <v>505</v>
      </c>
    </row>
    <row r="468" spans="1:9" x14ac:dyDescent="0.2">
      <c r="A468" s="10">
        <v>6712</v>
      </c>
      <c r="B468" s="10">
        <v>24</v>
      </c>
      <c r="C468" s="10" t="s">
        <v>780</v>
      </c>
      <c r="D468" s="10">
        <v>2498</v>
      </c>
      <c r="E468" s="10" t="s">
        <v>816</v>
      </c>
      <c r="F468" s="11">
        <v>4579</v>
      </c>
      <c r="G468" s="11">
        <v>5334</v>
      </c>
      <c r="H468" s="11">
        <v>9913</v>
      </c>
      <c r="I468" s="11">
        <v>5047</v>
      </c>
    </row>
    <row r="469" spans="1:9" x14ac:dyDescent="0.2">
      <c r="A469" s="10">
        <v>6712</v>
      </c>
      <c r="B469" s="10">
        <v>24</v>
      </c>
      <c r="C469" s="10" t="s">
        <v>780</v>
      </c>
      <c r="D469" s="10">
        <v>2499</v>
      </c>
      <c r="E469" s="10" t="s">
        <v>817</v>
      </c>
      <c r="F469" s="11">
        <v>17206</v>
      </c>
      <c r="G469" s="11">
        <v>19112</v>
      </c>
      <c r="H469" s="11">
        <v>36318</v>
      </c>
      <c r="I469" s="11">
        <v>22914</v>
      </c>
    </row>
    <row r="470" spans="1:9" x14ac:dyDescent="0.2">
      <c r="A470" s="10">
        <v>6712</v>
      </c>
      <c r="B470" s="10">
        <v>25</v>
      </c>
      <c r="C470" s="10" t="s">
        <v>818</v>
      </c>
      <c r="D470" s="10">
        <v>2501</v>
      </c>
      <c r="E470" s="10" t="s">
        <v>819</v>
      </c>
      <c r="F470" s="11">
        <v>45275</v>
      </c>
      <c r="G470" s="11">
        <v>42736</v>
      </c>
      <c r="H470" s="11">
        <v>88011</v>
      </c>
      <c r="I470" s="11">
        <v>37954</v>
      </c>
    </row>
    <row r="471" spans="1:9" x14ac:dyDescent="0.2">
      <c r="A471" s="10">
        <v>6712</v>
      </c>
      <c r="B471" s="10">
        <v>25</v>
      </c>
      <c r="C471" s="10" t="s">
        <v>818</v>
      </c>
      <c r="D471" s="10">
        <v>2502</v>
      </c>
      <c r="E471" s="10" t="s">
        <v>820</v>
      </c>
      <c r="F471" s="11">
        <v>67379</v>
      </c>
      <c r="G471" s="11">
        <v>69718</v>
      </c>
      <c r="H471" s="11">
        <v>137097</v>
      </c>
      <c r="I471" s="11">
        <v>57049</v>
      </c>
    </row>
    <row r="472" spans="1:9" x14ac:dyDescent="0.2">
      <c r="A472" s="10">
        <v>6712</v>
      </c>
      <c r="B472" s="10">
        <v>25</v>
      </c>
      <c r="C472" s="10" t="s">
        <v>818</v>
      </c>
      <c r="D472" s="10">
        <v>2503</v>
      </c>
      <c r="E472" s="10" t="s">
        <v>821</v>
      </c>
      <c r="F472" s="11">
        <v>21992</v>
      </c>
      <c r="G472" s="11">
        <v>22299</v>
      </c>
      <c r="H472" s="11">
        <v>44291</v>
      </c>
      <c r="I472" s="11">
        <v>19209</v>
      </c>
    </row>
    <row r="473" spans="1:9" x14ac:dyDescent="0.2">
      <c r="A473" s="10">
        <v>6712</v>
      </c>
      <c r="B473" s="10">
        <v>25</v>
      </c>
      <c r="C473" s="10" t="s">
        <v>818</v>
      </c>
      <c r="D473" s="10">
        <v>2506</v>
      </c>
      <c r="E473" s="10" t="s">
        <v>822</v>
      </c>
      <c r="F473" s="11">
        <v>13291</v>
      </c>
      <c r="G473" s="11">
        <v>13871</v>
      </c>
      <c r="H473" s="11">
        <v>27162</v>
      </c>
      <c r="I473" s="11">
        <v>9865</v>
      </c>
    </row>
    <row r="474" spans="1:9" x14ac:dyDescent="0.2">
      <c r="A474" s="10">
        <v>6712</v>
      </c>
      <c r="B474" s="10">
        <v>25</v>
      </c>
      <c r="C474" s="10" t="s">
        <v>818</v>
      </c>
      <c r="D474" s="10">
        <v>2507</v>
      </c>
      <c r="E474" s="10" t="s">
        <v>823</v>
      </c>
      <c r="F474" s="11">
        <v>24206</v>
      </c>
      <c r="G474" s="11">
        <v>25474</v>
      </c>
      <c r="H474" s="11">
        <v>49680</v>
      </c>
      <c r="I474" s="11">
        <v>18499</v>
      </c>
    </row>
    <row r="475" spans="1:9" x14ac:dyDescent="0.2">
      <c r="A475" s="10">
        <v>6712</v>
      </c>
      <c r="B475" s="10">
        <v>25</v>
      </c>
      <c r="C475" s="10" t="s">
        <v>818</v>
      </c>
      <c r="D475" s="10">
        <v>2508</v>
      </c>
      <c r="E475" s="10" t="s">
        <v>824</v>
      </c>
      <c r="F475" s="11">
        <v>39177</v>
      </c>
      <c r="G475" s="11">
        <v>41327</v>
      </c>
      <c r="H475" s="11">
        <v>80504</v>
      </c>
      <c r="I475" s="11">
        <v>60592</v>
      </c>
    </row>
    <row r="476" spans="1:9" x14ac:dyDescent="0.2">
      <c r="A476" s="10">
        <v>6712</v>
      </c>
      <c r="B476" s="10">
        <v>25</v>
      </c>
      <c r="C476" s="10" t="s">
        <v>818</v>
      </c>
      <c r="D476" s="10">
        <v>2509</v>
      </c>
      <c r="E476" s="10" t="s">
        <v>825</v>
      </c>
      <c r="F476" s="11">
        <v>6643</v>
      </c>
      <c r="G476" s="11">
        <v>6869</v>
      </c>
      <c r="H476" s="11">
        <v>13512</v>
      </c>
      <c r="I476" s="11">
        <v>7003</v>
      </c>
    </row>
    <row r="477" spans="1:9" x14ac:dyDescent="0.2">
      <c r="A477" s="10">
        <v>6712</v>
      </c>
      <c r="B477" s="10">
        <v>25</v>
      </c>
      <c r="C477" s="10" t="s">
        <v>818</v>
      </c>
      <c r="D477" s="10">
        <v>2587</v>
      </c>
      <c r="E477" s="10" t="s">
        <v>826</v>
      </c>
      <c r="F477" s="11">
        <v>1057</v>
      </c>
      <c r="G477" s="11">
        <v>1174</v>
      </c>
      <c r="H477" s="11">
        <v>2231</v>
      </c>
      <c r="I477" s="10">
        <v>880</v>
      </c>
    </row>
    <row r="478" spans="1:9" x14ac:dyDescent="0.2">
      <c r="A478" s="10">
        <v>6712</v>
      </c>
      <c r="B478" s="10">
        <v>25</v>
      </c>
      <c r="C478" s="10" t="s">
        <v>818</v>
      </c>
      <c r="D478" s="10">
        <v>2588</v>
      </c>
      <c r="E478" s="10" t="s">
        <v>827</v>
      </c>
      <c r="F478" s="11">
        <v>2698</v>
      </c>
      <c r="G478" s="11">
        <v>2937</v>
      </c>
      <c r="H478" s="11">
        <v>5635</v>
      </c>
      <c r="I478" s="11">
        <v>2414</v>
      </c>
    </row>
    <row r="479" spans="1:9" x14ac:dyDescent="0.2">
      <c r="A479" s="10">
        <v>6712</v>
      </c>
      <c r="B479" s="10">
        <v>25</v>
      </c>
      <c r="C479" s="10" t="s">
        <v>818</v>
      </c>
      <c r="D479" s="10">
        <v>2589</v>
      </c>
      <c r="E479" s="10" t="s">
        <v>828</v>
      </c>
      <c r="F479" s="11">
        <v>1724</v>
      </c>
      <c r="G479" s="11">
        <v>1845</v>
      </c>
      <c r="H479" s="11">
        <v>3569</v>
      </c>
      <c r="I479" s="11">
        <v>2595</v>
      </c>
    </row>
    <row r="480" spans="1:9" x14ac:dyDescent="0.2">
      <c r="A480" s="10">
        <v>6712</v>
      </c>
      <c r="B480" s="10">
        <v>25</v>
      </c>
      <c r="C480" s="10" t="s">
        <v>818</v>
      </c>
      <c r="D480" s="10">
        <v>2590</v>
      </c>
      <c r="E480" s="10" t="s">
        <v>829</v>
      </c>
      <c r="F480" s="11">
        <v>1764</v>
      </c>
      <c r="G480" s="11">
        <v>1828</v>
      </c>
      <c r="H480" s="11">
        <v>3592</v>
      </c>
      <c r="I480" s="11">
        <v>1344</v>
      </c>
    </row>
    <row r="481" spans="1:9" x14ac:dyDescent="0.2">
      <c r="A481" s="10">
        <v>6712</v>
      </c>
      <c r="B481" s="10">
        <v>25</v>
      </c>
      <c r="C481" s="10" t="s">
        <v>818</v>
      </c>
      <c r="D481" s="10">
        <v>2591</v>
      </c>
      <c r="E481" s="10" t="s">
        <v>830</v>
      </c>
      <c r="F481" s="11">
        <v>2029</v>
      </c>
      <c r="G481" s="11">
        <v>2243</v>
      </c>
      <c r="H481" s="11">
        <v>4272</v>
      </c>
      <c r="I481" s="11">
        <v>2433</v>
      </c>
    </row>
    <row r="482" spans="1:9" x14ac:dyDescent="0.2">
      <c r="A482" s="10">
        <v>6712</v>
      </c>
      <c r="B482" s="10">
        <v>25</v>
      </c>
      <c r="C482" s="10" t="s">
        <v>818</v>
      </c>
      <c r="D482" s="10">
        <v>2592</v>
      </c>
      <c r="E482" s="10" t="s">
        <v>499</v>
      </c>
      <c r="F482" s="11">
        <v>1581</v>
      </c>
      <c r="G482" s="11">
        <v>1651</v>
      </c>
      <c r="H482" s="11">
        <v>3232</v>
      </c>
      <c r="I482" s="11">
        <v>1729</v>
      </c>
    </row>
    <row r="483" spans="1:9" x14ac:dyDescent="0.2">
      <c r="A483" s="10">
        <v>6712</v>
      </c>
      <c r="B483" s="10">
        <v>25</v>
      </c>
      <c r="C483" s="10" t="s">
        <v>818</v>
      </c>
      <c r="D483" s="10">
        <v>2593</v>
      </c>
      <c r="E483" s="10" t="s">
        <v>831</v>
      </c>
      <c r="F483" s="11">
        <v>3879</v>
      </c>
      <c r="G483" s="11">
        <v>4037</v>
      </c>
      <c r="H483" s="11">
        <v>7916</v>
      </c>
      <c r="I483" s="11">
        <v>3491</v>
      </c>
    </row>
    <row r="484" spans="1:9" x14ac:dyDescent="0.2">
      <c r="A484" s="10">
        <v>6712</v>
      </c>
      <c r="B484" s="10">
        <v>25</v>
      </c>
      <c r="C484" s="10" t="s">
        <v>818</v>
      </c>
      <c r="D484" s="10">
        <v>2594</v>
      </c>
      <c r="E484" s="10" t="s">
        <v>832</v>
      </c>
      <c r="F484" s="10">
        <v>865</v>
      </c>
      <c r="G484" s="10">
        <v>908</v>
      </c>
      <c r="H484" s="11">
        <v>1773</v>
      </c>
      <c r="I484" s="10">
        <v>664</v>
      </c>
    </row>
    <row r="485" spans="1:9" x14ac:dyDescent="0.2">
      <c r="A485" s="10">
        <v>6712</v>
      </c>
      <c r="B485" s="10">
        <v>25</v>
      </c>
      <c r="C485" s="10" t="s">
        <v>818</v>
      </c>
      <c r="D485" s="10">
        <v>2595</v>
      </c>
      <c r="E485" s="10" t="s">
        <v>833</v>
      </c>
      <c r="F485" s="11">
        <v>3241</v>
      </c>
      <c r="G485" s="11">
        <v>3376</v>
      </c>
      <c r="H485" s="11">
        <v>6617</v>
      </c>
      <c r="I485" s="11">
        <v>4650</v>
      </c>
    </row>
    <row r="486" spans="1:9" x14ac:dyDescent="0.2">
      <c r="A486" s="10">
        <v>6712</v>
      </c>
      <c r="B486" s="10">
        <v>25</v>
      </c>
      <c r="C486" s="10" t="s">
        <v>818</v>
      </c>
      <c r="D486" s="10">
        <v>2596</v>
      </c>
      <c r="E486" s="10" t="s">
        <v>834</v>
      </c>
      <c r="F486" s="11">
        <v>1102</v>
      </c>
      <c r="G486" s="11">
        <v>1130</v>
      </c>
      <c r="H486" s="11">
        <v>2232</v>
      </c>
      <c r="I486" s="10">
        <v>837</v>
      </c>
    </row>
    <row r="487" spans="1:9" x14ac:dyDescent="0.2">
      <c r="A487" s="10">
        <v>6712</v>
      </c>
      <c r="B487" s="10">
        <v>25</v>
      </c>
      <c r="C487" s="10" t="s">
        <v>818</v>
      </c>
      <c r="D487" s="10">
        <v>2598</v>
      </c>
      <c r="E487" s="10" t="s">
        <v>835</v>
      </c>
      <c r="F487" s="11">
        <v>1643</v>
      </c>
      <c r="G487" s="11">
        <v>1868</v>
      </c>
      <c r="H487" s="11">
        <v>3511</v>
      </c>
      <c r="I487" s="11">
        <v>2216</v>
      </c>
    </row>
    <row r="488" spans="1:9" x14ac:dyDescent="0.2">
      <c r="A488" s="10">
        <v>6712</v>
      </c>
      <c r="B488" s="10">
        <v>25</v>
      </c>
      <c r="C488" s="10" t="s">
        <v>818</v>
      </c>
      <c r="D488" s="10">
        <v>2599</v>
      </c>
      <c r="E488" s="10" t="s">
        <v>836</v>
      </c>
      <c r="F488" s="11">
        <v>7289</v>
      </c>
      <c r="G488" s="11">
        <v>8481</v>
      </c>
      <c r="H488" s="11">
        <v>15770</v>
      </c>
      <c r="I488" s="11">
        <v>9170</v>
      </c>
    </row>
    <row r="489" spans="1:9" x14ac:dyDescent="0.2">
      <c r="A489" s="10">
        <v>6712</v>
      </c>
      <c r="B489" s="10">
        <v>26</v>
      </c>
      <c r="C489" s="10" t="s">
        <v>837</v>
      </c>
      <c r="D489" s="10">
        <v>2601</v>
      </c>
      <c r="E489" s="10" t="s">
        <v>838</v>
      </c>
      <c r="F489" s="11">
        <v>42555</v>
      </c>
      <c r="G489" s="11">
        <v>42629</v>
      </c>
      <c r="H489" s="11">
        <v>85184</v>
      </c>
      <c r="I489" s="11">
        <v>38011</v>
      </c>
    </row>
    <row r="490" spans="1:9" x14ac:dyDescent="0.2">
      <c r="A490" s="10">
        <v>6712</v>
      </c>
      <c r="B490" s="10">
        <v>26</v>
      </c>
      <c r="C490" s="10" t="s">
        <v>837</v>
      </c>
      <c r="D490" s="10">
        <v>2602</v>
      </c>
      <c r="E490" s="10" t="s">
        <v>839</v>
      </c>
      <c r="F490" s="11">
        <v>10779</v>
      </c>
      <c r="G490" s="11">
        <v>11382</v>
      </c>
      <c r="H490" s="11">
        <v>22161</v>
      </c>
      <c r="I490" s="11">
        <v>9215</v>
      </c>
    </row>
    <row r="491" spans="1:9" x14ac:dyDescent="0.2">
      <c r="A491" s="10">
        <v>6712</v>
      </c>
      <c r="B491" s="10">
        <v>26</v>
      </c>
      <c r="C491" s="10" t="s">
        <v>837</v>
      </c>
      <c r="D491" s="10">
        <v>2603</v>
      </c>
      <c r="E491" s="10" t="s">
        <v>840</v>
      </c>
      <c r="F491" s="11">
        <v>32047</v>
      </c>
      <c r="G491" s="11">
        <v>32160</v>
      </c>
      <c r="H491" s="11">
        <v>64207</v>
      </c>
      <c r="I491" s="11">
        <v>25935</v>
      </c>
    </row>
    <row r="492" spans="1:9" x14ac:dyDescent="0.2">
      <c r="A492" s="10">
        <v>6712</v>
      </c>
      <c r="B492" s="10">
        <v>26</v>
      </c>
      <c r="C492" s="10" t="s">
        <v>837</v>
      </c>
      <c r="D492" s="10">
        <v>2604</v>
      </c>
      <c r="E492" s="10" t="s">
        <v>841</v>
      </c>
      <c r="F492" s="11">
        <v>30999</v>
      </c>
      <c r="G492" s="11">
        <v>31982</v>
      </c>
      <c r="H492" s="11">
        <v>62981</v>
      </c>
      <c r="I492" s="11">
        <v>24023</v>
      </c>
    </row>
    <row r="493" spans="1:9" x14ac:dyDescent="0.2">
      <c r="A493" s="10">
        <v>6712</v>
      </c>
      <c r="B493" s="10">
        <v>26</v>
      </c>
      <c r="C493" s="10" t="s">
        <v>837</v>
      </c>
      <c r="D493" s="10">
        <v>2695</v>
      </c>
      <c r="E493" s="10" t="s">
        <v>842</v>
      </c>
      <c r="F493" s="11">
        <v>1227</v>
      </c>
      <c r="G493" s="11">
        <v>1347</v>
      </c>
      <c r="H493" s="11">
        <v>2574</v>
      </c>
      <c r="I493" s="11">
        <v>1394</v>
      </c>
    </row>
    <row r="494" spans="1:9" x14ac:dyDescent="0.2">
      <c r="A494" s="10">
        <v>6712</v>
      </c>
      <c r="B494" s="10">
        <v>26</v>
      </c>
      <c r="C494" s="10" t="s">
        <v>837</v>
      </c>
      <c r="D494" s="10">
        <v>2696</v>
      </c>
      <c r="E494" s="10" t="s">
        <v>703</v>
      </c>
      <c r="F494" s="11">
        <v>2144</v>
      </c>
      <c r="G494" s="11">
        <v>2415</v>
      </c>
      <c r="H494" s="11">
        <v>4559</v>
      </c>
      <c r="I494" s="11">
        <v>2605</v>
      </c>
    </row>
    <row r="495" spans="1:9" x14ac:dyDescent="0.2">
      <c r="A495" s="10">
        <v>6712</v>
      </c>
      <c r="B495" s="10">
        <v>26</v>
      </c>
      <c r="C495" s="10" t="s">
        <v>837</v>
      </c>
      <c r="D495" s="10">
        <v>2697</v>
      </c>
      <c r="E495" s="10" t="s">
        <v>843</v>
      </c>
      <c r="F495" s="10">
        <v>795</v>
      </c>
      <c r="G495" s="10">
        <v>905</v>
      </c>
      <c r="H495" s="11">
        <v>1700</v>
      </c>
      <c r="I495" s="10">
        <v>767</v>
      </c>
    </row>
    <row r="496" spans="1:9" x14ac:dyDescent="0.2">
      <c r="A496" s="10">
        <v>6712</v>
      </c>
      <c r="B496" s="10">
        <v>26</v>
      </c>
      <c r="C496" s="10" t="s">
        <v>837</v>
      </c>
      <c r="D496" s="10">
        <v>2698</v>
      </c>
      <c r="E496" s="10" t="s">
        <v>844</v>
      </c>
      <c r="F496" s="10">
        <v>498</v>
      </c>
      <c r="G496" s="10">
        <v>529</v>
      </c>
      <c r="H496" s="11">
        <v>1027</v>
      </c>
      <c r="I496" s="10">
        <v>317</v>
      </c>
    </row>
    <row r="497" spans="1:9" x14ac:dyDescent="0.2">
      <c r="A497" s="10">
        <v>6712</v>
      </c>
      <c r="B497" s="10">
        <v>26</v>
      </c>
      <c r="C497" s="10" t="s">
        <v>837</v>
      </c>
      <c r="D497" s="10">
        <v>2699</v>
      </c>
      <c r="E497" s="10" t="s">
        <v>845</v>
      </c>
      <c r="F497" s="11">
        <v>7305</v>
      </c>
      <c r="G497" s="11">
        <v>8072</v>
      </c>
      <c r="H497" s="11">
        <v>15377</v>
      </c>
      <c r="I497" s="11">
        <v>8979</v>
      </c>
    </row>
    <row r="498" spans="1:9" x14ac:dyDescent="0.2">
      <c r="A498" s="10">
        <v>6712</v>
      </c>
      <c r="B498" s="10">
        <v>27</v>
      </c>
      <c r="C498" s="10" t="s">
        <v>846</v>
      </c>
      <c r="D498" s="10">
        <v>2701</v>
      </c>
      <c r="E498" s="10" t="s">
        <v>847</v>
      </c>
      <c r="F498" s="11">
        <v>43855</v>
      </c>
      <c r="G498" s="11">
        <v>43035</v>
      </c>
      <c r="H498" s="11">
        <v>86890</v>
      </c>
      <c r="I498" s="11">
        <v>31565</v>
      </c>
    </row>
    <row r="499" spans="1:9" x14ac:dyDescent="0.2">
      <c r="A499" s="10">
        <v>6712</v>
      </c>
      <c r="B499" s="10">
        <v>27</v>
      </c>
      <c r="C499" s="10" t="s">
        <v>846</v>
      </c>
      <c r="D499" s="10">
        <v>2702</v>
      </c>
      <c r="E499" s="10" t="s">
        <v>848</v>
      </c>
      <c r="F499" s="11">
        <v>19513</v>
      </c>
      <c r="G499" s="11">
        <v>19512</v>
      </c>
      <c r="H499" s="11">
        <v>39025</v>
      </c>
      <c r="I499" s="11">
        <v>14443</v>
      </c>
    </row>
    <row r="500" spans="1:9" x14ac:dyDescent="0.2">
      <c r="A500" s="10">
        <v>6712</v>
      </c>
      <c r="B500" s="10">
        <v>27</v>
      </c>
      <c r="C500" s="10" t="s">
        <v>846</v>
      </c>
      <c r="D500" s="10">
        <v>2703</v>
      </c>
      <c r="E500" s="10" t="s">
        <v>849</v>
      </c>
      <c r="F500" s="11">
        <v>27531</v>
      </c>
      <c r="G500" s="11">
        <v>27366</v>
      </c>
      <c r="H500" s="11">
        <v>54897</v>
      </c>
      <c r="I500" s="11">
        <v>17397</v>
      </c>
    </row>
    <row r="501" spans="1:9" x14ac:dyDescent="0.2">
      <c r="A501" s="10">
        <v>6712</v>
      </c>
      <c r="B501" s="10">
        <v>27</v>
      </c>
      <c r="C501" s="10" t="s">
        <v>846</v>
      </c>
      <c r="D501" s="10">
        <v>2704</v>
      </c>
      <c r="E501" s="10" t="s">
        <v>850</v>
      </c>
      <c r="F501" s="11">
        <v>20169</v>
      </c>
      <c r="G501" s="11">
        <v>20167</v>
      </c>
      <c r="H501" s="11">
        <v>40336</v>
      </c>
      <c r="I501" s="11">
        <v>15723</v>
      </c>
    </row>
    <row r="502" spans="1:9" x14ac:dyDescent="0.2">
      <c r="A502" s="10">
        <v>6712</v>
      </c>
      <c r="B502" s="10">
        <v>27</v>
      </c>
      <c r="C502" s="10" t="s">
        <v>846</v>
      </c>
      <c r="D502" s="10">
        <v>2705</v>
      </c>
      <c r="E502" s="10" t="s">
        <v>851</v>
      </c>
      <c r="F502" s="11">
        <v>38371</v>
      </c>
      <c r="G502" s="11">
        <v>38083</v>
      </c>
      <c r="H502" s="11">
        <v>76454</v>
      </c>
      <c r="I502" s="11">
        <v>28513</v>
      </c>
    </row>
    <row r="503" spans="1:9" x14ac:dyDescent="0.2">
      <c r="A503" s="10">
        <v>6712</v>
      </c>
      <c r="B503" s="10">
        <v>27</v>
      </c>
      <c r="C503" s="10" t="s">
        <v>846</v>
      </c>
      <c r="D503" s="10">
        <v>2706</v>
      </c>
      <c r="E503" s="10" t="s">
        <v>852</v>
      </c>
      <c r="F503" s="11">
        <v>37252</v>
      </c>
      <c r="G503" s="11">
        <v>38574</v>
      </c>
      <c r="H503" s="11">
        <v>75826</v>
      </c>
      <c r="I503" s="11">
        <v>39533</v>
      </c>
    </row>
    <row r="504" spans="1:9" x14ac:dyDescent="0.2">
      <c r="A504" s="10">
        <v>6712</v>
      </c>
      <c r="B504" s="10">
        <v>27</v>
      </c>
      <c r="C504" s="10" t="s">
        <v>846</v>
      </c>
      <c r="D504" s="10">
        <v>2707</v>
      </c>
      <c r="E504" s="10" t="s">
        <v>853</v>
      </c>
      <c r="F504" s="11">
        <v>25387</v>
      </c>
      <c r="G504" s="11">
        <v>25478</v>
      </c>
      <c r="H504" s="11">
        <v>50865</v>
      </c>
      <c r="I504" s="11">
        <v>17217</v>
      </c>
    </row>
    <row r="505" spans="1:9" x14ac:dyDescent="0.2">
      <c r="A505" s="10">
        <v>6712</v>
      </c>
      <c r="B505" s="10">
        <v>27</v>
      </c>
      <c r="C505" s="10" t="s">
        <v>846</v>
      </c>
      <c r="D505" s="10">
        <v>2708</v>
      </c>
      <c r="E505" s="10" t="s">
        <v>854</v>
      </c>
      <c r="F505" s="11">
        <v>13463</v>
      </c>
      <c r="G505" s="11">
        <v>13784</v>
      </c>
      <c r="H505" s="11">
        <v>27247</v>
      </c>
      <c r="I505" s="11">
        <v>8919</v>
      </c>
    </row>
    <row r="506" spans="1:9" x14ac:dyDescent="0.2">
      <c r="A506" s="10">
        <v>6712</v>
      </c>
      <c r="B506" s="10">
        <v>27</v>
      </c>
      <c r="C506" s="10" t="s">
        <v>846</v>
      </c>
      <c r="D506" s="10">
        <v>2709</v>
      </c>
      <c r="E506" s="10" t="s">
        <v>855</v>
      </c>
      <c r="F506" s="11">
        <v>12642</v>
      </c>
      <c r="G506" s="11">
        <v>12503</v>
      </c>
      <c r="H506" s="11">
        <v>25145</v>
      </c>
      <c r="I506" s="11">
        <v>10915</v>
      </c>
    </row>
    <row r="507" spans="1:9" x14ac:dyDescent="0.2">
      <c r="A507" s="10">
        <v>6712</v>
      </c>
      <c r="B507" s="10">
        <v>27</v>
      </c>
      <c r="C507" s="10" t="s">
        <v>846</v>
      </c>
      <c r="D507" s="10">
        <v>2791</v>
      </c>
      <c r="E507" s="10" t="s">
        <v>856</v>
      </c>
      <c r="F507" s="11">
        <v>5159</v>
      </c>
      <c r="G507" s="11">
        <v>5316</v>
      </c>
      <c r="H507" s="11">
        <v>10475</v>
      </c>
      <c r="I507" s="11">
        <v>5329</v>
      </c>
    </row>
    <row r="508" spans="1:9" x14ac:dyDescent="0.2">
      <c r="A508" s="10">
        <v>6712</v>
      </c>
      <c r="B508" s="10">
        <v>27</v>
      </c>
      <c r="C508" s="10" t="s">
        <v>846</v>
      </c>
      <c r="D508" s="10">
        <v>2792</v>
      </c>
      <c r="E508" s="10" t="s">
        <v>857</v>
      </c>
      <c r="F508" s="11">
        <v>2344</v>
      </c>
      <c r="G508" s="11">
        <v>2412</v>
      </c>
      <c r="H508" s="11">
        <v>4756</v>
      </c>
      <c r="I508" s="11">
        <v>2484</v>
      </c>
    </row>
    <row r="509" spans="1:9" x14ac:dyDescent="0.2">
      <c r="A509" s="10">
        <v>6712</v>
      </c>
      <c r="B509" s="10">
        <v>27</v>
      </c>
      <c r="C509" s="10" t="s">
        <v>846</v>
      </c>
      <c r="D509" s="10">
        <v>2793</v>
      </c>
      <c r="E509" s="10" t="s">
        <v>858</v>
      </c>
      <c r="F509" s="11">
        <v>2506</v>
      </c>
      <c r="G509" s="11">
        <v>2973</v>
      </c>
      <c r="H509" s="11">
        <v>5479</v>
      </c>
      <c r="I509" s="11">
        <v>3154</v>
      </c>
    </row>
    <row r="510" spans="1:9" x14ac:dyDescent="0.2">
      <c r="A510" s="10">
        <v>6712</v>
      </c>
      <c r="B510" s="10">
        <v>27</v>
      </c>
      <c r="C510" s="10" t="s">
        <v>846</v>
      </c>
      <c r="D510" s="10">
        <v>2794</v>
      </c>
      <c r="E510" s="10" t="s">
        <v>859</v>
      </c>
      <c r="F510" s="11">
        <v>9884</v>
      </c>
      <c r="G510" s="11">
        <v>10404</v>
      </c>
      <c r="H510" s="11">
        <v>20288</v>
      </c>
      <c r="I510" s="11">
        <v>10328</v>
      </c>
    </row>
    <row r="511" spans="1:9" x14ac:dyDescent="0.2">
      <c r="A511" s="10">
        <v>6712</v>
      </c>
      <c r="B511" s="10">
        <v>27</v>
      </c>
      <c r="C511" s="10" t="s">
        <v>846</v>
      </c>
      <c r="D511" s="10">
        <v>2795</v>
      </c>
      <c r="E511" s="10" t="s">
        <v>860</v>
      </c>
      <c r="F511" s="11">
        <v>1220</v>
      </c>
      <c r="G511" s="11">
        <v>1252</v>
      </c>
      <c r="H511" s="11">
        <v>2472</v>
      </c>
      <c r="I511" s="11">
        <v>1209</v>
      </c>
    </row>
    <row r="512" spans="1:9" x14ac:dyDescent="0.2">
      <c r="A512" s="10">
        <v>6712</v>
      </c>
      <c r="B512" s="10">
        <v>27</v>
      </c>
      <c r="C512" s="10" t="s">
        <v>846</v>
      </c>
      <c r="D512" s="10">
        <v>2796</v>
      </c>
      <c r="E512" s="10" t="s">
        <v>861</v>
      </c>
      <c r="F512" s="11">
        <v>1311</v>
      </c>
      <c r="G512" s="11">
        <v>1376</v>
      </c>
      <c r="H512" s="11">
        <v>2687</v>
      </c>
      <c r="I512" s="11">
        <v>1253</v>
      </c>
    </row>
    <row r="513" spans="1:9" x14ac:dyDescent="0.2">
      <c r="A513" s="10">
        <v>6712</v>
      </c>
      <c r="B513" s="10">
        <v>27</v>
      </c>
      <c r="C513" s="10" t="s">
        <v>846</v>
      </c>
      <c r="D513" s="10">
        <v>2797</v>
      </c>
      <c r="E513" s="10" t="s">
        <v>862</v>
      </c>
      <c r="F513" s="11">
        <v>2191</v>
      </c>
      <c r="G513" s="11">
        <v>1871</v>
      </c>
      <c r="H513" s="11">
        <v>4062</v>
      </c>
      <c r="I513" s="11">
        <v>1723</v>
      </c>
    </row>
    <row r="514" spans="1:9" x14ac:dyDescent="0.2">
      <c r="A514" s="10">
        <v>6712</v>
      </c>
      <c r="B514" s="10">
        <v>27</v>
      </c>
      <c r="C514" s="10" t="s">
        <v>846</v>
      </c>
      <c r="D514" s="10">
        <v>2798</v>
      </c>
      <c r="E514" s="10" t="s">
        <v>863</v>
      </c>
      <c r="F514" s="11">
        <v>9129</v>
      </c>
      <c r="G514" s="11">
        <v>7941</v>
      </c>
      <c r="H514" s="11">
        <v>17070</v>
      </c>
      <c r="I514" s="11">
        <v>11857</v>
      </c>
    </row>
    <row r="515" spans="1:9" x14ac:dyDescent="0.2">
      <c r="A515" s="10">
        <v>6712</v>
      </c>
      <c r="B515" s="10">
        <v>27</v>
      </c>
      <c r="C515" s="10" t="s">
        <v>846</v>
      </c>
      <c r="D515" s="10">
        <v>2799</v>
      </c>
      <c r="E515" s="10" t="s">
        <v>864</v>
      </c>
      <c r="F515" s="11">
        <v>8714</v>
      </c>
      <c r="G515" s="11">
        <v>9554</v>
      </c>
      <c r="H515" s="11">
        <v>18268</v>
      </c>
      <c r="I515" s="11">
        <v>12290</v>
      </c>
    </row>
    <row r="516" spans="1:9" x14ac:dyDescent="0.2">
      <c r="A516" s="10">
        <v>6712</v>
      </c>
      <c r="B516" s="10">
        <v>30</v>
      </c>
      <c r="C516" s="10" t="s">
        <v>865</v>
      </c>
      <c r="D516" s="10">
        <v>3001</v>
      </c>
      <c r="E516" s="10" t="s">
        <v>866</v>
      </c>
      <c r="F516" s="11">
        <v>108399</v>
      </c>
      <c r="G516" s="11">
        <v>120739</v>
      </c>
      <c r="H516" s="11">
        <v>229138</v>
      </c>
      <c r="I516" s="11">
        <v>116113</v>
      </c>
    </row>
    <row r="517" spans="1:9" x14ac:dyDescent="0.2">
      <c r="A517" s="10">
        <v>6712</v>
      </c>
      <c r="B517" s="10">
        <v>30</v>
      </c>
      <c r="C517" s="10" t="s">
        <v>865</v>
      </c>
      <c r="D517" s="10">
        <v>3002</v>
      </c>
      <c r="E517" s="10" t="s">
        <v>867</v>
      </c>
      <c r="F517" s="11">
        <v>39574</v>
      </c>
      <c r="G517" s="11">
        <v>40656</v>
      </c>
      <c r="H517" s="11">
        <v>80230</v>
      </c>
      <c r="I517" s="11">
        <v>32003</v>
      </c>
    </row>
    <row r="518" spans="1:9" x14ac:dyDescent="0.2">
      <c r="A518" s="10">
        <v>6712</v>
      </c>
      <c r="B518" s="10">
        <v>30</v>
      </c>
      <c r="C518" s="10" t="s">
        <v>865</v>
      </c>
      <c r="D518" s="10">
        <v>3003</v>
      </c>
      <c r="E518" s="10" t="s">
        <v>868</v>
      </c>
      <c r="F518" s="11">
        <v>28111</v>
      </c>
      <c r="G518" s="11">
        <v>28556</v>
      </c>
      <c r="H518" s="11">
        <v>56667</v>
      </c>
      <c r="I518" s="11">
        <v>18150</v>
      </c>
    </row>
    <row r="519" spans="1:9" x14ac:dyDescent="0.2">
      <c r="A519" s="10">
        <v>6712</v>
      </c>
      <c r="B519" s="10">
        <v>30</v>
      </c>
      <c r="C519" s="10" t="s">
        <v>865</v>
      </c>
      <c r="D519" s="10">
        <v>3004</v>
      </c>
      <c r="E519" s="10" t="s">
        <v>869</v>
      </c>
      <c r="F519" s="11">
        <v>36135</v>
      </c>
      <c r="G519" s="11">
        <v>37162</v>
      </c>
      <c r="H519" s="11">
        <v>73297</v>
      </c>
      <c r="I519" s="11">
        <v>22682</v>
      </c>
    </row>
    <row r="520" spans="1:9" x14ac:dyDescent="0.2">
      <c r="A520" s="10">
        <v>6712</v>
      </c>
      <c r="B520" s="10">
        <v>30</v>
      </c>
      <c r="C520" s="10" t="s">
        <v>865</v>
      </c>
      <c r="D520" s="10">
        <v>3005</v>
      </c>
      <c r="E520" s="10" t="s">
        <v>870</v>
      </c>
      <c r="F520" s="11">
        <v>8406</v>
      </c>
      <c r="G520" s="11">
        <v>8616</v>
      </c>
      <c r="H520" s="11">
        <v>17022</v>
      </c>
      <c r="I520" s="11">
        <v>5393</v>
      </c>
    </row>
    <row r="521" spans="1:9" x14ac:dyDescent="0.2">
      <c r="A521" s="10">
        <v>6712</v>
      </c>
      <c r="B521" s="10">
        <v>30</v>
      </c>
      <c r="C521" s="10" t="s">
        <v>865</v>
      </c>
      <c r="D521" s="10">
        <v>3006</v>
      </c>
      <c r="E521" s="10" t="s">
        <v>871</v>
      </c>
      <c r="F521" s="11">
        <v>33437</v>
      </c>
      <c r="G521" s="11">
        <v>33952</v>
      </c>
      <c r="H521" s="11">
        <v>67389</v>
      </c>
      <c r="I521" s="11">
        <v>20221</v>
      </c>
    </row>
    <row r="522" spans="1:9" x14ac:dyDescent="0.2">
      <c r="A522" s="10">
        <v>6712</v>
      </c>
      <c r="B522" s="10">
        <v>30</v>
      </c>
      <c r="C522" s="10" t="s">
        <v>865</v>
      </c>
      <c r="D522" s="10">
        <v>3007</v>
      </c>
      <c r="E522" s="10" t="s">
        <v>872</v>
      </c>
      <c r="F522" s="11">
        <v>24460</v>
      </c>
      <c r="G522" s="11">
        <v>26217</v>
      </c>
      <c r="H522" s="11">
        <v>50677</v>
      </c>
      <c r="I522" s="11">
        <v>20530</v>
      </c>
    </row>
    <row r="523" spans="1:9" x14ac:dyDescent="0.2">
      <c r="A523" s="10">
        <v>6712</v>
      </c>
      <c r="B523" s="10">
        <v>30</v>
      </c>
      <c r="C523" s="10" t="s">
        <v>865</v>
      </c>
      <c r="D523" s="10">
        <v>3008</v>
      </c>
      <c r="E523" s="10" t="s">
        <v>873</v>
      </c>
      <c r="F523" s="11">
        <v>53845</v>
      </c>
      <c r="G523" s="11">
        <v>55407</v>
      </c>
      <c r="H523" s="11">
        <v>109252</v>
      </c>
      <c r="I523" s="11">
        <v>36691</v>
      </c>
    </row>
    <row r="524" spans="1:9" x14ac:dyDescent="0.2">
      <c r="A524" s="10">
        <v>6712</v>
      </c>
      <c r="B524" s="10">
        <v>30</v>
      </c>
      <c r="C524" s="10" t="s">
        <v>865</v>
      </c>
      <c r="D524" s="10">
        <v>3009</v>
      </c>
      <c r="E524" s="10" t="s">
        <v>874</v>
      </c>
      <c r="F524" s="11">
        <v>26399</v>
      </c>
      <c r="G524" s="11">
        <v>27681</v>
      </c>
      <c r="H524" s="11">
        <v>54080</v>
      </c>
      <c r="I524" s="11">
        <v>17931</v>
      </c>
    </row>
    <row r="525" spans="1:9" x14ac:dyDescent="0.2">
      <c r="A525" s="10">
        <v>6712</v>
      </c>
      <c r="B525" s="10">
        <v>30</v>
      </c>
      <c r="C525" s="10" t="s">
        <v>865</v>
      </c>
      <c r="D525" s="10">
        <v>3010</v>
      </c>
      <c r="E525" s="10" t="s">
        <v>875</v>
      </c>
      <c r="F525" s="11">
        <v>41140</v>
      </c>
      <c r="G525" s="11">
        <v>42793</v>
      </c>
      <c r="H525" s="11">
        <v>83933</v>
      </c>
      <c r="I525" s="11">
        <v>26637</v>
      </c>
    </row>
    <row r="526" spans="1:9" x14ac:dyDescent="0.2">
      <c r="A526" s="10">
        <v>6712</v>
      </c>
      <c r="B526" s="10">
        <v>30</v>
      </c>
      <c r="C526" s="10" t="s">
        <v>865</v>
      </c>
      <c r="D526" s="10">
        <v>3011</v>
      </c>
      <c r="E526" s="10" t="s">
        <v>876</v>
      </c>
      <c r="F526" s="11">
        <v>16446</v>
      </c>
      <c r="G526" s="11">
        <v>16614</v>
      </c>
      <c r="H526" s="11">
        <v>33060</v>
      </c>
      <c r="I526" s="11">
        <v>10502</v>
      </c>
    </row>
    <row r="527" spans="1:9" x14ac:dyDescent="0.2">
      <c r="A527" s="10">
        <v>6712</v>
      </c>
      <c r="B527" s="10">
        <v>30</v>
      </c>
      <c r="C527" s="10" t="s">
        <v>865</v>
      </c>
      <c r="D527" s="10">
        <v>3012</v>
      </c>
      <c r="E527" s="10" t="s">
        <v>877</v>
      </c>
      <c r="F527" s="11">
        <v>33287</v>
      </c>
      <c r="G527" s="11">
        <v>33337</v>
      </c>
      <c r="H527" s="11">
        <v>66624</v>
      </c>
      <c r="I527" s="11">
        <v>20304</v>
      </c>
    </row>
    <row r="528" spans="1:9" x14ac:dyDescent="0.2">
      <c r="A528" s="10">
        <v>6712</v>
      </c>
      <c r="B528" s="10">
        <v>30</v>
      </c>
      <c r="C528" s="10" t="s">
        <v>865</v>
      </c>
      <c r="D528" s="10">
        <v>3013</v>
      </c>
      <c r="E528" s="10" t="s">
        <v>878</v>
      </c>
      <c r="F528" s="11">
        <v>34669</v>
      </c>
      <c r="G528" s="11">
        <v>35404</v>
      </c>
      <c r="H528" s="11">
        <v>70073</v>
      </c>
      <c r="I528" s="11">
        <v>20701</v>
      </c>
    </row>
    <row r="529" spans="1:9" x14ac:dyDescent="0.2">
      <c r="A529" s="10">
        <v>6712</v>
      </c>
      <c r="B529" s="10">
        <v>30</v>
      </c>
      <c r="C529" s="10" t="s">
        <v>865</v>
      </c>
      <c r="D529" s="10">
        <v>3014</v>
      </c>
      <c r="E529" s="10" t="s">
        <v>879</v>
      </c>
      <c r="F529" s="11">
        <v>44724</v>
      </c>
      <c r="G529" s="11">
        <v>47140</v>
      </c>
      <c r="H529" s="11">
        <v>91864</v>
      </c>
      <c r="I529" s="11">
        <v>34171</v>
      </c>
    </row>
    <row r="530" spans="1:9" x14ac:dyDescent="0.2">
      <c r="A530" s="10">
        <v>6712</v>
      </c>
      <c r="B530" s="10">
        <v>30</v>
      </c>
      <c r="C530" s="10" t="s">
        <v>865</v>
      </c>
      <c r="D530" s="10">
        <v>3015</v>
      </c>
      <c r="E530" s="10" t="s">
        <v>880</v>
      </c>
      <c r="F530" s="11">
        <v>58151</v>
      </c>
      <c r="G530" s="11">
        <v>60356</v>
      </c>
      <c r="H530" s="11">
        <v>118507</v>
      </c>
      <c r="I530" s="11">
        <v>41333</v>
      </c>
    </row>
    <row r="531" spans="1:9" x14ac:dyDescent="0.2">
      <c r="A531" s="10">
        <v>6712</v>
      </c>
      <c r="B531" s="10">
        <v>30</v>
      </c>
      <c r="C531" s="10" t="s">
        <v>865</v>
      </c>
      <c r="D531" s="10">
        <v>3016</v>
      </c>
      <c r="E531" s="10" t="s">
        <v>881</v>
      </c>
      <c r="F531" s="11">
        <v>34832</v>
      </c>
      <c r="G531" s="11">
        <v>34796</v>
      </c>
      <c r="H531" s="11">
        <v>69628</v>
      </c>
      <c r="I531" s="11">
        <v>20736</v>
      </c>
    </row>
    <row r="532" spans="1:9" x14ac:dyDescent="0.2">
      <c r="A532" s="10">
        <v>6712</v>
      </c>
      <c r="B532" s="10">
        <v>30</v>
      </c>
      <c r="C532" s="10" t="s">
        <v>865</v>
      </c>
      <c r="D532" s="10">
        <v>3017</v>
      </c>
      <c r="E532" s="10" t="s">
        <v>882</v>
      </c>
      <c r="F532" s="11">
        <v>36238</v>
      </c>
      <c r="G532" s="11">
        <v>36781</v>
      </c>
      <c r="H532" s="11">
        <v>73019</v>
      </c>
      <c r="I532" s="11">
        <v>21234</v>
      </c>
    </row>
    <row r="533" spans="1:9" x14ac:dyDescent="0.2">
      <c r="A533" s="10">
        <v>6712</v>
      </c>
      <c r="B533" s="10">
        <v>30</v>
      </c>
      <c r="C533" s="10" t="s">
        <v>865</v>
      </c>
      <c r="D533" s="10">
        <v>3018</v>
      </c>
      <c r="E533" s="10" t="s">
        <v>883</v>
      </c>
      <c r="F533" s="11">
        <v>35651</v>
      </c>
      <c r="G533" s="11">
        <v>37445</v>
      </c>
      <c r="H533" s="11">
        <v>73096</v>
      </c>
      <c r="I533" s="11">
        <v>31810</v>
      </c>
    </row>
    <row r="534" spans="1:9" x14ac:dyDescent="0.2">
      <c r="A534" s="10">
        <v>6712</v>
      </c>
      <c r="B534" s="10">
        <v>30</v>
      </c>
      <c r="C534" s="10" t="s">
        <v>865</v>
      </c>
      <c r="D534" s="10">
        <v>3019</v>
      </c>
      <c r="E534" s="10" t="s">
        <v>884</v>
      </c>
      <c r="F534" s="11">
        <v>12785</v>
      </c>
      <c r="G534" s="11">
        <v>13358</v>
      </c>
      <c r="H534" s="11">
        <v>26143</v>
      </c>
      <c r="I534" s="11">
        <v>9239</v>
      </c>
    </row>
    <row r="535" spans="1:9" x14ac:dyDescent="0.2">
      <c r="A535" s="10">
        <v>6712</v>
      </c>
      <c r="B535" s="10">
        <v>30</v>
      </c>
      <c r="C535" s="10" t="s">
        <v>865</v>
      </c>
      <c r="D535" s="10">
        <v>3020</v>
      </c>
      <c r="E535" s="10" t="s">
        <v>885</v>
      </c>
      <c r="F535" s="11">
        <v>43077</v>
      </c>
      <c r="G535" s="11">
        <v>43778</v>
      </c>
      <c r="H535" s="11">
        <v>86855</v>
      </c>
      <c r="I535" s="11">
        <v>34142</v>
      </c>
    </row>
    <row r="536" spans="1:9" x14ac:dyDescent="0.2">
      <c r="A536" s="10">
        <v>6712</v>
      </c>
      <c r="B536" s="10">
        <v>30</v>
      </c>
      <c r="C536" s="10" t="s">
        <v>865</v>
      </c>
      <c r="D536" s="10">
        <v>3021</v>
      </c>
      <c r="E536" s="10" t="s">
        <v>886</v>
      </c>
      <c r="F536" s="11">
        <v>62994</v>
      </c>
      <c r="G536" s="11">
        <v>64563</v>
      </c>
      <c r="H536" s="11">
        <v>127557</v>
      </c>
      <c r="I536" s="11">
        <v>74213</v>
      </c>
    </row>
    <row r="537" spans="1:9" x14ac:dyDescent="0.2">
      <c r="A537" s="10">
        <v>6712</v>
      </c>
      <c r="B537" s="10">
        <v>30</v>
      </c>
      <c r="C537" s="10" t="s">
        <v>865</v>
      </c>
      <c r="D537" s="10">
        <v>3022</v>
      </c>
      <c r="E537" s="10" t="s">
        <v>887</v>
      </c>
      <c r="F537" s="11">
        <v>29934</v>
      </c>
      <c r="G537" s="11">
        <v>30600</v>
      </c>
      <c r="H537" s="11">
        <v>60534</v>
      </c>
      <c r="I537" s="11">
        <v>19625</v>
      </c>
    </row>
    <row r="538" spans="1:9" x14ac:dyDescent="0.2">
      <c r="A538" s="10">
        <v>6712</v>
      </c>
      <c r="B538" s="10">
        <v>30</v>
      </c>
      <c r="C538" s="10" t="s">
        <v>865</v>
      </c>
      <c r="D538" s="10">
        <v>3023</v>
      </c>
      <c r="E538" s="10" t="s">
        <v>888</v>
      </c>
      <c r="F538" s="11">
        <v>17766</v>
      </c>
      <c r="G538" s="11">
        <v>18253</v>
      </c>
      <c r="H538" s="11">
        <v>36019</v>
      </c>
      <c r="I538" s="11">
        <v>11203</v>
      </c>
    </row>
    <row r="539" spans="1:9" x14ac:dyDescent="0.2">
      <c r="A539" s="10">
        <v>6712</v>
      </c>
      <c r="B539" s="10">
        <v>30</v>
      </c>
      <c r="C539" s="10" t="s">
        <v>865</v>
      </c>
      <c r="D539" s="10">
        <v>3024</v>
      </c>
      <c r="E539" s="10" t="s">
        <v>889</v>
      </c>
      <c r="F539" s="11">
        <v>10069</v>
      </c>
      <c r="G539" s="11">
        <v>10404</v>
      </c>
      <c r="H539" s="11">
        <v>20473</v>
      </c>
      <c r="I539" s="11">
        <v>6008</v>
      </c>
    </row>
    <row r="540" spans="1:9" x14ac:dyDescent="0.2">
      <c r="A540" s="10">
        <v>6712</v>
      </c>
      <c r="B540" s="10">
        <v>30</v>
      </c>
      <c r="C540" s="10" t="s">
        <v>865</v>
      </c>
      <c r="D540" s="10">
        <v>3025</v>
      </c>
      <c r="E540" s="10" t="s">
        <v>890</v>
      </c>
      <c r="F540" s="11">
        <v>21848</v>
      </c>
      <c r="G540" s="11">
        <v>22268</v>
      </c>
      <c r="H540" s="11">
        <v>44116</v>
      </c>
      <c r="I540" s="11">
        <v>21028</v>
      </c>
    </row>
    <row r="541" spans="1:9" x14ac:dyDescent="0.2">
      <c r="A541" s="10">
        <v>6712</v>
      </c>
      <c r="B541" s="10">
        <v>30</v>
      </c>
      <c r="C541" s="10" t="s">
        <v>865</v>
      </c>
      <c r="D541" s="10">
        <v>3026</v>
      </c>
      <c r="E541" s="10" t="s">
        <v>891</v>
      </c>
      <c r="F541" s="11">
        <v>12742</v>
      </c>
      <c r="G541" s="11">
        <v>12606</v>
      </c>
      <c r="H541" s="11">
        <v>25348</v>
      </c>
      <c r="I541" s="11">
        <v>9024</v>
      </c>
    </row>
    <row r="542" spans="1:9" x14ac:dyDescent="0.2">
      <c r="A542" s="10">
        <v>6712</v>
      </c>
      <c r="B542" s="10">
        <v>30</v>
      </c>
      <c r="C542" s="10" t="s">
        <v>865</v>
      </c>
      <c r="D542" s="10">
        <v>3027</v>
      </c>
      <c r="E542" s="10" t="s">
        <v>892</v>
      </c>
      <c r="F542" s="11">
        <v>9748</v>
      </c>
      <c r="G542" s="11">
        <v>9623</v>
      </c>
      <c r="H542" s="11">
        <v>19371</v>
      </c>
      <c r="I542" s="11">
        <v>5785</v>
      </c>
    </row>
    <row r="543" spans="1:9" x14ac:dyDescent="0.2">
      <c r="A543" s="10">
        <v>6712</v>
      </c>
      <c r="B543" s="10">
        <v>30</v>
      </c>
      <c r="C543" s="10" t="s">
        <v>865</v>
      </c>
      <c r="D543" s="10">
        <v>3028</v>
      </c>
      <c r="E543" s="10" t="s">
        <v>893</v>
      </c>
      <c r="F543" s="11">
        <v>18257</v>
      </c>
      <c r="G543" s="11">
        <v>18482</v>
      </c>
      <c r="H543" s="11">
        <v>36739</v>
      </c>
      <c r="I543" s="11">
        <v>12954</v>
      </c>
    </row>
    <row r="544" spans="1:9" x14ac:dyDescent="0.2">
      <c r="A544" s="10">
        <v>6712</v>
      </c>
      <c r="B544" s="10">
        <v>30</v>
      </c>
      <c r="C544" s="10" t="s">
        <v>865</v>
      </c>
      <c r="D544" s="10">
        <v>3029</v>
      </c>
      <c r="E544" s="10" t="s">
        <v>894</v>
      </c>
      <c r="F544" s="11">
        <v>13805</v>
      </c>
      <c r="G544" s="11">
        <v>13968</v>
      </c>
      <c r="H544" s="11">
        <v>27773</v>
      </c>
      <c r="I544" s="11">
        <v>7919</v>
      </c>
    </row>
    <row r="545" spans="1:9" x14ac:dyDescent="0.2">
      <c r="A545" s="10">
        <v>6712</v>
      </c>
      <c r="B545" s="10">
        <v>30</v>
      </c>
      <c r="C545" s="10" t="s">
        <v>865</v>
      </c>
      <c r="D545" s="10">
        <v>3030</v>
      </c>
      <c r="E545" s="10" t="s">
        <v>895</v>
      </c>
      <c r="F545" s="11">
        <v>10457</v>
      </c>
      <c r="G545" s="11">
        <v>10695</v>
      </c>
      <c r="H545" s="11">
        <v>21152</v>
      </c>
      <c r="I545" s="11">
        <v>6761</v>
      </c>
    </row>
    <row r="546" spans="1:9" x14ac:dyDescent="0.2">
      <c r="A546" s="10">
        <v>6712</v>
      </c>
      <c r="B546" s="10">
        <v>30</v>
      </c>
      <c r="C546" s="10" t="s">
        <v>865</v>
      </c>
      <c r="D546" s="10">
        <v>3031</v>
      </c>
      <c r="E546" s="10" t="s">
        <v>896</v>
      </c>
      <c r="F546" s="11">
        <v>9793</v>
      </c>
      <c r="G546" s="11">
        <v>9908</v>
      </c>
      <c r="H546" s="11">
        <v>19701</v>
      </c>
      <c r="I546" s="11">
        <v>6326</v>
      </c>
    </row>
    <row r="547" spans="1:9" x14ac:dyDescent="0.2">
      <c r="A547" s="10">
        <v>6712</v>
      </c>
      <c r="B547" s="10">
        <v>30</v>
      </c>
      <c r="C547" s="10" t="s">
        <v>865</v>
      </c>
      <c r="D547" s="10">
        <v>3032</v>
      </c>
      <c r="E547" s="10" t="s">
        <v>615</v>
      </c>
      <c r="F547" s="11">
        <v>15158</v>
      </c>
      <c r="G547" s="11">
        <v>15898</v>
      </c>
      <c r="H547" s="11">
        <v>31056</v>
      </c>
      <c r="I547" s="11">
        <v>9976</v>
      </c>
    </row>
    <row r="548" spans="1:9" x14ac:dyDescent="0.2">
      <c r="A548" s="10">
        <v>6712</v>
      </c>
      <c r="B548" s="10">
        <v>30</v>
      </c>
      <c r="C548" s="10" t="s">
        <v>865</v>
      </c>
      <c r="D548" s="10">
        <v>3035</v>
      </c>
      <c r="E548" s="10" t="s">
        <v>897</v>
      </c>
      <c r="F548" s="11">
        <v>7828</v>
      </c>
      <c r="G548" s="11">
        <v>8435</v>
      </c>
      <c r="H548" s="11">
        <v>16263</v>
      </c>
      <c r="I548" s="11">
        <v>8218</v>
      </c>
    </row>
    <row r="549" spans="1:9" x14ac:dyDescent="0.2">
      <c r="A549" s="10">
        <v>6712</v>
      </c>
      <c r="B549" s="10">
        <v>30</v>
      </c>
      <c r="C549" s="10" t="s">
        <v>865</v>
      </c>
      <c r="D549" s="10">
        <v>3037</v>
      </c>
      <c r="E549" s="10" t="s">
        <v>898</v>
      </c>
      <c r="F549" s="11">
        <v>3981</v>
      </c>
      <c r="G549" s="11">
        <v>4054</v>
      </c>
      <c r="H549" s="11">
        <v>8035</v>
      </c>
      <c r="I549" s="11">
        <v>2461</v>
      </c>
    </row>
    <row r="550" spans="1:9" x14ac:dyDescent="0.2">
      <c r="A550" s="10">
        <v>6712</v>
      </c>
      <c r="B550" s="10">
        <v>30</v>
      </c>
      <c r="C550" s="10" t="s">
        <v>865</v>
      </c>
      <c r="D550" s="10">
        <v>3038</v>
      </c>
      <c r="E550" s="10" t="s">
        <v>899</v>
      </c>
      <c r="F550" s="11">
        <v>6623</v>
      </c>
      <c r="G550" s="11">
        <v>6672</v>
      </c>
      <c r="H550" s="11">
        <v>13295</v>
      </c>
      <c r="I550" s="11">
        <v>5364</v>
      </c>
    </row>
    <row r="551" spans="1:9" x14ac:dyDescent="0.2">
      <c r="A551" s="10">
        <v>6712</v>
      </c>
      <c r="B551" s="10">
        <v>30</v>
      </c>
      <c r="C551" s="10" t="s">
        <v>865</v>
      </c>
      <c r="D551" s="10">
        <v>3039</v>
      </c>
      <c r="E551" s="10" t="s">
        <v>900</v>
      </c>
      <c r="F551" s="11">
        <v>4182</v>
      </c>
      <c r="G551" s="11">
        <v>4335</v>
      </c>
      <c r="H551" s="11">
        <v>8517</v>
      </c>
      <c r="I551" s="11">
        <v>2743</v>
      </c>
    </row>
    <row r="552" spans="1:9" x14ac:dyDescent="0.2">
      <c r="A552" s="10">
        <v>6712</v>
      </c>
      <c r="B552" s="10">
        <v>30</v>
      </c>
      <c r="C552" s="10" t="s">
        <v>865</v>
      </c>
      <c r="D552" s="10">
        <v>3040</v>
      </c>
      <c r="E552" s="10" t="s">
        <v>901</v>
      </c>
      <c r="F552" s="11">
        <v>6402</v>
      </c>
      <c r="G552" s="11">
        <v>6494</v>
      </c>
      <c r="H552" s="11">
        <v>12896</v>
      </c>
      <c r="I552" s="11">
        <v>3754</v>
      </c>
    </row>
    <row r="553" spans="1:9" x14ac:dyDescent="0.2">
      <c r="A553" s="10">
        <v>6712</v>
      </c>
      <c r="B553" s="10">
        <v>30</v>
      </c>
      <c r="C553" s="10" t="s">
        <v>865</v>
      </c>
      <c r="D553" s="10">
        <v>3041</v>
      </c>
      <c r="E553" s="10" t="s">
        <v>902</v>
      </c>
      <c r="F553" s="11">
        <v>4266</v>
      </c>
      <c r="G553" s="11">
        <v>4501</v>
      </c>
      <c r="H553" s="11">
        <v>8767</v>
      </c>
      <c r="I553" s="11">
        <v>2853</v>
      </c>
    </row>
    <row r="554" spans="1:9" x14ac:dyDescent="0.2">
      <c r="A554" s="10">
        <v>6712</v>
      </c>
      <c r="B554" s="10">
        <v>30</v>
      </c>
      <c r="C554" s="10" t="s">
        <v>865</v>
      </c>
      <c r="D554" s="10">
        <v>3042</v>
      </c>
      <c r="E554" s="10" t="s">
        <v>903</v>
      </c>
      <c r="F554" s="11">
        <v>3801</v>
      </c>
      <c r="G554" s="11">
        <v>3864</v>
      </c>
      <c r="H554" s="11">
        <v>7665</v>
      </c>
      <c r="I554" s="11">
        <v>2574</v>
      </c>
    </row>
    <row r="555" spans="1:9" x14ac:dyDescent="0.2">
      <c r="A555" s="10">
        <v>6712</v>
      </c>
      <c r="B555" s="10">
        <v>30</v>
      </c>
      <c r="C555" s="10" t="s">
        <v>865</v>
      </c>
      <c r="D555" s="10">
        <v>3043</v>
      </c>
      <c r="E555" s="10" t="s">
        <v>904</v>
      </c>
      <c r="F555" s="11">
        <v>3075</v>
      </c>
      <c r="G555" s="11">
        <v>3073</v>
      </c>
      <c r="H555" s="11">
        <v>6148</v>
      </c>
      <c r="I555" s="11">
        <v>1984</v>
      </c>
    </row>
    <row r="556" spans="1:9" x14ac:dyDescent="0.2">
      <c r="A556" s="10">
        <v>6712</v>
      </c>
      <c r="B556" s="10">
        <v>30</v>
      </c>
      <c r="C556" s="10" t="s">
        <v>865</v>
      </c>
      <c r="D556" s="10">
        <v>3044</v>
      </c>
      <c r="E556" s="10" t="s">
        <v>905</v>
      </c>
      <c r="F556" s="11">
        <v>5617</v>
      </c>
      <c r="G556" s="11">
        <v>5797</v>
      </c>
      <c r="H556" s="11">
        <v>11414</v>
      </c>
      <c r="I556" s="11">
        <v>5828</v>
      </c>
    </row>
    <row r="557" spans="1:9" x14ac:dyDescent="0.2">
      <c r="A557" s="10">
        <v>6712</v>
      </c>
      <c r="B557" s="10">
        <v>30</v>
      </c>
      <c r="C557" s="10" t="s">
        <v>865</v>
      </c>
      <c r="D557" s="10">
        <v>3045</v>
      </c>
      <c r="E557" s="10" t="s">
        <v>906</v>
      </c>
      <c r="F557" s="11">
        <v>4571</v>
      </c>
      <c r="G557" s="11">
        <v>4675</v>
      </c>
      <c r="H557" s="11">
        <v>9246</v>
      </c>
      <c r="I557" s="11">
        <v>4640</v>
      </c>
    </row>
    <row r="558" spans="1:9" x14ac:dyDescent="0.2">
      <c r="A558" s="10">
        <v>6712</v>
      </c>
      <c r="B558" s="10">
        <v>30</v>
      </c>
      <c r="C558" s="10" t="s">
        <v>865</v>
      </c>
      <c r="D558" s="10">
        <v>3046</v>
      </c>
      <c r="E558" s="10" t="s">
        <v>907</v>
      </c>
      <c r="F558" s="11">
        <v>2340</v>
      </c>
      <c r="G558" s="11">
        <v>2374</v>
      </c>
      <c r="H558" s="11">
        <v>4714</v>
      </c>
      <c r="I558" s="11">
        <v>1483</v>
      </c>
    </row>
    <row r="559" spans="1:9" x14ac:dyDescent="0.2">
      <c r="A559" s="10">
        <v>6712</v>
      </c>
      <c r="B559" s="10">
        <v>30</v>
      </c>
      <c r="C559" s="10" t="s">
        <v>865</v>
      </c>
      <c r="D559" s="10">
        <v>3047</v>
      </c>
      <c r="E559" s="10" t="s">
        <v>908</v>
      </c>
      <c r="F559" s="11">
        <v>1741</v>
      </c>
      <c r="G559" s="11">
        <v>1916</v>
      </c>
      <c r="H559" s="11">
        <v>3657</v>
      </c>
      <c r="I559" s="11">
        <v>1375</v>
      </c>
    </row>
    <row r="560" spans="1:9" x14ac:dyDescent="0.2">
      <c r="A560" s="10">
        <v>6712</v>
      </c>
      <c r="B560" s="10">
        <v>30</v>
      </c>
      <c r="C560" s="10" t="s">
        <v>865</v>
      </c>
      <c r="D560" s="10">
        <v>3048</v>
      </c>
      <c r="E560" s="10" t="s">
        <v>909</v>
      </c>
      <c r="F560" s="11">
        <v>6661</v>
      </c>
      <c r="G560" s="11">
        <v>6789</v>
      </c>
      <c r="H560" s="11">
        <v>13450</v>
      </c>
      <c r="I560" s="11">
        <v>12435</v>
      </c>
    </row>
    <row r="561" spans="1:9" x14ac:dyDescent="0.2">
      <c r="A561" s="10">
        <v>6712</v>
      </c>
      <c r="B561" s="10">
        <v>30</v>
      </c>
      <c r="C561" s="10" t="s">
        <v>865</v>
      </c>
      <c r="D561" s="10">
        <v>3049</v>
      </c>
      <c r="E561" s="10" t="s">
        <v>910</v>
      </c>
      <c r="F561" s="11">
        <v>14775</v>
      </c>
      <c r="G561" s="11">
        <v>14425</v>
      </c>
      <c r="H561" s="11">
        <v>29200</v>
      </c>
      <c r="I561" s="11">
        <v>14148</v>
      </c>
    </row>
    <row r="562" spans="1:9" x14ac:dyDescent="0.2">
      <c r="A562" s="10">
        <v>6712</v>
      </c>
      <c r="B562" s="10">
        <v>30</v>
      </c>
      <c r="C562" s="10" t="s">
        <v>865</v>
      </c>
      <c r="D562" s="10">
        <v>3050</v>
      </c>
      <c r="E562" s="10" t="s">
        <v>911</v>
      </c>
      <c r="F562" s="11">
        <v>13224</v>
      </c>
      <c r="G562" s="11">
        <v>14713</v>
      </c>
      <c r="H562" s="11">
        <v>27937</v>
      </c>
      <c r="I562" s="11">
        <v>14664</v>
      </c>
    </row>
    <row r="563" spans="1:9" x14ac:dyDescent="0.2">
      <c r="A563" s="10">
        <v>6712</v>
      </c>
      <c r="B563" s="10">
        <v>30</v>
      </c>
      <c r="C563" s="10" t="s">
        <v>865</v>
      </c>
      <c r="D563" s="10">
        <v>3051</v>
      </c>
      <c r="E563" s="10" t="s">
        <v>912</v>
      </c>
      <c r="F563" s="11">
        <v>5586</v>
      </c>
      <c r="G563" s="11">
        <v>5821</v>
      </c>
      <c r="H563" s="11">
        <v>11407</v>
      </c>
      <c r="I563" s="11">
        <v>5927</v>
      </c>
    </row>
    <row r="564" spans="1:9" x14ac:dyDescent="0.2">
      <c r="A564" s="10">
        <v>6712</v>
      </c>
      <c r="B564" s="10">
        <v>30</v>
      </c>
      <c r="C564" s="10" t="s">
        <v>865</v>
      </c>
      <c r="D564" s="10">
        <v>3052</v>
      </c>
      <c r="E564" s="10" t="s">
        <v>913</v>
      </c>
      <c r="F564" s="11">
        <v>4624</v>
      </c>
      <c r="G564" s="11">
        <v>5106</v>
      </c>
      <c r="H564" s="11">
        <v>9730</v>
      </c>
      <c r="I564" s="11">
        <v>5494</v>
      </c>
    </row>
    <row r="565" spans="1:9" x14ac:dyDescent="0.2">
      <c r="A565" s="10">
        <v>6712</v>
      </c>
      <c r="B565" s="10">
        <v>30</v>
      </c>
      <c r="C565" s="10" t="s">
        <v>865</v>
      </c>
      <c r="D565" s="10">
        <v>3053</v>
      </c>
      <c r="E565" s="10" t="s">
        <v>914</v>
      </c>
      <c r="F565" s="11">
        <v>9494</v>
      </c>
      <c r="G565" s="11">
        <v>3994</v>
      </c>
      <c r="H565" s="11">
        <v>13488</v>
      </c>
      <c r="I565" s="11">
        <v>11306</v>
      </c>
    </row>
    <row r="566" spans="1:9" x14ac:dyDescent="0.2">
      <c r="A566" s="10">
        <v>6712</v>
      </c>
      <c r="B566" s="10">
        <v>30</v>
      </c>
      <c r="C566" s="10" t="s">
        <v>865</v>
      </c>
      <c r="D566" s="10">
        <v>3054</v>
      </c>
      <c r="E566" s="10" t="s">
        <v>844</v>
      </c>
      <c r="F566" s="11">
        <v>2430</v>
      </c>
      <c r="G566" s="11">
        <v>2611</v>
      </c>
      <c r="H566" s="11">
        <v>5041</v>
      </c>
      <c r="I566" s="11">
        <v>2195</v>
      </c>
    </row>
    <row r="567" spans="1:9" x14ac:dyDescent="0.2">
      <c r="A567" s="10">
        <v>6712</v>
      </c>
      <c r="B567" s="10">
        <v>30</v>
      </c>
      <c r="C567" s="10" t="s">
        <v>865</v>
      </c>
      <c r="D567" s="10">
        <v>3055</v>
      </c>
      <c r="E567" s="10" t="s">
        <v>915</v>
      </c>
      <c r="F567" s="11">
        <v>1754</v>
      </c>
      <c r="G567" s="11">
        <v>1838</v>
      </c>
      <c r="H567" s="11">
        <v>3592</v>
      </c>
      <c r="I567" s="11">
        <v>1559</v>
      </c>
    </row>
    <row r="568" spans="1:9" x14ac:dyDescent="0.2">
      <c r="A568" s="10">
        <v>6712</v>
      </c>
      <c r="B568" s="10">
        <v>30</v>
      </c>
      <c r="C568" s="10" t="s">
        <v>865</v>
      </c>
      <c r="D568" s="10">
        <v>3056</v>
      </c>
      <c r="E568" s="10" t="s">
        <v>916</v>
      </c>
      <c r="F568" s="11">
        <v>1147</v>
      </c>
      <c r="G568" s="11">
        <v>1194</v>
      </c>
      <c r="H568" s="11">
        <v>2341</v>
      </c>
      <c r="I568" s="10">
        <v>895</v>
      </c>
    </row>
    <row r="569" spans="1:9" x14ac:dyDescent="0.2">
      <c r="A569" s="10">
        <v>6712</v>
      </c>
      <c r="B569" s="10">
        <v>30</v>
      </c>
      <c r="C569" s="10" t="s">
        <v>865</v>
      </c>
      <c r="D569" s="10">
        <v>3057</v>
      </c>
      <c r="E569" s="10" t="s">
        <v>917</v>
      </c>
      <c r="F569" s="11">
        <v>2241</v>
      </c>
      <c r="G569" s="11">
        <v>2310</v>
      </c>
      <c r="H569" s="11">
        <v>4551</v>
      </c>
      <c r="I569" s="11">
        <v>1955</v>
      </c>
    </row>
    <row r="570" spans="1:9" x14ac:dyDescent="0.2">
      <c r="A570" s="10">
        <v>6712</v>
      </c>
      <c r="B570" s="10">
        <v>30</v>
      </c>
      <c r="C570" s="10" t="s">
        <v>865</v>
      </c>
      <c r="D570" s="10">
        <v>3058</v>
      </c>
      <c r="E570" s="10" t="s">
        <v>918</v>
      </c>
      <c r="F570" s="11">
        <v>1925</v>
      </c>
      <c r="G570" s="11">
        <v>2050</v>
      </c>
      <c r="H570" s="11">
        <v>3975</v>
      </c>
      <c r="I570" s="11">
        <v>1694</v>
      </c>
    </row>
    <row r="571" spans="1:9" x14ac:dyDescent="0.2">
      <c r="A571" s="10">
        <v>6712</v>
      </c>
      <c r="B571" s="10">
        <v>30</v>
      </c>
      <c r="C571" s="10" t="s">
        <v>865</v>
      </c>
      <c r="D571" s="10">
        <v>3059</v>
      </c>
      <c r="E571" s="10" t="s">
        <v>919</v>
      </c>
      <c r="F571" s="10">
        <v>887</v>
      </c>
      <c r="G571" s="11">
        <v>1000</v>
      </c>
      <c r="H571" s="11">
        <v>1887</v>
      </c>
      <c r="I571" s="10">
        <v>981</v>
      </c>
    </row>
    <row r="572" spans="1:9" x14ac:dyDescent="0.2">
      <c r="A572" s="10">
        <v>6712</v>
      </c>
      <c r="B572" s="10">
        <v>30</v>
      </c>
      <c r="C572" s="10" t="s">
        <v>865</v>
      </c>
      <c r="D572" s="10">
        <v>3060</v>
      </c>
      <c r="E572" s="10" t="s">
        <v>920</v>
      </c>
      <c r="F572" s="11">
        <v>2050</v>
      </c>
      <c r="G572" s="11">
        <v>2180</v>
      </c>
      <c r="H572" s="11">
        <v>4230</v>
      </c>
      <c r="I572" s="11">
        <v>1680</v>
      </c>
    </row>
    <row r="573" spans="1:9" x14ac:dyDescent="0.2">
      <c r="A573" s="10">
        <v>6712</v>
      </c>
      <c r="B573" s="10">
        <v>30</v>
      </c>
      <c r="C573" s="10" t="s">
        <v>865</v>
      </c>
      <c r="D573" s="10">
        <v>3061</v>
      </c>
      <c r="E573" s="10" t="s">
        <v>921</v>
      </c>
      <c r="F573" s="11">
        <v>2422</v>
      </c>
      <c r="G573" s="11">
        <v>2515</v>
      </c>
      <c r="H573" s="11">
        <v>4937</v>
      </c>
      <c r="I573" s="11">
        <v>2804</v>
      </c>
    </row>
    <row r="574" spans="1:9" x14ac:dyDescent="0.2">
      <c r="A574" s="10">
        <v>6712</v>
      </c>
      <c r="B574" s="10">
        <v>30</v>
      </c>
      <c r="C574" s="10" t="s">
        <v>865</v>
      </c>
      <c r="D574" s="10">
        <v>3062</v>
      </c>
      <c r="E574" s="10" t="s">
        <v>922</v>
      </c>
      <c r="F574" s="11">
        <v>7536</v>
      </c>
      <c r="G574" s="11">
        <v>8510</v>
      </c>
      <c r="H574" s="11">
        <v>16046</v>
      </c>
      <c r="I574" s="11">
        <v>9816</v>
      </c>
    </row>
    <row r="575" spans="1:9" x14ac:dyDescent="0.2">
      <c r="A575" s="10">
        <v>6712</v>
      </c>
      <c r="B575" s="10">
        <v>30</v>
      </c>
      <c r="C575" s="10" t="s">
        <v>865</v>
      </c>
      <c r="D575" s="10">
        <v>3063</v>
      </c>
      <c r="E575" s="10" t="s">
        <v>923</v>
      </c>
      <c r="F575" s="11">
        <v>1915</v>
      </c>
      <c r="G575" s="11">
        <v>2105</v>
      </c>
      <c r="H575" s="11">
        <v>4020</v>
      </c>
      <c r="I575" s="11">
        <v>2308</v>
      </c>
    </row>
    <row r="576" spans="1:9" x14ac:dyDescent="0.2">
      <c r="A576" s="10">
        <v>6712</v>
      </c>
      <c r="B576" s="10">
        <v>30</v>
      </c>
      <c r="C576" s="10" t="s">
        <v>865</v>
      </c>
      <c r="D576" s="10">
        <v>3064</v>
      </c>
      <c r="E576" s="10" t="s">
        <v>924</v>
      </c>
      <c r="F576" s="11">
        <v>1945</v>
      </c>
      <c r="G576" s="11">
        <v>1648</v>
      </c>
      <c r="H576" s="11">
        <v>3593</v>
      </c>
      <c r="I576" s="11">
        <v>1774</v>
      </c>
    </row>
    <row r="577" spans="1:9" x14ac:dyDescent="0.2">
      <c r="A577" s="10">
        <v>6712</v>
      </c>
      <c r="B577" s="10">
        <v>30</v>
      </c>
      <c r="C577" s="10" t="s">
        <v>865</v>
      </c>
      <c r="D577" s="10">
        <v>3065</v>
      </c>
      <c r="E577" s="10" t="s">
        <v>925</v>
      </c>
      <c r="F577" s="11">
        <v>2095</v>
      </c>
      <c r="G577" s="11">
        <v>2262</v>
      </c>
      <c r="H577" s="11">
        <v>4357</v>
      </c>
      <c r="I577" s="11">
        <v>2381</v>
      </c>
    </row>
    <row r="578" spans="1:9" x14ac:dyDescent="0.2">
      <c r="A578" s="10">
        <v>6712</v>
      </c>
      <c r="B578" s="10">
        <v>30</v>
      </c>
      <c r="C578" s="10" t="s">
        <v>865</v>
      </c>
      <c r="D578" s="10">
        <v>3066</v>
      </c>
      <c r="E578" s="10" t="s">
        <v>926</v>
      </c>
      <c r="F578" s="11">
        <v>4551</v>
      </c>
      <c r="G578" s="11">
        <v>5073</v>
      </c>
      <c r="H578" s="11">
        <v>9624</v>
      </c>
      <c r="I578" s="11">
        <v>6482</v>
      </c>
    </row>
    <row r="579" spans="1:9" x14ac:dyDescent="0.2">
      <c r="A579" s="10">
        <v>6712</v>
      </c>
      <c r="B579" s="10">
        <v>30</v>
      </c>
      <c r="C579" s="10" t="s">
        <v>865</v>
      </c>
      <c r="D579" s="10">
        <v>3067</v>
      </c>
      <c r="E579" s="10" t="s">
        <v>927</v>
      </c>
      <c r="F579" s="11">
        <v>1263</v>
      </c>
      <c r="G579" s="11">
        <v>1422</v>
      </c>
      <c r="H579" s="11">
        <v>2685</v>
      </c>
      <c r="I579" s="11">
        <v>1545</v>
      </c>
    </row>
    <row r="580" spans="1:9" x14ac:dyDescent="0.2">
      <c r="A580" s="10">
        <v>6712</v>
      </c>
      <c r="B580" s="10">
        <v>30</v>
      </c>
      <c r="C580" s="10" t="s">
        <v>865</v>
      </c>
      <c r="D580" s="10">
        <v>3068</v>
      </c>
      <c r="E580" s="10" t="s">
        <v>928</v>
      </c>
      <c r="F580" s="11">
        <v>4155</v>
      </c>
      <c r="G580" s="11">
        <v>4430</v>
      </c>
      <c r="H580" s="11">
        <v>8585</v>
      </c>
      <c r="I580" s="11">
        <v>3953</v>
      </c>
    </row>
    <row r="581" spans="1:9" x14ac:dyDescent="0.2">
      <c r="A581" s="10">
        <v>6712</v>
      </c>
      <c r="B581" s="10">
        <v>30</v>
      </c>
      <c r="C581" s="10" t="s">
        <v>865</v>
      </c>
      <c r="D581" s="10">
        <v>3069</v>
      </c>
      <c r="E581" s="10" t="s">
        <v>929</v>
      </c>
      <c r="F581" s="11">
        <v>1355</v>
      </c>
      <c r="G581" s="11">
        <v>1373</v>
      </c>
      <c r="H581" s="11">
        <v>2728</v>
      </c>
      <c r="I581" s="10">
        <v>824</v>
      </c>
    </row>
    <row r="582" spans="1:9" x14ac:dyDescent="0.2">
      <c r="A582" s="10">
        <v>6712</v>
      </c>
      <c r="B582" s="10">
        <v>30</v>
      </c>
      <c r="C582" s="10" t="s">
        <v>865</v>
      </c>
      <c r="D582" s="10">
        <v>3070</v>
      </c>
      <c r="E582" s="10" t="s">
        <v>930</v>
      </c>
      <c r="F582" s="11">
        <v>1412</v>
      </c>
      <c r="G582" s="11">
        <v>1595</v>
      </c>
      <c r="H582" s="11">
        <v>3007</v>
      </c>
      <c r="I582" s="11">
        <v>1722</v>
      </c>
    </row>
    <row r="583" spans="1:9" x14ac:dyDescent="0.2">
      <c r="A583" s="10">
        <v>6712</v>
      </c>
      <c r="B583" s="10">
        <v>30</v>
      </c>
      <c r="C583" s="10" t="s">
        <v>865</v>
      </c>
      <c r="D583" s="10">
        <v>3071</v>
      </c>
      <c r="E583" s="10" t="s">
        <v>931</v>
      </c>
      <c r="F583" s="11">
        <v>3446</v>
      </c>
      <c r="G583" s="11">
        <v>4037</v>
      </c>
      <c r="H583" s="11">
        <v>7483</v>
      </c>
      <c r="I583" s="11">
        <v>2940</v>
      </c>
    </row>
    <row r="584" spans="1:9" x14ac:dyDescent="0.2">
      <c r="A584" s="10">
        <v>6712</v>
      </c>
      <c r="B584" s="10">
        <v>30</v>
      </c>
      <c r="C584" s="10" t="s">
        <v>865</v>
      </c>
      <c r="D584" s="10">
        <v>3072</v>
      </c>
      <c r="E584" s="10" t="s">
        <v>932</v>
      </c>
      <c r="F584" s="11">
        <v>6190</v>
      </c>
      <c r="G584" s="11">
        <v>7085</v>
      </c>
      <c r="H584" s="11">
        <v>13275</v>
      </c>
      <c r="I584" s="11">
        <v>7210</v>
      </c>
    </row>
    <row r="585" spans="1:9" x14ac:dyDescent="0.2">
      <c r="A585" s="10">
        <v>6712</v>
      </c>
      <c r="B585" s="10">
        <v>30</v>
      </c>
      <c r="C585" s="10" t="s">
        <v>865</v>
      </c>
      <c r="D585" s="10">
        <v>3073</v>
      </c>
      <c r="E585" s="10" t="s">
        <v>933</v>
      </c>
      <c r="F585" s="11">
        <v>2534</v>
      </c>
      <c r="G585" s="11">
        <v>2644</v>
      </c>
      <c r="H585" s="11">
        <v>5178</v>
      </c>
      <c r="I585" s="11">
        <v>2004</v>
      </c>
    </row>
    <row r="586" spans="1:9" x14ac:dyDescent="0.2">
      <c r="A586" s="10">
        <v>6712</v>
      </c>
      <c r="B586" s="10">
        <v>30</v>
      </c>
      <c r="C586" s="10" t="s">
        <v>865</v>
      </c>
      <c r="D586" s="10">
        <v>3074</v>
      </c>
      <c r="E586" s="10" t="s">
        <v>934</v>
      </c>
      <c r="F586" s="11">
        <v>2899</v>
      </c>
      <c r="G586" s="11">
        <v>3031</v>
      </c>
      <c r="H586" s="11">
        <v>5930</v>
      </c>
      <c r="I586" s="11">
        <v>3224</v>
      </c>
    </row>
    <row r="587" spans="1:9" x14ac:dyDescent="0.2">
      <c r="A587" s="10">
        <v>6712</v>
      </c>
      <c r="B587" s="10">
        <v>30</v>
      </c>
      <c r="C587" s="10" t="s">
        <v>865</v>
      </c>
      <c r="D587" s="10">
        <v>3075</v>
      </c>
      <c r="E587" s="10" t="s">
        <v>935</v>
      </c>
      <c r="F587" s="11">
        <v>2220</v>
      </c>
      <c r="G587" s="11">
        <v>2209</v>
      </c>
      <c r="H587" s="11">
        <v>4429</v>
      </c>
      <c r="I587" s="11">
        <v>1517</v>
      </c>
    </row>
    <row r="588" spans="1:9" x14ac:dyDescent="0.2">
      <c r="A588" s="10">
        <v>6712</v>
      </c>
      <c r="B588" s="10">
        <v>30</v>
      </c>
      <c r="C588" s="10" t="s">
        <v>865</v>
      </c>
      <c r="D588" s="10">
        <v>3076</v>
      </c>
      <c r="E588" s="10" t="s">
        <v>936</v>
      </c>
      <c r="F588" s="11">
        <v>2379</v>
      </c>
      <c r="G588" s="11">
        <v>2606</v>
      </c>
      <c r="H588" s="11">
        <v>4985</v>
      </c>
      <c r="I588" s="11">
        <v>1981</v>
      </c>
    </row>
    <row r="589" spans="1:9" x14ac:dyDescent="0.2">
      <c r="A589" s="10">
        <v>6712</v>
      </c>
      <c r="B589" s="10">
        <v>30</v>
      </c>
      <c r="C589" s="10" t="s">
        <v>865</v>
      </c>
      <c r="D589" s="10">
        <v>3077</v>
      </c>
      <c r="E589" s="10" t="s">
        <v>937</v>
      </c>
      <c r="F589" s="10">
        <v>941</v>
      </c>
      <c r="G589" s="10">
        <v>938</v>
      </c>
      <c r="H589" s="11">
        <v>1879</v>
      </c>
      <c r="I589" s="10">
        <v>621</v>
      </c>
    </row>
    <row r="590" spans="1:9" x14ac:dyDescent="0.2">
      <c r="A590" s="10">
        <v>6712</v>
      </c>
      <c r="B590" s="10">
        <v>30</v>
      </c>
      <c r="C590" s="10" t="s">
        <v>865</v>
      </c>
      <c r="D590" s="10">
        <v>3078</v>
      </c>
      <c r="E590" s="10" t="s">
        <v>938</v>
      </c>
      <c r="F590" s="11">
        <v>1507</v>
      </c>
      <c r="G590" s="11">
        <v>1689</v>
      </c>
      <c r="H590" s="11">
        <v>3196</v>
      </c>
      <c r="I590" s="11">
        <v>1382</v>
      </c>
    </row>
    <row r="591" spans="1:9" x14ac:dyDescent="0.2">
      <c r="A591" s="10">
        <v>6712</v>
      </c>
      <c r="B591" s="10">
        <v>30</v>
      </c>
      <c r="C591" s="10" t="s">
        <v>865</v>
      </c>
      <c r="D591" s="10">
        <v>3079</v>
      </c>
      <c r="E591" s="10" t="s">
        <v>939</v>
      </c>
      <c r="F591" s="11">
        <v>1369</v>
      </c>
      <c r="G591" s="11">
        <v>1590</v>
      </c>
      <c r="H591" s="11">
        <v>2959</v>
      </c>
      <c r="I591" s="11">
        <v>1413</v>
      </c>
    </row>
    <row r="592" spans="1:9" x14ac:dyDescent="0.2">
      <c r="A592" s="10">
        <v>6712</v>
      </c>
      <c r="B592" s="10">
        <v>30</v>
      </c>
      <c r="C592" s="10" t="s">
        <v>865</v>
      </c>
      <c r="D592" s="10">
        <v>3080</v>
      </c>
      <c r="E592" s="10" t="s">
        <v>940</v>
      </c>
      <c r="F592" s="11">
        <v>2484</v>
      </c>
      <c r="G592" s="11">
        <v>2631</v>
      </c>
      <c r="H592" s="11">
        <v>5115</v>
      </c>
      <c r="I592" s="11">
        <v>1869</v>
      </c>
    </row>
    <row r="593" spans="1:9" x14ac:dyDescent="0.2">
      <c r="A593" s="10">
        <v>6712</v>
      </c>
      <c r="B593" s="10">
        <v>30</v>
      </c>
      <c r="C593" s="10" t="s">
        <v>865</v>
      </c>
      <c r="D593" s="10">
        <v>3081</v>
      </c>
      <c r="E593" s="10" t="s">
        <v>941</v>
      </c>
      <c r="F593" s="11">
        <v>1935</v>
      </c>
      <c r="G593" s="11">
        <v>2088</v>
      </c>
      <c r="H593" s="11">
        <v>4023</v>
      </c>
      <c r="I593" s="11">
        <v>1405</v>
      </c>
    </row>
    <row r="594" spans="1:9" x14ac:dyDescent="0.2">
      <c r="A594" s="10">
        <v>6712</v>
      </c>
      <c r="B594" s="10">
        <v>30</v>
      </c>
      <c r="C594" s="10" t="s">
        <v>865</v>
      </c>
      <c r="D594" s="10">
        <v>3082</v>
      </c>
      <c r="E594" s="10" t="s">
        <v>942</v>
      </c>
      <c r="F594" s="11">
        <v>2765</v>
      </c>
      <c r="G594" s="11">
        <v>3197</v>
      </c>
      <c r="H594" s="11">
        <v>5962</v>
      </c>
      <c r="I594" s="11">
        <v>4132</v>
      </c>
    </row>
    <row r="595" spans="1:9" x14ac:dyDescent="0.2">
      <c r="A595" s="10">
        <v>6712</v>
      </c>
      <c r="B595" s="10">
        <v>30</v>
      </c>
      <c r="C595" s="10" t="s">
        <v>865</v>
      </c>
      <c r="D595" s="10">
        <v>3083</v>
      </c>
      <c r="E595" s="10" t="s">
        <v>943</v>
      </c>
      <c r="F595" s="11">
        <v>4794</v>
      </c>
      <c r="G595" s="11">
        <v>5107</v>
      </c>
      <c r="H595" s="11">
        <v>9901</v>
      </c>
      <c r="I595" s="11">
        <v>4640</v>
      </c>
    </row>
    <row r="596" spans="1:9" x14ac:dyDescent="0.2">
      <c r="A596" s="10">
        <v>6712</v>
      </c>
      <c r="B596" s="10">
        <v>30</v>
      </c>
      <c r="C596" s="10" t="s">
        <v>865</v>
      </c>
      <c r="D596" s="10">
        <v>3084</v>
      </c>
      <c r="E596" s="10" t="s">
        <v>944</v>
      </c>
      <c r="F596" s="11">
        <v>5869</v>
      </c>
      <c r="G596" s="11">
        <v>6500</v>
      </c>
      <c r="H596" s="11">
        <v>12369</v>
      </c>
      <c r="I596" s="11">
        <v>5709</v>
      </c>
    </row>
    <row r="597" spans="1:9" x14ac:dyDescent="0.2">
      <c r="A597" s="10">
        <v>6712</v>
      </c>
      <c r="B597" s="10">
        <v>30</v>
      </c>
      <c r="C597" s="10" t="s">
        <v>865</v>
      </c>
      <c r="D597" s="10">
        <v>3085</v>
      </c>
      <c r="E597" s="10" t="s">
        <v>945</v>
      </c>
      <c r="F597" s="11">
        <v>1785</v>
      </c>
      <c r="G597" s="11">
        <v>1968</v>
      </c>
      <c r="H597" s="11">
        <v>3753</v>
      </c>
      <c r="I597" s="11">
        <v>1705</v>
      </c>
    </row>
    <row r="598" spans="1:9" x14ac:dyDescent="0.2">
      <c r="A598" s="10">
        <v>6712</v>
      </c>
      <c r="B598" s="10">
        <v>30</v>
      </c>
      <c r="C598" s="10" t="s">
        <v>865</v>
      </c>
      <c r="D598" s="10">
        <v>3086</v>
      </c>
      <c r="E598" s="10" t="s">
        <v>946</v>
      </c>
      <c r="F598" s="11">
        <v>1560</v>
      </c>
      <c r="G598" s="11">
        <v>1790</v>
      </c>
      <c r="H598" s="11">
        <v>3350</v>
      </c>
      <c r="I598" s="11">
        <v>1287</v>
      </c>
    </row>
    <row r="599" spans="1:9" x14ac:dyDescent="0.2">
      <c r="A599" s="10">
        <v>6712</v>
      </c>
      <c r="B599" s="10">
        <v>30</v>
      </c>
      <c r="C599" s="10" t="s">
        <v>865</v>
      </c>
      <c r="D599" s="10">
        <v>3087</v>
      </c>
      <c r="E599" s="10" t="s">
        <v>947</v>
      </c>
      <c r="F599" s="11">
        <v>1026</v>
      </c>
      <c r="G599" s="11">
        <v>1140</v>
      </c>
      <c r="H599" s="11">
        <v>2166</v>
      </c>
      <c r="I599" s="11">
        <v>1010</v>
      </c>
    </row>
    <row r="600" spans="1:9" x14ac:dyDescent="0.2">
      <c r="A600" s="10">
        <v>6712</v>
      </c>
      <c r="B600" s="10">
        <v>30</v>
      </c>
      <c r="C600" s="10" t="s">
        <v>865</v>
      </c>
      <c r="D600" s="10">
        <v>3088</v>
      </c>
      <c r="E600" s="10" t="s">
        <v>948</v>
      </c>
      <c r="F600" s="11">
        <v>1307</v>
      </c>
      <c r="G600" s="11">
        <v>1381</v>
      </c>
      <c r="H600" s="11">
        <v>2688</v>
      </c>
      <c r="I600" s="10">
        <v>913</v>
      </c>
    </row>
    <row r="601" spans="1:9" x14ac:dyDescent="0.2">
      <c r="A601" s="10">
        <v>6712</v>
      </c>
      <c r="B601" s="10">
        <v>30</v>
      </c>
      <c r="C601" s="10" t="s">
        <v>865</v>
      </c>
      <c r="D601" s="10">
        <v>3089</v>
      </c>
      <c r="E601" s="10" t="s">
        <v>949</v>
      </c>
      <c r="F601" s="11">
        <v>3613</v>
      </c>
      <c r="G601" s="11">
        <v>3857</v>
      </c>
      <c r="H601" s="11">
        <v>7470</v>
      </c>
      <c r="I601" s="11">
        <v>3350</v>
      </c>
    </row>
    <row r="602" spans="1:9" x14ac:dyDescent="0.2">
      <c r="A602" s="10">
        <v>6712</v>
      </c>
      <c r="B602" s="10">
        <v>30</v>
      </c>
      <c r="C602" s="10" t="s">
        <v>865</v>
      </c>
      <c r="D602" s="10">
        <v>3090</v>
      </c>
      <c r="E602" s="10" t="s">
        <v>950</v>
      </c>
      <c r="F602" s="11">
        <v>2799</v>
      </c>
      <c r="G602" s="11">
        <v>2879</v>
      </c>
      <c r="H602" s="11">
        <v>5678</v>
      </c>
      <c r="I602" s="11">
        <v>1869</v>
      </c>
    </row>
    <row r="603" spans="1:9" x14ac:dyDescent="0.2">
      <c r="A603" s="10">
        <v>6712</v>
      </c>
      <c r="B603" s="10">
        <v>30</v>
      </c>
      <c r="C603" s="10" t="s">
        <v>865</v>
      </c>
      <c r="D603" s="10">
        <v>3091</v>
      </c>
      <c r="E603" s="10" t="s">
        <v>951</v>
      </c>
      <c r="F603" s="11">
        <v>1794</v>
      </c>
      <c r="G603" s="11">
        <v>1858</v>
      </c>
      <c r="H603" s="11">
        <v>3652</v>
      </c>
      <c r="I603" s="11">
        <v>1207</v>
      </c>
    </row>
    <row r="604" spans="1:9" x14ac:dyDescent="0.2">
      <c r="A604" s="10">
        <v>6712</v>
      </c>
      <c r="B604" s="10">
        <v>30</v>
      </c>
      <c r="C604" s="10" t="s">
        <v>865</v>
      </c>
      <c r="D604" s="10">
        <v>3092</v>
      </c>
      <c r="E604" s="10" t="s">
        <v>952</v>
      </c>
      <c r="F604" s="11">
        <v>2625</v>
      </c>
      <c r="G604" s="11">
        <v>3016</v>
      </c>
      <c r="H604" s="11">
        <v>5641</v>
      </c>
      <c r="I604" s="11">
        <v>3088</v>
      </c>
    </row>
    <row r="605" spans="1:9" x14ac:dyDescent="0.2">
      <c r="A605" s="10">
        <v>6712</v>
      </c>
      <c r="B605" s="10">
        <v>30</v>
      </c>
      <c r="C605" s="10" t="s">
        <v>865</v>
      </c>
      <c r="D605" s="10">
        <v>3093</v>
      </c>
      <c r="E605" s="10" t="s">
        <v>953</v>
      </c>
      <c r="F605" s="11">
        <v>2836</v>
      </c>
      <c r="G605" s="11">
        <v>3166</v>
      </c>
      <c r="H605" s="11">
        <v>6002</v>
      </c>
      <c r="I605" s="11">
        <v>2511</v>
      </c>
    </row>
    <row r="606" spans="1:9" x14ac:dyDescent="0.2">
      <c r="A606" s="10">
        <v>6712</v>
      </c>
      <c r="B606" s="10">
        <v>30</v>
      </c>
      <c r="C606" s="10" t="s">
        <v>865</v>
      </c>
      <c r="D606" s="10">
        <v>3094</v>
      </c>
      <c r="E606" s="10" t="s">
        <v>954</v>
      </c>
      <c r="F606" s="11">
        <v>8412</v>
      </c>
      <c r="G606" s="11">
        <v>8782</v>
      </c>
      <c r="H606" s="11">
        <v>17194</v>
      </c>
      <c r="I606" s="11">
        <v>10395</v>
      </c>
    </row>
    <row r="607" spans="1:9" x14ac:dyDescent="0.2">
      <c r="A607" s="10">
        <v>6712</v>
      </c>
      <c r="B607" s="10">
        <v>30</v>
      </c>
      <c r="C607" s="10" t="s">
        <v>865</v>
      </c>
      <c r="D607" s="10">
        <v>3095</v>
      </c>
      <c r="E607" s="10" t="s">
        <v>955</v>
      </c>
      <c r="F607" s="11">
        <v>3215</v>
      </c>
      <c r="G607" s="11">
        <v>3745</v>
      </c>
      <c r="H607" s="11">
        <v>6960</v>
      </c>
      <c r="I607" s="11">
        <v>4784</v>
      </c>
    </row>
    <row r="608" spans="1:9" x14ac:dyDescent="0.2">
      <c r="A608" s="10">
        <v>6712</v>
      </c>
      <c r="B608" s="10">
        <v>30</v>
      </c>
      <c r="C608" s="10" t="s">
        <v>865</v>
      </c>
      <c r="D608" s="10">
        <v>3096</v>
      </c>
      <c r="E608" s="10" t="s">
        <v>956</v>
      </c>
      <c r="F608" s="11">
        <v>4472</v>
      </c>
      <c r="G608" s="11">
        <v>4817</v>
      </c>
      <c r="H608" s="11">
        <v>9289</v>
      </c>
      <c r="I608" s="11">
        <v>4176</v>
      </c>
    </row>
    <row r="609" spans="1:9" x14ac:dyDescent="0.2">
      <c r="A609" s="10">
        <v>6712</v>
      </c>
      <c r="B609" s="10">
        <v>30</v>
      </c>
      <c r="C609" s="10" t="s">
        <v>865</v>
      </c>
      <c r="D609" s="10">
        <v>3097</v>
      </c>
      <c r="E609" s="10" t="s">
        <v>957</v>
      </c>
      <c r="F609" s="11">
        <v>6207</v>
      </c>
      <c r="G609" s="11">
        <v>6813</v>
      </c>
      <c r="H609" s="11">
        <v>13020</v>
      </c>
      <c r="I609" s="11">
        <v>7403</v>
      </c>
    </row>
    <row r="610" spans="1:9" x14ac:dyDescent="0.2">
      <c r="A610" s="10">
        <v>6712</v>
      </c>
      <c r="B610" s="10">
        <v>30</v>
      </c>
      <c r="C610" s="10" t="s">
        <v>865</v>
      </c>
      <c r="D610" s="10">
        <v>3098</v>
      </c>
      <c r="E610" s="10" t="s">
        <v>958</v>
      </c>
      <c r="F610" s="11">
        <v>15025</v>
      </c>
      <c r="G610" s="11">
        <v>16995</v>
      </c>
      <c r="H610" s="11">
        <v>32020</v>
      </c>
      <c r="I610" s="11">
        <v>19408</v>
      </c>
    </row>
    <row r="611" spans="1:9" x14ac:dyDescent="0.2">
      <c r="A611" s="10">
        <v>6712</v>
      </c>
      <c r="B611" s="10">
        <v>30</v>
      </c>
      <c r="C611" s="10" t="s">
        <v>865</v>
      </c>
      <c r="D611" s="10">
        <v>3099</v>
      </c>
      <c r="E611" s="10" t="s">
        <v>959</v>
      </c>
      <c r="F611" s="11">
        <v>52544</v>
      </c>
      <c r="G611" s="11">
        <v>60640</v>
      </c>
      <c r="H611" s="11">
        <v>113184</v>
      </c>
      <c r="I611" s="11">
        <v>73265</v>
      </c>
    </row>
    <row r="612" spans="1:9" x14ac:dyDescent="0.2">
      <c r="A612" s="10">
        <v>6712</v>
      </c>
      <c r="B612" s="10">
        <v>31</v>
      </c>
      <c r="C612" s="10" t="s">
        <v>960</v>
      </c>
      <c r="D612" s="10">
        <v>3101</v>
      </c>
      <c r="E612" s="10" t="s">
        <v>961</v>
      </c>
      <c r="F612" s="11">
        <v>83803</v>
      </c>
      <c r="G612" s="11">
        <v>86137</v>
      </c>
      <c r="H612" s="11">
        <v>169940</v>
      </c>
      <c r="I612" s="11">
        <v>53568</v>
      </c>
    </row>
    <row r="613" spans="1:9" x14ac:dyDescent="0.2">
      <c r="A613" s="10">
        <v>6712</v>
      </c>
      <c r="B613" s="10">
        <v>31</v>
      </c>
      <c r="C613" s="10" t="s">
        <v>960</v>
      </c>
      <c r="D613" s="10">
        <v>3102</v>
      </c>
      <c r="E613" s="10" t="s">
        <v>962</v>
      </c>
      <c r="F613" s="11">
        <v>29318</v>
      </c>
      <c r="G613" s="11">
        <v>29279</v>
      </c>
      <c r="H613" s="11">
        <v>58597</v>
      </c>
      <c r="I613" s="11">
        <v>16997</v>
      </c>
    </row>
    <row r="614" spans="1:9" x14ac:dyDescent="0.2">
      <c r="A614" s="10">
        <v>6712</v>
      </c>
      <c r="B614" s="10">
        <v>31</v>
      </c>
      <c r="C614" s="10" t="s">
        <v>960</v>
      </c>
      <c r="D614" s="10">
        <v>3103</v>
      </c>
      <c r="E614" s="10" t="s">
        <v>963</v>
      </c>
      <c r="F614" s="11">
        <v>49754</v>
      </c>
      <c r="G614" s="11">
        <v>50951</v>
      </c>
      <c r="H614" s="11">
        <v>100705</v>
      </c>
      <c r="I614" s="11">
        <v>27512</v>
      </c>
    </row>
    <row r="615" spans="1:9" x14ac:dyDescent="0.2">
      <c r="A615" s="10">
        <v>6712</v>
      </c>
      <c r="B615" s="10">
        <v>31</v>
      </c>
      <c r="C615" s="10" t="s">
        <v>960</v>
      </c>
      <c r="D615" s="10">
        <v>3104</v>
      </c>
      <c r="E615" s="10" t="s">
        <v>964</v>
      </c>
      <c r="F615" s="11">
        <v>45649</v>
      </c>
      <c r="G615" s="11">
        <v>47137</v>
      </c>
      <c r="H615" s="11">
        <v>92786</v>
      </c>
      <c r="I615" s="11">
        <v>27856</v>
      </c>
    </row>
    <row r="616" spans="1:9" x14ac:dyDescent="0.2">
      <c r="A616" s="10">
        <v>6712</v>
      </c>
      <c r="B616" s="10">
        <v>31</v>
      </c>
      <c r="C616" s="10" t="s">
        <v>960</v>
      </c>
      <c r="D616" s="10">
        <v>3105</v>
      </c>
      <c r="E616" s="10" t="s">
        <v>965</v>
      </c>
      <c r="F616" s="11">
        <v>28659</v>
      </c>
      <c r="G616" s="11">
        <v>28443</v>
      </c>
      <c r="H616" s="11">
        <v>57102</v>
      </c>
      <c r="I616" s="11">
        <v>16177</v>
      </c>
    </row>
    <row r="617" spans="1:9" x14ac:dyDescent="0.2">
      <c r="A617" s="10">
        <v>6712</v>
      </c>
      <c r="B617" s="10">
        <v>31</v>
      </c>
      <c r="C617" s="10" t="s">
        <v>960</v>
      </c>
      <c r="D617" s="10">
        <v>3106</v>
      </c>
      <c r="E617" s="10" t="s">
        <v>966</v>
      </c>
      <c r="F617" s="11">
        <v>9654</v>
      </c>
      <c r="G617" s="11">
        <v>9699</v>
      </c>
      <c r="H617" s="11">
        <v>19353</v>
      </c>
      <c r="I617" s="11">
        <v>6099</v>
      </c>
    </row>
    <row r="618" spans="1:9" x14ac:dyDescent="0.2">
      <c r="A618" s="10">
        <v>6712</v>
      </c>
      <c r="B618" s="10">
        <v>31</v>
      </c>
      <c r="C618" s="10" t="s">
        <v>960</v>
      </c>
      <c r="D618" s="10">
        <v>3107</v>
      </c>
      <c r="E618" s="10" t="s">
        <v>967</v>
      </c>
      <c r="F618" s="11">
        <v>61874</v>
      </c>
      <c r="G618" s="11">
        <v>62752</v>
      </c>
      <c r="H618" s="11">
        <v>124626</v>
      </c>
      <c r="I618" s="11">
        <v>38673</v>
      </c>
    </row>
    <row r="619" spans="1:9" x14ac:dyDescent="0.2">
      <c r="A619" s="10">
        <v>6712</v>
      </c>
      <c r="B619" s="10">
        <v>31</v>
      </c>
      <c r="C619" s="10" t="s">
        <v>960</v>
      </c>
      <c r="D619" s="10">
        <v>3108</v>
      </c>
      <c r="E619" s="10" t="s">
        <v>968</v>
      </c>
      <c r="F619" s="11">
        <v>20318</v>
      </c>
      <c r="G619" s="11">
        <v>20503</v>
      </c>
      <c r="H619" s="11">
        <v>40821</v>
      </c>
      <c r="I619" s="11">
        <v>11926</v>
      </c>
    </row>
    <row r="620" spans="1:9" x14ac:dyDescent="0.2">
      <c r="A620" s="10">
        <v>6712</v>
      </c>
      <c r="B620" s="10">
        <v>31</v>
      </c>
      <c r="C620" s="10" t="s">
        <v>960</v>
      </c>
      <c r="D620" s="10">
        <v>3109</v>
      </c>
      <c r="E620" s="10" t="s">
        <v>969</v>
      </c>
      <c r="F620" s="11">
        <v>19972</v>
      </c>
      <c r="G620" s="11">
        <v>20979</v>
      </c>
      <c r="H620" s="11">
        <v>40951</v>
      </c>
      <c r="I620" s="11">
        <v>12887</v>
      </c>
    </row>
    <row r="621" spans="1:9" x14ac:dyDescent="0.2">
      <c r="A621" s="10">
        <v>6712</v>
      </c>
      <c r="B621" s="10">
        <v>31</v>
      </c>
      <c r="C621" s="10" t="s">
        <v>960</v>
      </c>
      <c r="D621" s="10">
        <v>3110</v>
      </c>
      <c r="E621" s="10" t="s">
        <v>970</v>
      </c>
      <c r="F621" s="11">
        <v>56431</v>
      </c>
      <c r="G621" s="11">
        <v>56820</v>
      </c>
      <c r="H621" s="11">
        <v>113251</v>
      </c>
      <c r="I621" s="11">
        <v>32571</v>
      </c>
    </row>
    <row r="622" spans="1:9" x14ac:dyDescent="0.2">
      <c r="A622" s="10">
        <v>6712</v>
      </c>
      <c r="B622" s="10">
        <v>31</v>
      </c>
      <c r="C622" s="10" t="s">
        <v>960</v>
      </c>
      <c r="D622" s="10">
        <v>3111</v>
      </c>
      <c r="E622" s="10" t="s">
        <v>971</v>
      </c>
      <c r="F622" s="11">
        <v>48724</v>
      </c>
      <c r="G622" s="11">
        <v>49075</v>
      </c>
      <c r="H622" s="11">
        <v>97799</v>
      </c>
      <c r="I622" s="11">
        <v>28402</v>
      </c>
    </row>
    <row r="623" spans="1:9" x14ac:dyDescent="0.2">
      <c r="A623" s="10">
        <v>6712</v>
      </c>
      <c r="B623" s="10">
        <v>31</v>
      </c>
      <c r="C623" s="10" t="s">
        <v>960</v>
      </c>
      <c r="D623" s="10">
        <v>3112</v>
      </c>
      <c r="E623" s="10" t="s">
        <v>972</v>
      </c>
      <c r="F623" s="11">
        <v>19033</v>
      </c>
      <c r="G623" s="11">
        <v>18954</v>
      </c>
      <c r="H623" s="11">
        <v>37987</v>
      </c>
      <c r="I623" s="11">
        <v>12268</v>
      </c>
    </row>
    <row r="624" spans="1:9" x14ac:dyDescent="0.2">
      <c r="A624" s="10">
        <v>6712</v>
      </c>
      <c r="B624" s="10">
        <v>31</v>
      </c>
      <c r="C624" s="10" t="s">
        <v>960</v>
      </c>
      <c r="D624" s="10">
        <v>3113</v>
      </c>
      <c r="E624" s="10" t="s">
        <v>973</v>
      </c>
      <c r="F624" s="11">
        <v>13722</v>
      </c>
      <c r="G624" s="11">
        <v>14206</v>
      </c>
      <c r="H624" s="11">
        <v>27928</v>
      </c>
      <c r="I624" s="11">
        <v>8289</v>
      </c>
    </row>
    <row r="625" spans="1:9" x14ac:dyDescent="0.2">
      <c r="A625" s="10">
        <v>6712</v>
      </c>
      <c r="B625" s="10">
        <v>31</v>
      </c>
      <c r="C625" s="10" t="s">
        <v>960</v>
      </c>
      <c r="D625" s="10">
        <v>3114</v>
      </c>
      <c r="E625" s="10" t="s">
        <v>974</v>
      </c>
      <c r="F625" s="11">
        <v>17663</v>
      </c>
      <c r="G625" s="11">
        <v>17493</v>
      </c>
      <c r="H625" s="11">
        <v>35156</v>
      </c>
      <c r="I625" s="11">
        <v>9778</v>
      </c>
    </row>
    <row r="626" spans="1:9" x14ac:dyDescent="0.2">
      <c r="A626" s="10">
        <v>6712</v>
      </c>
      <c r="B626" s="10">
        <v>31</v>
      </c>
      <c r="C626" s="10" t="s">
        <v>960</v>
      </c>
      <c r="D626" s="10">
        <v>3115</v>
      </c>
      <c r="E626" s="10" t="s">
        <v>975</v>
      </c>
      <c r="F626" s="11">
        <v>14032</v>
      </c>
      <c r="G626" s="11">
        <v>13722</v>
      </c>
      <c r="H626" s="11">
        <v>27754</v>
      </c>
      <c r="I626" s="11">
        <v>7589</v>
      </c>
    </row>
    <row r="627" spans="1:9" x14ac:dyDescent="0.2">
      <c r="A627" s="10">
        <v>6712</v>
      </c>
      <c r="B627" s="10">
        <v>31</v>
      </c>
      <c r="C627" s="10" t="s">
        <v>960</v>
      </c>
      <c r="D627" s="10">
        <v>3116</v>
      </c>
      <c r="E627" s="10" t="s">
        <v>976</v>
      </c>
      <c r="F627" s="11">
        <v>16032</v>
      </c>
      <c r="G627" s="11">
        <v>16324</v>
      </c>
      <c r="H627" s="11">
        <v>32356</v>
      </c>
      <c r="I627" s="11">
        <v>8675</v>
      </c>
    </row>
    <row r="628" spans="1:9" x14ac:dyDescent="0.2">
      <c r="A628" s="10">
        <v>6712</v>
      </c>
      <c r="B628" s="10">
        <v>31</v>
      </c>
      <c r="C628" s="10" t="s">
        <v>960</v>
      </c>
      <c r="D628" s="10">
        <v>3117</v>
      </c>
      <c r="E628" s="10" t="s">
        <v>977</v>
      </c>
      <c r="F628" s="11">
        <v>10899</v>
      </c>
      <c r="G628" s="11">
        <v>10916</v>
      </c>
      <c r="H628" s="11">
        <v>21815</v>
      </c>
      <c r="I628" s="11">
        <v>6706</v>
      </c>
    </row>
    <row r="629" spans="1:9" x14ac:dyDescent="0.2">
      <c r="A629" s="10">
        <v>6712</v>
      </c>
      <c r="B629" s="10">
        <v>31</v>
      </c>
      <c r="C629" s="10" t="s">
        <v>960</v>
      </c>
      <c r="D629" s="10">
        <v>3118</v>
      </c>
      <c r="E629" s="10" t="s">
        <v>978</v>
      </c>
      <c r="F629" s="11">
        <v>17457</v>
      </c>
      <c r="G629" s="11">
        <v>17614</v>
      </c>
      <c r="H629" s="11">
        <v>35071</v>
      </c>
      <c r="I629" s="11">
        <v>9561</v>
      </c>
    </row>
    <row r="630" spans="1:9" x14ac:dyDescent="0.2">
      <c r="A630" s="10">
        <v>6712</v>
      </c>
      <c r="B630" s="10">
        <v>31</v>
      </c>
      <c r="C630" s="10" t="s">
        <v>960</v>
      </c>
      <c r="D630" s="10">
        <v>3119</v>
      </c>
      <c r="E630" s="10" t="s">
        <v>979</v>
      </c>
      <c r="F630" s="11">
        <v>10671</v>
      </c>
      <c r="G630" s="11">
        <v>10998</v>
      </c>
      <c r="H630" s="11">
        <v>21669</v>
      </c>
      <c r="I630" s="11">
        <v>6364</v>
      </c>
    </row>
    <row r="631" spans="1:9" x14ac:dyDescent="0.2">
      <c r="A631" s="10">
        <v>6712</v>
      </c>
      <c r="B631" s="10">
        <v>31</v>
      </c>
      <c r="C631" s="10" t="s">
        <v>960</v>
      </c>
      <c r="D631" s="10">
        <v>3120</v>
      </c>
      <c r="E631" s="10" t="s">
        <v>980</v>
      </c>
      <c r="F631" s="11">
        <v>9334</v>
      </c>
      <c r="G631" s="11">
        <v>9288</v>
      </c>
      <c r="H631" s="11">
        <v>18622</v>
      </c>
      <c r="I631" s="11">
        <v>5981</v>
      </c>
    </row>
    <row r="632" spans="1:9" x14ac:dyDescent="0.2">
      <c r="A632" s="10">
        <v>6712</v>
      </c>
      <c r="B632" s="10">
        <v>31</v>
      </c>
      <c r="C632" s="10" t="s">
        <v>960</v>
      </c>
      <c r="D632" s="10">
        <v>3121</v>
      </c>
      <c r="E632" s="10" t="s">
        <v>981</v>
      </c>
      <c r="F632" s="11">
        <v>9147</v>
      </c>
      <c r="G632" s="11">
        <v>9473</v>
      </c>
      <c r="H632" s="11">
        <v>18620</v>
      </c>
      <c r="I632" s="11">
        <v>4828</v>
      </c>
    </row>
    <row r="633" spans="1:9" x14ac:dyDescent="0.2">
      <c r="A633" s="10">
        <v>6712</v>
      </c>
      <c r="B633" s="10">
        <v>31</v>
      </c>
      <c r="C633" s="10" t="s">
        <v>960</v>
      </c>
      <c r="D633" s="10">
        <v>3122</v>
      </c>
      <c r="E633" s="10" t="s">
        <v>982</v>
      </c>
      <c r="F633" s="11">
        <v>13207</v>
      </c>
      <c r="G633" s="11">
        <v>13437</v>
      </c>
      <c r="H633" s="11">
        <v>26644</v>
      </c>
      <c r="I633" s="11">
        <v>7668</v>
      </c>
    </row>
    <row r="634" spans="1:9" x14ac:dyDescent="0.2">
      <c r="A634" s="10">
        <v>6712</v>
      </c>
      <c r="B634" s="10">
        <v>31</v>
      </c>
      <c r="C634" s="10" t="s">
        <v>960</v>
      </c>
      <c r="D634" s="10">
        <v>3123</v>
      </c>
      <c r="E634" s="10" t="s">
        <v>615</v>
      </c>
      <c r="F634" s="11">
        <v>5997</v>
      </c>
      <c r="G634" s="11">
        <v>6036</v>
      </c>
      <c r="H634" s="11">
        <v>12033</v>
      </c>
      <c r="I634" s="11">
        <v>3697</v>
      </c>
    </row>
    <row r="635" spans="1:9" x14ac:dyDescent="0.2">
      <c r="A635" s="10">
        <v>6712</v>
      </c>
      <c r="B635" s="10">
        <v>31</v>
      </c>
      <c r="C635" s="10" t="s">
        <v>960</v>
      </c>
      <c r="D635" s="10">
        <v>3162</v>
      </c>
      <c r="E635" s="10" t="s">
        <v>983</v>
      </c>
      <c r="F635" s="11">
        <v>5139</v>
      </c>
      <c r="G635" s="11">
        <v>5248</v>
      </c>
      <c r="H635" s="11">
        <v>10387</v>
      </c>
      <c r="I635" s="11">
        <v>3072</v>
      </c>
    </row>
    <row r="636" spans="1:9" x14ac:dyDescent="0.2">
      <c r="A636" s="10">
        <v>6712</v>
      </c>
      <c r="B636" s="10">
        <v>31</v>
      </c>
      <c r="C636" s="10" t="s">
        <v>960</v>
      </c>
      <c r="D636" s="10">
        <v>3163</v>
      </c>
      <c r="E636" s="10" t="s">
        <v>984</v>
      </c>
      <c r="F636" s="11">
        <v>4815</v>
      </c>
      <c r="G636" s="11">
        <v>4908</v>
      </c>
      <c r="H636" s="11">
        <v>9723</v>
      </c>
      <c r="I636" s="11">
        <v>2828</v>
      </c>
    </row>
    <row r="637" spans="1:9" x14ac:dyDescent="0.2">
      <c r="A637" s="10">
        <v>6712</v>
      </c>
      <c r="B637" s="10">
        <v>31</v>
      </c>
      <c r="C637" s="10" t="s">
        <v>960</v>
      </c>
      <c r="D637" s="10">
        <v>3164</v>
      </c>
      <c r="E637" s="10" t="s">
        <v>985</v>
      </c>
      <c r="F637" s="11">
        <v>6284</v>
      </c>
      <c r="G637" s="11">
        <v>6268</v>
      </c>
      <c r="H637" s="11">
        <v>12552</v>
      </c>
      <c r="I637" s="11">
        <v>3912</v>
      </c>
    </row>
    <row r="638" spans="1:9" x14ac:dyDescent="0.2">
      <c r="A638" s="10">
        <v>6712</v>
      </c>
      <c r="B638" s="10">
        <v>31</v>
      </c>
      <c r="C638" s="10" t="s">
        <v>960</v>
      </c>
      <c r="D638" s="10">
        <v>3165</v>
      </c>
      <c r="E638" s="10" t="s">
        <v>986</v>
      </c>
      <c r="F638" s="11">
        <v>3879</v>
      </c>
      <c r="G638" s="11">
        <v>3953</v>
      </c>
      <c r="H638" s="11">
        <v>7832</v>
      </c>
      <c r="I638" s="11">
        <v>2513</v>
      </c>
    </row>
    <row r="639" spans="1:9" x14ac:dyDescent="0.2">
      <c r="A639" s="10">
        <v>6712</v>
      </c>
      <c r="B639" s="10">
        <v>31</v>
      </c>
      <c r="C639" s="10" t="s">
        <v>960</v>
      </c>
      <c r="D639" s="10">
        <v>3166</v>
      </c>
      <c r="E639" s="10" t="s">
        <v>987</v>
      </c>
      <c r="F639" s="11">
        <v>8416</v>
      </c>
      <c r="G639" s="11">
        <v>8339</v>
      </c>
      <c r="H639" s="11">
        <v>16755</v>
      </c>
      <c r="I639" s="11">
        <v>4408</v>
      </c>
    </row>
    <row r="640" spans="1:9" x14ac:dyDescent="0.2">
      <c r="A640" s="10">
        <v>6712</v>
      </c>
      <c r="B640" s="10">
        <v>31</v>
      </c>
      <c r="C640" s="10" t="s">
        <v>960</v>
      </c>
      <c r="D640" s="10">
        <v>3167</v>
      </c>
      <c r="E640" s="10" t="s">
        <v>988</v>
      </c>
      <c r="F640" s="11">
        <v>5062</v>
      </c>
      <c r="G640" s="11">
        <v>5035</v>
      </c>
      <c r="H640" s="11">
        <v>10097</v>
      </c>
      <c r="I640" s="11">
        <v>3041</v>
      </c>
    </row>
    <row r="641" spans="1:9" x14ac:dyDescent="0.2">
      <c r="A641" s="10">
        <v>6712</v>
      </c>
      <c r="B641" s="10">
        <v>31</v>
      </c>
      <c r="C641" s="10" t="s">
        <v>960</v>
      </c>
      <c r="D641" s="10">
        <v>3168</v>
      </c>
      <c r="E641" s="10" t="s">
        <v>989</v>
      </c>
      <c r="F641" s="11">
        <v>4691</v>
      </c>
      <c r="G641" s="11">
        <v>4696</v>
      </c>
      <c r="H641" s="11">
        <v>9387</v>
      </c>
      <c r="I641" s="11">
        <v>2848</v>
      </c>
    </row>
    <row r="642" spans="1:9" x14ac:dyDescent="0.2">
      <c r="A642" s="10">
        <v>6712</v>
      </c>
      <c r="B642" s="10">
        <v>31</v>
      </c>
      <c r="C642" s="10" t="s">
        <v>960</v>
      </c>
      <c r="D642" s="10">
        <v>3169</v>
      </c>
      <c r="E642" s="10" t="s">
        <v>990</v>
      </c>
      <c r="F642" s="11">
        <v>5857</v>
      </c>
      <c r="G642" s="11">
        <v>6044</v>
      </c>
      <c r="H642" s="11">
        <v>11901</v>
      </c>
      <c r="I642" s="11">
        <v>3487</v>
      </c>
    </row>
    <row r="643" spans="1:9" x14ac:dyDescent="0.2">
      <c r="A643" s="10">
        <v>6712</v>
      </c>
      <c r="B643" s="10">
        <v>31</v>
      </c>
      <c r="C643" s="10" t="s">
        <v>960</v>
      </c>
      <c r="D643" s="10">
        <v>3170</v>
      </c>
      <c r="E643" s="10" t="s">
        <v>991</v>
      </c>
      <c r="F643" s="11">
        <v>3765</v>
      </c>
      <c r="G643" s="11">
        <v>3825</v>
      </c>
      <c r="H643" s="11">
        <v>7590</v>
      </c>
      <c r="I643" s="11">
        <v>2274</v>
      </c>
    </row>
    <row r="644" spans="1:9" x14ac:dyDescent="0.2">
      <c r="A644" s="10">
        <v>6712</v>
      </c>
      <c r="B644" s="10">
        <v>31</v>
      </c>
      <c r="C644" s="10" t="s">
        <v>960</v>
      </c>
      <c r="D644" s="10">
        <v>3171</v>
      </c>
      <c r="E644" s="10" t="s">
        <v>992</v>
      </c>
      <c r="F644" s="11">
        <v>4318</v>
      </c>
      <c r="G644" s="11">
        <v>4255</v>
      </c>
      <c r="H644" s="11">
        <v>8573</v>
      </c>
      <c r="I644" s="11">
        <v>2437</v>
      </c>
    </row>
    <row r="645" spans="1:9" x14ac:dyDescent="0.2">
      <c r="A645" s="10">
        <v>6712</v>
      </c>
      <c r="B645" s="10">
        <v>31</v>
      </c>
      <c r="C645" s="10" t="s">
        <v>960</v>
      </c>
      <c r="D645" s="10">
        <v>3174</v>
      </c>
      <c r="E645" s="10" t="s">
        <v>993</v>
      </c>
      <c r="F645" s="11">
        <v>1678</v>
      </c>
      <c r="G645" s="11">
        <v>1704</v>
      </c>
      <c r="H645" s="11">
        <v>3382</v>
      </c>
      <c r="I645" s="11">
        <v>1377</v>
      </c>
    </row>
    <row r="646" spans="1:9" x14ac:dyDescent="0.2">
      <c r="A646" s="10">
        <v>6712</v>
      </c>
      <c r="B646" s="10">
        <v>31</v>
      </c>
      <c r="C646" s="10" t="s">
        <v>960</v>
      </c>
      <c r="D646" s="10">
        <v>3175</v>
      </c>
      <c r="E646" s="10" t="s">
        <v>994</v>
      </c>
      <c r="F646" s="11">
        <v>8337</v>
      </c>
      <c r="G646" s="11">
        <v>8229</v>
      </c>
      <c r="H646" s="11">
        <v>16566</v>
      </c>
      <c r="I646" s="11">
        <v>4508</v>
      </c>
    </row>
    <row r="647" spans="1:9" x14ac:dyDescent="0.2">
      <c r="A647" s="10">
        <v>6712</v>
      </c>
      <c r="B647" s="10">
        <v>31</v>
      </c>
      <c r="C647" s="10" t="s">
        <v>960</v>
      </c>
      <c r="D647" s="10">
        <v>3176</v>
      </c>
      <c r="E647" s="10" t="s">
        <v>995</v>
      </c>
      <c r="F647" s="11">
        <v>5560</v>
      </c>
      <c r="G647" s="11">
        <v>5978</v>
      </c>
      <c r="H647" s="11">
        <v>11538</v>
      </c>
      <c r="I647" s="11">
        <v>4047</v>
      </c>
    </row>
    <row r="648" spans="1:9" x14ac:dyDescent="0.2">
      <c r="A648" s="10">
        <v>6712</v>
      </c>
      <c r="B648" s="10">
        <v>31</v>
      </c>
      <c r="C648" s="10" t="s">
        <v>960</v>
      </c>
      <c r="D648" s="10">
        <v>3177</v>
      </c>
      <c r="E648" s="10" t="s">
        <v>996</v>
      </c>
      <c r="F648" s="11">
        <v>2668</v>
      </c>
      <c r="G648" s="11">
        <v>2737</v>
      </c>
      <c r="H648" s="11">
        <v>5405</v>
      </c>
      <c r="I648" s="11">
        <v>2051</v>
      </c>
    </row>
    <row r="649" spans="1:9" x14ac:dyDescent="0.2">
      <c r="A649" s="10">
        <v>6712</v>
      </c>
      <c r="B649" s="10">
        <v>31</v>
      </c>
      <c r="C649" s="10" t="s">
        <v>960</v>
      </c>
      <c r="D649" s="10">
        <v>3178</v>
      </c>
      <c r="E649" s="10" t="s">
        <v>997</v>
      </c>
      <c r="F649" s="11">
        <v>4504</v>
      </c>
      <c r="G649" s="11">
        <v>4668</v>
      </c>
      <c r="H649" s="11">
        <v>9172</v>
      </c>
      <c r="I649" s="11">
        <v>3727</v>
      </c>
    </row>
    <row r="650" spans="1:9" x14ac:dyDescent="0.2">
      <c r="A650" s="10">
        <v>6712</v>
      </c>
      <c r="B650" s="10">
        <v>31</v>
      </c>
      <c r="C650" s="10" t="s">
        <v>960</v>
      </c>
      <c r="D650" s="10">
        <v>3179</v>
      </c>
      <c r="E650" s="10" t="s">
        <v>998</v>
      </c>
      <c r="F650" s="11">
        <v>2054</v>
      </c>
      <c r="G650" s="11">
        <v>2155</v>
      </c>
      <c r="H650" s="11">
        <v>4209</v>
      </c>
      <c r="I650" s="11">
        <v>1478</v>
      </c>
    </row>
    <row r="651" spans="1:9" x14ac:dyDescent="0.2">
      <c r="A651" s="10">
        <v>6712</v>
      </c>
      <c r="B651" s="10">
        <v>31</v>
      </c>
      <c r="C651" s="10" t="s">
        <v>960</v>
      </c>
      <c r="D651" s="10">
        <v>3180</v>
      </c>
      <c r="E651" s="10" t="s">
        <v>999</v>
      </c>
      <c r="F651" s="11">
        <v>1572</v>
      </c>
      <c r="G651" s="11">
        <v>1643</v>
      </c>
      <c r="H651" s="11">
        <v>3215</v>
      </c>
      <c r="I651" s="11">
        <v>1111</v>
      </c>
    </row>
    <row r="652" spans="1:9" x14ac:dyDescent="0.2">
      <c r="A652" s="10">
        <v>6712</v>
      </c>
      <c r="B652" s="10">
        <v>31</v>
      </c>
      <c r="C652" s="10" t="s">
        <v>960</v>
      </c>
      <c r="D652" s="10">
        <v>3181</v>
      </c>
      <c r="E652" s="10" t="s">
        <v>1000</v>
      </c>
      <c r="F652" s="11">
        <v>2445</v>
      </c>
      <c r="G652" s="11">
        <v>2555</v>
      </c>
      <c r="H652" s="11">
        <v>5000</v>
      </c>
      <c r="I652" s="11">
        <v>1486</v>
      </c>
    </row>
    <row r="653" spans="1:9" x14ac:dyDescent="0.2">
      <c r="A653" s="10">
        <v>6712</v>
      </c>
      <c r="B653" s="10">
        <v>31</v>
      </c>
      <c r="C653" s="10" t="s">
        <v>960</v>
      </c>
      <c r="D653" s="10">
        <v>3182</v>
      </c>
      <c r="E653" s="10" t="s">
        <v>1001</v>
      </c>
      <c r="F653" s="11">
        <v>3329</v>
      </c>
      <c r="G653" s="11">
        <v>3293</v>
      </c>
      <c r="H653" s="11">
        <v>6622</v>
      </c>
      <c r="I653" s="11">
        <v>2082</v>
      </c>
    </row>
    <row r="654" spans="1:9" x14ac:dyDescent="0.2">
      <c r="A654" s="10">
        <v>6712</v>
      </c>
      <c r="B654" s="10">
        <v>31</v>
      </c>
      <c r="C654" s="10" t="s">
        <v>960</v>
      </c>
      <c r="D654" s="10">
        <v>3183</v>
      </c>
      <c r="E654" s="10" t="s">
        <v>1002</v>
      </c>
      <c r="F654" s="11">
        <v>2316</v>
      </c>
      <c r="G654" s="11">
        <v>2354</v>
      </c>
      <c r="H654" s="11">
        <v>4670</v>
      </c>
      <c r="I654" s="11">
        <v>1842</v>
      </c>
    </row>
    <row r="655" spans="1:9" x14ac:dyDescent="0.2">
      <c r="A655" s="10">
        <v>6712</v>
      </c>
      <c r="B655" s="10">
        <v>31</v>
      </c>
      <c r="C655" s="10" t="s">
        <v>960</v>
      </c>
      <c r="D655" s="10">
        <v>3184</v>
      </c>
      <c r="E655" s="10" t="s">
        <v>1003</v>
      </c>
      <c r="F655" s="11">
        <v>1715</v>
      </c>
      <c r="G655" s="11">
        <v>1899</v>
      </c>
      <c r="H655" s="11">
        <v>3614</v>
      </c>
      <c r="I655" s="11">
        <v>1739</v>
      </c>
    </row>
    <row r="656" spans="1:9" x14ac:dyDescent="0.2">
      <c r="A656" s="10">
        <v>6712</v>
      </c>
      <c r="B656" s="10">
        <v>31</v>
      </c>
      <c r="C656" s="10" t="s">
        <v>960</v>
      </c>
      <c r="D656" s="10">
        <v>3185</v>
      </c>
      <c r="E656" s="10" t="s">
        <v>1004</v>
      </c>
      <c r="F656" s="11">
        <v>3477</v>
      </c>
      <c r="G656" s="11">
        <v>3621</v>
      </c>
      <c r="H656" s="11">
        <v>7098</v>
      </c>
      <c r="I656" s="11">
        <v>2951</v>
      </c>
    </row>
    <row r="657" spans="1:9" x14ac:dyDescent="0.2">
      <c r="A657" s="10">
        <v>6712</v>
      </c>
      <c r="B657" s="10">
        <v>31</v>
      </c>
      <c r="C657" s="10" t="s">
        <v>960</v>
      </c>
      <c r="D657" s="10">
        <v>3186</v>
      </c>
      <c r="E657" s="10" t="s">
        <v>1005</v>
      </c>
      <c r="F657" s="11">
        <v>5152</v>
      </c>
      <c r="G657" s="11">
        <v>5570</v>
      </c>
      <c r="H657" s="11">
        <v>10722</v>
      </c>
      <c r="I657" s="11">
        <v>5827</v>
      </c>
    </row>
    <row r="658" spans="1:9" x14ac:dyDescent="0.2">
      <c r="A658" s="10">
        <v>6712</v>
      </c>
      <c r="B658" s="10">
        <v>31</v>
      </c>
      <c r="C658" s="10" t="s">
        <v>960</v>
      </c>
      <c r="D658" s="10">
        <v>3187</v>
      </c>
      <c r="E658" s="10" t="s">
        <v>1006</v>
      </c>
      <c r="F658" s="11">
        <v>6159</v>
      </c>
      <c r="G658" s="11">
        <v>6764</v>
      </c>
      <c r="H658" s="11">
        <v>12923</v>
      </c>
      <c r="I658" s="11">
        <v>6432</v>
      </c>
    </row>
    <row r="659" spans="1:9" x14ac:dyDescent="0.2">
      <c r="A659" s="10">
        <v>6712</v>
      </c>
      <c r="B659" s="10">
        <v>31</v>
      </c>
      <c r="C659" s="10" t="s">
        <v>960</v>
      </c>
      <c r="D659" s="10">
        <v>3188</v>
      </c>
      <c r="E659" s="10" t="s">
        <v>1007</v>
      </c>
      <c r="F659" s="11">
        <v>2071</v>
      </c>
      <c r="G659" s="11">
        <v>2144</v>
      </c>
      <c r="H659" s="11">
        <v>4215</v>
      </c>
      <c r="I659" s="11">
        <v>1294</v>
      </c>
    </row>
    <row r="660" spans="1:9" x14ac:dyDescent="0.2">
      <c r="A660" s="10">
        <v>6712</v>
      </c>
      <c r="B660" s="10">
        <v>31</v>
      </c>
      <c r="C660" s="10" t="s">
        <v>960</v>
      </c>
      <c r="D660" s="10">
        <v>3189</v>
      </c>
      <c r="E660" s="10" t="s">
        <v>1008</v>
      </c>
      <c r="F660" s="11">
        <v>1915</v>
      </c>
      <c r="G660" s="11">
        <v>2138</v>
      </c>
      <c r="H660" s="11">
        <v>4053</v>
      </c>
      <c r="I660" s="11">
        <v>2340</v>
      </c>
    </row>
    <row r="661" spans="1:9" x14ac:dyDescent="0.2">
      <c r="A661" s="10">
        <v>6712</v>
      </c>
      <c r="B661" s="10">
        <v>31</v>
      </c>
      <c r="C661" s="10" t="s">
        <v>960</v>
      </c>
      <c r="D661" s="10">
        <v>3190</v>
      </c>
      <c r="E661" s="10" t="s">
        <v>1009</v>
      </c>
      <c r="F661" s="11">
        <v>1841</v>
      </c>
      <c r="G661" s="11">
        <v>1952</v>
      </c>
      <c r="H661" s="11">
        <v>3793</v>
      </c>
      <c r="I661" s="11">
        <v>2036</v>
      </c>
    </row>
    <row r="662" spans="1:9" x14ac:dyDescent="0.2">
      <c r="A662" s="10">
        <v>6712</v>
      </c>
      <c r="B662" s="10">
        <v>31</v>
      </c>
      <c r="C662" s="10" t="s">
        <v>960</v>
      </c>
      <c r="D662" s="10">
        <v>3191</v>
      </c>
      <c r="E662" s="10" t="s">
        <v>1010</v>
      </c>
      <c r="F662" s="11">
        <v>2372</v>
      </c>
      <c r="G662" s="11">
        <v>2428</v>
      </c>
      <c r="H662" s="11">
        <v>4800</v>
      </c>
      <c r="I662" s="11">
        <v>1849</v>
      </c>
    </row>
    <row r="663" spans="1:9" x14ac:dyDescent="0.2">
      <c r="A663" s="10">
        <v>6712</v>
      </c>
      <c r="B663" s="10">
        <v>31</v>
      </c>
      <c r="C663" s="10" t="s">
        <v>960</v>
      </c>
      <c r="D663" s="10">
        <v>3192</v>
      </c>
      <c r="E663" s="10" t="s">
        <v>1011</v>
      </c>
      <c r="F663" s="11">
        <v>4218</v>
      </c>
      <c r="G663" s="11">
        <v>4734</v>
      </c>
      <c r="H663" s="11">
        <v>8952</v>
      </c>
      <c r="I663" s="11">
        <v>4195</v>
      </c>
    </row>
    <row r="664" spans="1:9" x14ac:dyDescent="0.2">
      <c r="A664" s="10">
        <v>6712</v>
      </c>
      <c r="B664" s="10">
        <v>31</v>
      </c>
      <c r="C664" s="10" t="s">
        <v>960</v>
      </c>
      <c r="D664" s="10">
        <v>3193</v>
      </c>
      <c r="E664" s="10" t="s">
        <v>1012</v>
      </c>
      <c r="F664" s="11">
        <v>4094</v>
      </c>
      <c r="G664" s="11">
        <v>4113</v>
      </c>
      <c r="H664" s="11">
        <v>8207</v>
      </c>
      <c r="I664" s="11">
        <v>3647</v>
      </c>
    </row>
    <row r="665" spans="1:9" x14ac:dyDescent="0.2">
      <c r="A665" s="10">
        <v>6712</v>
      </c>
      <c r="B665" s="10">
        <v>31</v>
      </c>
      <c r="C665" s="10" t="s">
        <v>960</v>
      </c>
      <c r="D665" s="10">
        <v>3194</v>
      </c>
      <c r="E665" s="10" t="s">
        <v>1013</v>
      </c>
      <c r="F665" s="11">
        <v>4526</v>
      </c>
      <c r="G665" s="11">
        <v>4938</v>
      </c>
      <c r="H665" s="11">
        <v>9464</v>
      </c>
      <c r="I665" s="11">
        <v>4272</v>
      </c>
    </row>
    <row r="666" spans="1:9" x14ac:dyDescent="0.2">
      <c r="A666" s="10">
        <v>6712</v>
      </c>
      <c r="B666" s="10">
        <v>31</v>
      </c>
      <c r="C666" s="10" t="s">
        <v>960</v>
      </c>
      <c r="D666" s="10">
        <v>3195</v>
      </c>
      <c r="E666" s="10" t="s">
        <v>1014</v>
      </c>
      <c r="F666" s="11">
        <v>1516</v>
      </c>
      <c r="G666" s="11">
        <v>1720</v>
      </c>
      <c r="H666" s="11">
        <v>3236</v>
      </c>
      <c r="I666" s="11">
        <v>1867</v>
      </c>
    </row>
    <row r="667" spans="1:9" x14ac:dyDescent="0.2">
      <c r="A667" s="10">
        <v>6712</v>
      </c>
      <c r="B667" s="10">
        <v>31</v>
      </c>
      <c r="C667" s="10" t="s">
        <v>960</v>
      </c>
      <c r="D667" s="10">
        <v>3196</v>
      </c>
      <c r="E667" s="10" t="s">
        <v>1015</v>
      </c>
      <c r="F667" s="11">
        <v>2393</v>
      </c>
      <c r="G667" s="11">
        <v>2516</v>
      </c>
      <c r="H667" s="11">
        <v>4909</v>
      </c>
      <c r="I667" s="11">
        <v>1890</v>
      </c>
    </row>
    <row r="668" spans="1:9" x14ac:dyDescent="0.2">
      <c r="A668" s="10">
        <v>6712</v>
      </c>
      <c r="B668" s="10">
        <v>31</v>
      </c>
      <c r="C668" s="10" t="s">
        <v>960</v>
      </c>
      <c r="D668" s="10">
        <v>3197</v>
      </c>
      <c r="E668" s="10" t="s">
        <v>1016</v>
      </c>
      <c r="F668" s="11">
        <v>1784</v>
      </c>
      <c r="G668" s="11">
        <v>1787</v>
      </c>
      <c r="H668" s="11">
        <v>3571</v>
      </c>
      <c r="I668" s="11">
        <v>2087</v>
      </c>
    </row>
    <row r="669" spans="1:9" x14ac:dyDescent="0.2">
      <c r="A669" s="10">
        <v>6712</v>
      </c>
      <c r="B669" s="10">
        <v>31</v>
      </c>
      <c r="C669" s="10" t="s">
        <v>960</v>
      </c>
      <c r="D669" s="10">
        <v>3198</v>
      </c>
      <c r="E669" s="10" t="s">
        <v>1017</v>
      </c>
      <c r="F669" s="11">
        <v>9388</v>
      </c>
      <c r="G669" s="11">
        <v>10676</v>
      </c>
      <c r="H669" s="11">
        <v>20064</v>
      </c>
      <c r="I669" s="11">
        <v>11785</v>
      </c>
    </row>
    <row r="670" spans="1:9" x14ac:dyDescent="0.2">
      <c r="A670" s="10">
        <v>6712</v>
      </c>
      <c r="B670" s="10">
        <v>31</v>
      </c>
      <c r="C670" s="10" t="s">
        <v>960</v>
      </c>
      <c r="D670" s="10">
        <v>3199</v>
      </c>
      <c r="E670" s="10" t="s">
        <v>1018</v>
      </c>
      <c r="F670" s="11">
        <v>24570</v>
      </c>
      <c r="G670" s="11">
        <v>25955</v>
      </c>
      <c r="H670" s="11">
        <v>50525</v>
      </c>
      <c r="I670" s="11">
        <v>31454</v>
      </c>
    </row>
    <row r="671" spans="1:9" x14ac:dyDescent="0.2">
      <c r="A671" s="10">
        <v>6712</v>
      </c>
      <c r="B671" s="10">
        <v>32</v>
      </c>
      <c r="C671" s="10" t="s">
        <v>1019</v>
      </c>
      <c r="D671" s="10">
        <v>3201</v>
      </c>
      <c r="E671" s="10" t="s">
        <v>1020</v>
      </c>
      <c r="F671" s="11">
        <v>106979</v>
      </c>
      <c r="G671" s="11">
        <v>109808</v>
      </c>
      <c r="H671" s="11">
        <v>216787</v>
      </c>
      <c r="I671" s="11">
        <v>80692</v>
      </c>
    </row>
    <row r="672" spans="1:9" x14ac:dyDescent="0.2">
      <c r="A672" s="10">
        <v>6712</v>
      </c>
      <c r="B672" s="10">
        <v>32</v>
      </c>
      <c r="C672" s="10" t="s">
        <v>1019</v>
      </c>
      <c r="D672" s="10">
        <v>3202</v>
      </c>
      <c r="E672" s="10" t="s">
        <v>1021</v>
      </c>
      <c r="F672" s="11">
        <v>33812</v>
      </c>
      <c r="G672" s="11">
        <v>33858</v>
      </c>
      <c r="H672" s="11">
        <v>67670</v>
      </c>
      <c r="I672" s="11">
        <v>19556</v>
      </c>
    </row>
    <row r="673" spans="1:9" x14ac:dyDescent="0.2">
      <c r="A673" s="10">
        <v>6712</v>
      </c>
      <c r="B673" s="10">
        <v>32</v>
      </c>
      <c r="C673" s="10" t="s">
        <v>1019</v>
      </c>
      <c r="D673" s="10">
        <v>3203</v>
      </c>
      <c r="E673" s="10" t="s">
        <v>1022</v>
      </c>
      <c r="F673" s="11">
        <v>45042</v>
      </c>
      <c r="G673" s="11">
        <v>44937</v>
      </c>
      <c r="H673" s="11">
        <v>89979</v>
      </c>
      <c r="I673" s="11">
        <v>24470</v>
      </c>
    </row>
    <row r="674" spans="1:9" x14ac:dyDescent="0.2">
      <c r="A674" s="10">
        <v>6712</v>
      </c>
      <c r="B674" s="10">
        <v>32</v>
      </c>
      <c r="C674" s="10" t="s">
        <v>1019</v>
      </c>
      <c r="D674" s="10">
        <v>3204</v>
      </c>
      <c r="E674" s="10" t="s">
        <v>1023</v>
      </c>
      <c r="F674" s="11">
        <v>26848</v>
      </c>
      <c r="G674" s="11">
        <v>26867</v>
      </c>
      <c r="H674" s="11">
        <v>53715</v>
      </c>
      <c r="I674" s="11">
        <v>14571</v>
      </c>
    </row>
    <row r="675" spans="1:9" x14ac:dyDescent="0.2">
      <c r="A675" s="10">
        <v>6712</v>
      </c>
      <c r="B675" s="10">
        <v>32</v>
      </c>
      <c r="C675" s="10" t="s">
        <v>1019</v>
      </c>
      <c r="D675" s="10">
        <v>3205</v>
      </c>
      <c r="E675" s="10" t="s">
        <v>1024</v>
      </c>
      <c r="F675" s="11">
        <v>70602</v>
      </c>
      <c r="G675" s="11">
        <v>72527</v>
      </c>
      <c r="H675" s="11">
        <v>143129</v>
      </c>
      <c r="I675" s="11">
        <v>44228</v>
      </c>
    </row>
    <row r="676" spans="1:9" x14ac:dyDescent="0.2">
      <c r="A676" s="10">
        <v>6712</v>
      </c>
      <c r="B676" s="10">
        <v>32</v>
      </c>
      <c r="C676" s="10" t="s">
        <v>1019</v>
      </c>
      <c r="D676" s="10">
        <v>3206</v>
      </c>
      <c r="E676" s="10" t="s">
        <v>1025</v>
      </c>
      <c r="F676" s="11">
        <v>29880</v>
      </c>
      <c r="G676" s="11">
        <v>29740</v>
      </c>
      <c r="H676" s="11">
        <v>59620</v>
      </c>
      <c r="I676" s="11">
        <v>20001</v>
      </c>
    </row>
    <row r="677" spans="1:9" x14ac:dyDescent="0.2">
      <c r="A677" s="10">
        <v>6712</v>
      </c>
      <c r="B677" s="10">
        <v>32</v>
      </c>
      <c r="C677" s="10" t="s">
        <v>1019</v>
      </c>
      <c r="D677" s="10">
        <v>3207</v>
      </c>
      <c r="E677" s="10" t="s">
        <v>1026</v>
      </c>
      <c r="F677" s="11">
        <v>42715</v>
      </c>
      <c r="G677" s="11">
        <v>43096</v>
      </c>
      <c r="H677" s="11">
        <v>85811</v>
      </c>
      <c r="I677" s="11">
        <v>24077</v>
      </c>
    </row>
    <row r="678" spans="1:9" x14ac:dyDescent="0.2">
      <c r="A678" s="10">
        <v>6712</v>
      </c>
      <c r="B678" s="10">
        <v>32</v>
      </c>
      <c r="C678" s="10" t="s">
        <v>1019</v>
      </c>
      <c r="D678" s="10">
        <v>3208</v>
      </c>
      <c r="E678" s="10" t="s">
        <v>1027</v>
      </c>
      <c r="F678" s="11">
        <v>18980</v>
      </c>
      <c r="G678" s="11">
        <v>18779</v>
      </c>
      <c r="H678" s="11">
        <v>37759</v>
      </c>
      <c r="I678" s="11">
        <v>11213</v>
      </c>
    </row>
    <row r="679" spans="1:9" x14ac:dyDescent="0.2">
      <c r="A679" s="10">
        <v>6712</v>
      </c>
      <c r="B679" s="10">
        <v>32</v>
      </c>
      <c r="C679" s="10" t="s">
        <v>1019</v>
      </c>
      <c r="D679" s="10">
        <v>3209</v>
      </c>
      <c r="E679" s="10" t="s">
        <v>1028</v>
      </c>
      <c r="F679" s="11">
        <v>63779</v>
      </c>
      <c r="G679" s="11">
        <v>64598</v>
      </c>
      <c r="H679" s="11">
        <v>128377</v>
      </c>
      <c r="I679" s="11">
        <v>33821</v>
      </c>
    </row>
    <row r="680" spans="1:9" x14ac:dyDescent="0.2">
      <c r="A680" s="10">
        <v>6712</v>
      </c>
      <c r="B680" s="10">
        <v>32</v>
      </c>
      <c r="C680" s="10" t="s">
        <v>1019</v>
      </c>
      <c r="D680" s="10">
        <v>3210</v>
      </c>
      <c r="E680" s="10" t="s">
        <v>1029</v>
      </c>
      <c r="F680" s="11">
        <v>63268</v>
      </c>
      <c r="G680" s="11">
        <v>62984</v>
      </c>
      <c r="H680" s="11">
        <v>126252</v>
      </c>
      <c r="I680" s="11">
        <v>36330</v>
      </c>
    </row>
    <row r="681" spans="1:9" x14ac:dyDescent="0.2">
      <c r="A681" s="10">
        <v>6712</v>
      </c>
      <c r="B681" s="10">
        <v>32</v>
      </c>
      <c r="C681" s="10" t="s">
        <v>1019</v>
      </c>
      <c r="D681" s="10">
        <v>3211</v>
      </c>
      <c r="E681" s="10" t="s">
        <v>1030</v>
      </c>
      <c r="F681" s="11">
        <v>13282</v>
      </c>
      <c r="G681" s="11">
        <v>13264</v>
      </c>
      <c r="H681" s="11">
        <v>26546</v>
      </c>
      <c r="I681" s="11">
        <v>7353</v>
      </c>
    </row>
    <row r="682" spans="1:9" x14ac:dyDescent="0.2">
      <c r="A682" s="10">
        <v>6712</v>
      </c>
      <c r="B682" s="10">
        <v>32</v>
      </c>
      <c r="C682" s="10" t="s">
        <v>1019</v>
      </c>
      <c r="D682" s="10">
        <v>3212</v>
      </c>
      <c r="E682" s="10" t="s">
        <v>1031</v>
      </c>
      <c r="F682" s="11">
        <v>24836</v>
      </c>
      <c r="G682" s="11">
        <v>24824</v>
      </c>
      <c r="H682" s="11">
        <v>49660</v>
      </c>
      <c r="I682" s="11">
        <v>12255</v>
      </c>
    </row>
    <row r="683" spans="1:9" x14ac:dyDescent="0.2">
      <c r="A683" s="10">
        <v>6712</v>
      </c>
      <c r="B683" s="10">
        <v>32</v>
      </c>
      <c r="C683" s="10" t="s">
        <v>1019</v>
      </c>
      <c r="D683" s="10">
        <v>3213</v>
      </c>
      <c r="E683" s="10" t="s">
        <v>1032</v>
      </c>
      <c r="F683" s="11">
        <v>17724</v>
      </c>
      <c r="G683" s="11">
        <v>17164</v>
      </c>
      <c r="H683" s="11">
        <v>34888</v>
      </c>
      <c r="I683" s="11">
        <v>10269</v>
      </c>
    </row>
    <row r="684" spans="1:9" x14ac:dyDescent="0.2">
      <c r="A684" s="10">
        <v>6712</v>
      </c>
      <c r="B684" s="10">
        <v>32</v>
      </c>
      <c r="C684" s="10" t="s">
        <v>1019</v>
      </c>
      <c r="D684" s="10">
        <v>3214</v>
      </c>
      <c r="E684" s="10" t="s">
        <v>1033</v>
      </c>
      <c r="F684" s="11">
        <v>18927</v>
      </c>
      <c r="G684" s="11">
        <v>18610</v>
      </c>
      <c r="H684" s="11">
        <v>37537</v>
      </c>
      <c r="I684" s="11">
        <v>12707</v>
      </c>
    </row>
    <row r="685" spans="1:9" x14ac:dyDescent="0.2">
      <c r="A685" s="10">
        <v>6712</v>
      </c>
      <c r="B685" s="10">
        <v>32</v>
      </c>
      <c r="C685" s="10" t="s">
        <v>1019</v>
      </c>
      <c r="D685" s="10">
        <v>3215</v>
      </c>
      <c r="E685" s="10" t="s">
        <v>1034</v>
      </c>
      <c r="F685" s="11">
        <v>23261</v>
      </c>
      <c r="G685" s="11">
        <v>23039</v>
      </c>
      <c r="H685" s="11">
        <v>46300</v>
      </c>
      <c r="I685" s="11">
        <v>12103</v>
      </c>
    </row>
    <row r="686" spans="1:9" x14ac:dyDescent="0.2">
      <c r="A686" s="10">
        <v>6712</v>
      </c>
      <c r="B686" s="10">
        <v>32</v>
      </c>
      <c r="C686" s="10" t="s">
        <v>1019</v>
      </c>
      <c r="D686" s="10">
        <v>3216</v>
      </c>
      <c r="E686" s="10" t="s">
        <v>1035</v>
      </c>
      <c r="F686" s="11">
        <v>16615</v>
      </c>
      <c r="G686" s="11">
        <v>17030</v>
      </c>
      <c r="H686" s="11">
        <v>33645</v>
      </c>
      <c r="I686" s="11">
        <v>10444</v>
      </c>
    </row>
    <row r="687" spans="1:9" x14ac:dyDescent="0.2">
      <c r="A687" s="10">
        <v>6712</v>
      </c>
      <c r="B687" s="10">
        <v>32</v>
      </c>
      <c r="C687" s="10" t="s">
        <v>1019</v>
      </c>
      <c r="D687" s="10">
        <v>3217</v>
      </c>
      <c r="E687" s="10" t="s">
        <v>1036</v>
      </c>
      <c r="F687" s="11">
        <v>17133</v>
      </c>
      <c r="G687" s="11">
        <v>17286</v>
      </c>
      <c r="H687" s="11">
        <v>34419</v>
      </c>
      <c r="I687" s="11">
        <v>9065</v>
      </c>
    </row>
    <row r="688" spans="1:9" x14ac:dyDescent="0.2">
      <c r="A688" s="10">
        <v>6712</v>
      </c>
      <c r="B688" s="10">
        <v>32</v>
      </c>
      <c r="C688" s="10" t="s">
        <v>1019</v>
      </c>
      <c r="D688" s="10">
        <v>3286</v>
      </c>
      <c r="E688" s="10" t="s">
        <v>1037</v>
      </c>
      <c r="F688" s="11">
        <v>3159</v>
      </c>
      <c r="G688" s="11">
        <v>3279</v>
      </c>
      <c r="H688" s="11">
        <v>6438</v>
      </c>
      <c r="I688" s="11">
        <v>2513</v>
      </c>
    </row>
    <row r="689" spans="1:9" x14ac:dyDescent="0.2">
      <c r="A689" s="10">
        <v>6712</v>
      </c>
      <c r="B689" s="10">
        <v>32</v>
      </c>
      <c r="C689" s="10" t="s">
        <v>1019</v>
      </c>
      <c r="D689" s="10">
        <v>3287</v>
      </c>
      <c r="E689" s="10" t="s">
        <v>1038</v>
      </c>
      <c r="F689" s="11">
        <v>1165</v>
      </c>
      <c r="G689" s="11">
        <v>1151</v>
      </c>
      <c r="H689" s="11">
        <v>2316</v>
      </c>
      <c r="I689" s="11">
        <v>1316</v>
      </c>
    </row>
    <row r="690" spans="1:9" x14ac:dyDescent="0.2">
      <c r="A690" s="10">
        <v>6712</v>
      </c>
      <c r="B690" s="10">
        <v>32</v>
      </c>
      <c r="C690" s="10" t="s">
        <v>1019</v>
      </c>
      <c r="D690" s="10">
        <v>3288</v>
      </c>
      <c r="E690" s="10" t="s">
        <v>1039</v>
      </c>
      <c r="F690" s="11">
        <v>2012</v>
      </c>
      <c r="G690" s="11">
        <v>2249</v>
      </c>
      <c r="H690" s="11">
        <v>4261</v>
      </c>
      <c r="I690" s="11">
        <v>1941</v>
      </c>
    </row>
    <row r="691" spans="1:9" x14ac:dyDescent="0.2">
      <c r="A691" s="10">
        <v>6712</v>
      </c>
      <c r="B691" s="10">
        <v>32</v>
      </c>
      <c r="C691" s="10" t="s">
        <v>1019</v>
      </c>
      <c r="D691" s="10">
        <v>3289</v>
      </c>
      <c r="E691" s="10" t="s">
        <v>1040</v>
      </c>
      <c r="F691" s="11">
        <v>1633</v>
      </c>
      <c r="G691" s="11">
        <v>1933</v>
      </c>
      <c r="H691" s="11">
        <v>3566</v>
      </c>
      <c r="I691" s="11">
        <v>2424</v>
      </c>
    </row>
    <row r="692" spans="1:9" x14ac:dyDescent="0.2">
      <c r="A692" s="10">
        <v>6712</v>
      </c>
      <c r="B692" s="10">
        <v>32</v>
      </c>
      <c r="C692" s="10" t="s">
        <v>1019</v>
      </c>
      <c r="D692" s="10">
        <v>3290</v>
      </c>
      <c r="E692" s="10" t="s">
        <v>1041</v>
      </c>
      <c r="F692" s="11">
        <v>2186</v>
      </c>
      <c r="G692" s="11">
        <v>2377</v>
      </c>
      <c r="H692" s="11">
        <v>4563</v>
      </c>
      <c r="I692" s="11">
        <v>2931</v>
      </c>
    </row>
    <row r="693" spans="1:9" x14ac:dyDescent="0.2">
      <c r="A693" s="10">
        <v>6712</v>
      </c>
      <c r="B693" s="10">
        <v>32</v>
      </c>
      <c r="C693" s="10" t="s">
        <v>1019</v>
      </c>
      <c r="D693" s="10">
        <v>3291</v>
      </c>
      <c r="E693" s="10" t="s">
        <v>1042</v>
      </c>
      <c r="F693" s="11">
        <v>2363</v>
      </c>
      <c r="G693" s="11">
        <v>2523</v>
      </c>
      <c r="H693" s="11">
        <v>4886</v>
      </c>
      <c r="I693" s="11">
        <v>1699</v>
      </c>
    </row>
    <row r="694" spans="1:9" x14ac:dyDescent="0.2">
      <c r="A694" s="10">
        <v>6712</v>
      </c>
      <c r="B694" s="10">
        <v>32</v>
      </c>
      <c r="C694" s="10" t="s">
        <v>1019</v>
      </c>
      <c r="D694" s="10">
        <v>3292</v>
      </c>
      <c r="E694" s="10" t="s">
        <v>1043</v>
      </c>
      <c r="F694" s="11">
        <v>2475</v>
      </c>
      <c r="G694" s="11">
        <v>2690</v>
      </c>
      <c r="H694" s="11">
        <v>5165</v>
      </c>
      <c r="I694" s="11">
        <v>2825</v>
      </c>
    </row>
    <row r="695" spans="1:9" x14ac:dyDescent="0.2">
      <c r="A695" s="10">
        <v>6712</v>
      </c>
      <c r="B695" s="10">
        <v>32</v>
      </c>
      <c r="C695" s="10" t="s">
        <v>1019</v>
      </c>
      <c r="D695" s="10">
        <v>3293</v>
      </c>
      <c r="E695" s="10" t="s">
        <v>1044</v>
      </c>
      <c r="F695" s="11">
        <v>1336</v>
      </c>
      <c r="G695" s="11">
        <v>1324</v>
      </c>
      <c r="H695" s="11">
        <v>2660</v>
      </c>
      <c r="I695" s="10">
        <v>893</v>
      </c>
    </row>
    <row r="696" spans="1:9" x14ac:dyDescent="0.2">
      <c r="A696" s="10">
        <v>6712</v>
      </c>
      <c r="B696" s="10">
        <v>32</v>
      </c>
      <c r="C696" s="10" t="s">
        <v>1019</v>
      </c>
      <c r="D696" s="10">
        <v>3294</v>
      </c>
      <c r="E696" s="10" t="s">
        <v>1045</v>
      </c>
      <c r="F696" s="11">
        <v>2576</v>
      </c>
      <c r="G696" s="11">
        <v>2943</v>
      </c>
      <c r="H696" s="11">
        <v>5519</v>
      </c>
      <c r="I696" s="11">
        <v>3515</v>
      </c>
    </row>
    <row r="697" spans="1:9" x14ac:dyDescent="0.2">
      <c r="A697" s="10">
        <v>6712</v>
      </c>
      <c r="B697" s="10">
        <v>32</v>
      </c>
      <c r="C697" s="10" t="s">
        <v>1019</v>
      </c>
      <c r="D697" s="10">
        <v>3295</v>
      </c>
      <c r="E697" s="10" t="s">
        <v>1046</v>
      </c>
      <c r="F697" s="11">
        <v>1888</v>
      </c>
      <c r="G697" s="11">
        <v>2102</v>
      </c>
      <c r="H697" s="11">
        <v>3990</v>
      </c>
      <c r="I697" s="11">
        <v>2027</v>
      </c>
    </row>
    <row r="698" spans="1:9" x14ac:dyDescent="0.2">
      <c r="A698" s="10">
        <v>6712</v>
      </c>
      <c r="B698" s="10">
        <v>32</v>
      </c>
      <c r="C698" s="10" t="s">
        <v>1019</v>
      </c>
      <c r="D698" s="10">
        <v>3296</v>
      </c>
      <c r="E698" s="10" t="s">
        <v>1047</v>
      </c>
      <c r="F698" s="11">
        <v>1854</v>
      </c>
      <c r="G698" s="11">
        <v>1987</v>
      </c>
      <c r="H698" s="11">
        <v>3841</v>
      </c>
      <c r="I698" s="11">
        <v>1852</v>
      </c>
    </row>
    <row r="699" spans="1:9" x14ac:dyDescent="0.2">
      <c r="A699" s="10">
        <v>6712</v>
      </c>
      <c r="B699" s="10">
        <v>32</v>
      </c>
      <c r="C699" s="10" t="s">
        <v>1019</v>
      </c>
      <c r="D699" s="10">
        <v>3297</v>
      </c>
      <c r="E699" s="10" t="s">
        <v>1048</v>
      </c>
      <c r="F699" s="11">
        <v>1070</v>
      </c>
      <c r="G699" s="11">
        <v>1174</v>
      </c>
      <c r="H699" s="11">
        <v>2244</v>
      </c>
      <c r="I699" s="11">
        <v>1147</v>
      </c>
    </row>
    <row r="700" spans="1:9" x14ac:dyDescent="0.2">
      <c r="A700" s="10">
        <v>6712</v>
      </c>
      <c r="B700" s="10">
        <v>32</v>
      </c>
      <c r="C700" s="10" t="s">
        <v>1019</v>
      </c>
      <c r="D700" s="10">
        <v>3298</v>
      </c>
      <c r="E700" s="10" t="s">
        <v>1049</v>
      </c>
      <c r="F700" s="10">
        <v>954</v>
      </c>
      <c r="G700" s="10">
        <v>919</v>
      </c>
      <c r="H700" s="11">
        <v>1873</v>
      </c>
      <c r="I700" s="10">
        <v>581</v>
      </c>
    </row>
    <row r="701" spans="1:9" x14ac:dyDescent="0.2">
      <c r="A701" s="10">
        <v>6712</v>
      </c>
      <c r="B701" s="10">
        <v>32</v>
      </c>
      <c r="C701" s="10" t="s">
        <v>1019</v>
      </c>
      <c r="D701" s="10">
        <v>3299</v>
      </c>
      <c r="E701" s="10" t="s">
        <v>1050</v>
      </c>
      <c r="F701" s="11">
        <v>16914</v>
      </c>
      <c r="G701" s="11">
        <v>19915</v>
      </c>
      <c r="H701" s="11">
        <v>36829</v>
      </c>
      <c r="I701" s="11">
        <v>17507</v>
      </c>
    </row>
    <row r="702" spans="1:9" x14ac:dyDescent="0.2">
      <c r="A702" s="10">
        <v>6712</v>
      </c>
      <c r="B702" s="10">
        <v>33</v>
      </c>
      <c r="C702" s="10" t="s">
        <v>1051</v>
      </c>
      <c r="D702" s="10">
        <v>3301</v>
      </c>
      <c r="E702" s="10" t="s">
        <v>1052</v>
      </c>
      <c r="F702" s="11">
        <v>42715</v>
      </c>
      <c r="G702" s="11">
        <v>44372</v>
      </c>
      <c r="H702" s="11">
        <v>87087</v>
      </c>
      <c r="I702" s="11">
        <v>28641</v>
      </c>
    </row>
    <row r="703" spans="1:9" x14ac:dyDescent="0.2">
      <c r="A703" s="10">
        <v>6712</v>
      </c>
      <c r="B703" s="10">
        <v>33</v>
      </c>
      <c r="C703" s="10" t="s">
        <v>1051</v>
      </c>
      <c r="D703" s="10">
        <v>3302</v>
      </c>
      <c r="E703" s="10" t="s">
        <v>1053</v>
      </c>
      <c r="F703" s="11">
        <v>14566</v>
      </c>
      <c r="G703" s="11">
        <v>14531</v>
      </c>
      <c r="H703" s="11">
        <v>29097</v>
      </c>
      <c r="I703" s="11">
        <v>7868</v>
      </c>
    </row>
    <row r="704" spans="1:9" x14ac:dyDescent="0.2">
      <c r="A704" s="10">
        <v>6712</v>
      </c>
      <c r="B704" s="10">
        <v>33</v>
      </c>
      <c r="C704" s="10" t="s">
        <v>1051</v>
      </c>
      <c r="D704" s="10">
        <v>3303</v>
      </c>
      <c r="E704" s="10" t="s">
        <v>1054</v>
      </c>
      <c r="F704" s="11">
        <v>46036</v>
      </c>
      <c r="G704" s="11">
        <v>46393</v>
      </c>
      <c r="H704" s="11">
        <v>92429</v>
      </c>
      <c r="I704" s="11">
        <v>25518</v>
      </c>
    </row>
    <row r="705" spans="1:9" x14ac:dyDescent="0.2">
      <c r="A705" s="10">
        <v>6712</v>
      </c>
      <c r="B705" s="10">
        <v>33</v>
      </c>
      <c r="C705" s="10" t="s">
        <v>1051</v>
      </c>
      <c r="D705" s="10">
        <v>3304</v>
      </c>
      <c r="E705" s="10" t="s">
        <v>1055</v>
      </c>
      <c r="F705" s="11">
        <v>91830</v>
      </c>
      <c r="G705" s="11">
        <v>91592</v>
      </c>
      <c r="H705" s="11">
        <v>183422</v>
      </c>
      <c r="I705" s="11">
        <v>53433</v>
      </c>
    </row>
    <row r="706" spans="1:9" x14ac:dyDescent="0.2">
      <c r="A706" s="10">
        <v>6712</v>
      </c>
      <c r="B706" s="10">
        <v>33</v>
      </c>
      <c r="C706" s="10" t="s">
        <v>1051</v>
      </c>
      <c r="D706" s="10">
        <v>3305</v>
      </c>
      <c r="E706" s="10" t="s">
        <v>1056</v>
      </c>
      <c r="F706" s="11">
        <v>71639</v>
      </c>
      <c r="G706" s="11">
        <v>72425</v>
      </c>
      <c r="H706" s="11">
        <v>144064</v>
      </c>
      <c r="I706" s="11">
        <v>36720</v>
      </c>
    </row>
    <row r="707" spans="1:9" x14ac:dyDescent="0.2">
      <c r="A707" s="10">
        <v>6712</v>
      </c>
      <c r="B707" s="10">
        <v>33</v>
      </c>
      <c r="C707" s="10" t="s">
        <v>1051</v>
      </c>
      <c r="D707" s="10">
        <v>3306</v>
      </c>
      <c r="E707" s="10" t="s">
        <v>1057</v>
      </c>
      <c r="F707" s="11">
        <v>17830</v>
      </c>
      <c r="G707" s="11">
        <v>18125</v>
      </c>
      <c r="H707" s="11">
        <v>35955</v>
      </c>
      <c r="I707" s="11">
        <v>9420</v>
      </c>
    </row>
    <row r="708" spans="1:9" x14ac:dyDescent="0.2">
      <c r="A708" s="10">
        <v>6712</v>
      </c>
      <c r="B708" s="10">
        <v>33</v>
      </c>
      <c r="C708" s="10" t="s">
        <v>1051</v>
      </c>
      <c r="D708" s="10">
        <v>3307</v>
      </c>
      <c r="E708" s="10" t="s">
        <v>1058</v>
      </c>
      <c r="F708" s="11">
        <v>31041</v>
      </c>
      <c r="G708" s="11">
        <v>31502</v>
      </c>
      <c r="H708" s="11">
        <v>62543</v>
      </c>
      <c r="I708" s="11">
        <v>15738</v>
      </c>
    </row>
    <row r="709" spans="1:9" x14ac:dyDescent="0.2">
      <c r="A709" s="10">
        <v>6712</v>
      </c>
      <c r="B709" s="10">
        <v>33</v>
      </c>
      <c r="C709" s="10" t="s">
        <v>1051</v>
      </c>
      <c r="D709" s="10">
        <v>3308</v>
      </c>
      <c r="E709" s="10" t="s">
        <v>1059</v>
      </c>
      <c r="F709" s="11">
        <v>34004</v>
      </c>
      <c r="G709" s="11">
        <v>34507</v>
      </c>
      <c r="H709" s="11">
        <v>68511</v>
      </c>
      <c r="I709" s="11">
        <v>18826</v>
      </c>
    </row>
    <row r="710" spans="1:9" x14ac:dyDescent="0.2">
      <c r="A710" s="10">
        <v>6712</v>
      </c>
      <c r="B710" s="10">
        <v>33</v>
      </c>
      <c r="C710" s="10" t="s">
        <v>1051</v>
      </c>
      <c r="D710" s="10">
        <v>3309</v>
      </c>
      <c r="E710" s="10" t="s">
        <v>1060</v>
      </c>
      <c r="F710" s="11">
        <v>37070</v>
      </c>
      <c r="G710" s="11">
        <v>37490</v>
      </c>
      <c r="H710" s="11">
        <v>74560</v>
      </c>
      <c r="I710" s="11">
        <v>21004</v>
      </c>
    </row>
    <row r="711" spans="1:9" x14ac:dyDescent="0.2">
      <c r="A711" s="10">
        <v>6712</v>
      </c>
      <c r="B711" s="10">
        <v>33</v>
      </c>
      <c r="C711" s="10" t="s">
        <v>1051</v>
      </c>
      <c r="D711" s="10">
        <v>3310</v>
      </c>
      <c r="E711" s="10" t="s">
        <v>1061</v>
      </c>
      <c r="F711" s="11">
        <v>49943</v>
      </c>
      <c r="G711" s="11">
        <v>50661</v>
      </c>
      <c r="H711" s="11">
        <v>100604</v>
      </c>
      <c r="I711" s="11">
        <v>27568</v>
      </c>
    </row>
    <row r="712" spans="1:9" x14ac:dyDescent="0.2">
      <c r="A712" s="10">
        <v>6712</v>
      </c>
      <c r="B712" s="10">
        <v>33</v>
      </c>
      <c r="C712" s="10" t="s">
        <v>1051</v>
      </c>
      <c r="D712" s="10">
        <v>3311</v>
      </c>
      <c r="E712" s="10" t="s">
        <v>1062</v>
      </c>
      <c r="F712" s="11">
        <v>2167</v>
      </c>
      <c r="G712" s="11">
        <v>2155</v>
      </c>
      <c r="H712" s="11">
        <v>4322</v>
      </c>
      <c r="I712" s="11">
        <v>1140</v>
      </c>
    </row>
    <row r="713" spans="1:9" x14ac:dyDescent="0.2">
      <c r="A713" s="10">
        <v>6712</v>
      </c>
      <c r="B713" s="10">
        <v>33</v>
      </c>
      <c r="C713" s="10" t="s">
        <v>1051</v>
      </c>
      <c r="D713" s="10">
        <v>3312</v>
      </c>
      <c r="E713" s="10" t="s">
        <v>1063</v>
      </c>
      <c r="F713" s="11">
        <v>19339</v>
      </c>
      <c r="G713" s="11">
        <v>19256</v>
      </c>
      <c r="H713" s="11">
        <v>38595</v>
      </c>
      <c r="I713" s="11">
        <v>9348</v>
      </c>
    </row>
    <row r="714" spans="1:9" x14ac:dyDescent="0.2">
      <c r="A714" s="10">
        <v>6712</v>
      </c>
      <c r="B714" s="10">
        <v>33</v>
      </c>
      <c r="C714" s="10" t="s">
        <v>1051</v>
      </c>
      <c r="D714" s="10">
        <v>3313</v>
      </c>
      <c r="E714" s="10" t="s">
        <v>1064</v>
      </c>
      <c r="F714" s="11">
        <v>19720</v>
      </c>
      <c r="G714" s="11">
        <v>19451</v>
      </c>
      <c r="H714" s="11">
        <v>39171</v>
      </c>
      <c r="I714" s="11">
        <v>12562</v>
      </c>
    </row>
    <row r="715" spans="1:9" x14ac:dyDescent="0.2">
      <c r="A715" s="10">
        <v>6712</v>
      </c>
      <c r="B715" s="10">
        <v>33</v>
      </c>
      <c r="C715" s="10" t="s">
        <v>1051</v>
      </c>
      <c r="D715" s="10">
        <v>3314</v>
      </c>
      <c r="E715" s="10" t="s">
        <v>1065</v>
      </c>
      <c r="F715" s="11">
        <v>23906</v>
      </c>
      <c r="G715" s="11">
        <v>24166</v>
      </c>
      <c r="H715" s="11">
        <v>48072</v>
      </c>
      <c r="I715" s="11">
        <v>11885</v>
      </c>
    </row>
    <row r="716" spans="1:9" x14ac:dyDescent="0.2">
      <c r="A716" s="10">
        <v>6712</v>
      </c>
      <c r="B716" s="10">
        <v>33</v>
      </c>
      <c r="C716" s="10" t="s">
        <v>1051</v>
      </c>
      <c r="D716" s="10">
        <v>3315</v>
      </c>
      <c r="E716" s="10" t="s">
        <v>1066</v>
      </c>
      <c r="F716" s="11">
        <v>22413</v>
      </c>
      <c r="G716" s="11">
        <v>21874</v>
      </c>
      <c r="H716" s="11">
        <v>44287</v>
      </c>
      <c r="I716" s="11">
        <v>11748</v>
      </c>
    </row>
    <row r="717" spans="1:9" x14ac:dyDescent="0.2">
      <c r="A717" s="10">
        <v>6712</v>
      </c>
      <c r="B717" s="10">
        <v>33</v>
      </c>
      <c r="C717" s="10" t="s">
        <v>1051</v>
      </c>
      <c r="D717" s="10">
        <v>3316</v>
      </c>
      <c r="E717" s="10" t="s">
        <v>1067</v>
      </c>
      <c r="F717" s="11">
        <v>20179</v>
      </c>
      <c r="G717" s="11">
        <v>20019</v>
      </c>
      <c r="H717" s="11">
        <v>40198</v>
      </c>
      <c r="I717" s="11">
        <v>9938</v>
      </c>
    </row>
    <row r="718" spans="1:9" x14ac:dyDescent="0.2">
      <c r="A718" s="10">
        <v>6712</v>
      </c>
      <c r="B718" s="10">
        <v>33</v>
      </c>
      <c r="C718" s="10" t="s">
        <v>1051</v>
      </c>
      <c r="D718" s="10">
        <v>3317</v>
      </c>
      <c r="E718" s="10" t="s">
        <v>1068</v>
      </c>
      <c r="F718" s="11">
        <v>27506</v>
      </c>
      <c r="G718" s="11">
        <v>27098</v>
      </c>
      <c r="H718" s="11">
        <v>54604</v>
      </c>
      <c r="I718" s="11">
        <v>16576</v>
      </c>
    </row>
    <row r="719" spans="1:9" x14ac:dyDescent="0.2">
      <c r="A719" s="10">
        <v>6712</v>
      </c>
      <c r="B719" s="10">
        <v>33</v>
      </c>
      <c r="C719" s="10" t="s">
        <v>1051</v>
      </c>
      <c r="D719" s="10">
        <v>3318</v>
      </c>
      <c r="E719" s="10" t="s">
        <v>1069</v>
      </c>
      <c r="F719" s="11">
        <v>8850</v>
      </c>
      <c r="G719" s="11">
        <v>8702</v>
      </c>
      <c r="H719" s="11">
        <v>17552</v>
      </c>
      <c r="I719" s="11">
        <v>4620</v>
      </c>
    </row>
    <row r="720" spans="1:9" x14ac:dyDescent="0.2">
      <c r="A720" s="10">
        <v>6712</v>
      </c>
      <c r="B720" s="10">
        <v>33</v>
      </c>
      <c r="C720" s="10" t="s">
        <v>1051</v>
      </c>
      <c r="D720" s="10">
        <v>3319</v>
      </c>
      <c r="E720" s="10" t="s">
        <v>1070</v>
      </c>
      <c r="F720" s="11">
        <v>18001</v>
      </c>
      <c r="G720" s="11">
        <v>17785</v>
      </c>
      <c r="H720" s="11">
        <v>35786</v>
      </c>
      <c r="I720" s="11">
        <v>9791</v>
      </c>
    </row>
    <row r="721" spans="1:9" x14ac:dyDescent="0.2">
      <c r="A721" s="10">
        <v>6712</v>
      </c>
      <c r="B721" s="10">
        <v>33</v>
      </c>
      <c r="C721" s="10" t="s">
        <v>1051</v>
      </c>
      <c r="D721" s="10">
        <v>3320</v>
      </c>
      <c r="E721" s="10" t="s">
        <v>1071</v>
      </c>
      <c r="F721" s="11">
        <v>15187</v>
      </c>
      <c r="G721" s="11">
        <v>15508</v>
      </c>
      <c r="H721" s="11">
        <v>30695</v>
      </c>
      <c r="I721" s="11">
        <v>8569</v>
      </c>
    </row>
    <row r="722" spans="1:9" x14ac:dyDescent="0.2">
      <c r="A722" s="10">
        <v>6712</v>
      </c>
      <c r="B722" s="10">
        <v>33</v>
      </c>
      <c r="C722" s="10" t="s">
        <v>1051</v>
      </c>
      <c r="D722" s="10">
        <v>3321</v>
      </c>
      <c r="E722" s="10" t="s">
        <v>1072</v>
      </c>
      <c r="F722" s="11">
        <v>11700</v>
      </c>
      <c r="G722" s="11">
        <v>11682</v>
      </c>
      <c r="H722" s="11">
        <v>23382</v>
      </c>
      <c r="I722" s="11">
        <v>5940</v>
      </c>
    </row>
    <row r="723" spans="1:9" x14ac:dyDescent="0.2">
      <c r="A723" s="10">
        <v>6712</v>
      </c>
      <c r="B723" s="10">
        <v>33</v>
      </c>
      <c r="C723" s="10" t="s">
        <v>1051</v>
      </c>
      <c r="D723" s="10">
        <v>3322</v>
      </c>
      <c r="E723" s="10" t="s">
        <v>1073</v>
      </c>
      <c r="F723" s="11">
        <v>9765</v>
      </c>
      <c r="G723" s="11">
        <v>9663</v>
      </c>
      <c r="H723" s="11">
        <v>19428</v>
      </c>
      <c r="I723" s="11">
        <v>5606</v>
      </c>
    </row>
    <row r="724" spans="1:9" x14ac:dyDescent="0.2">
      <c r="A724" s="10">
        <v>6712</v>
      </c>
      <c r="B724" s="10">
        <v>33</v>
      </c>
      <c r="C724" s="10" t="s">
        <v>1051</v>
      </c>
      <c r="D724" s="10">
        <v>3381</v>
      </c>
      <c r="E724" s="10" t="s">
        <v>1074</v>
      </c>
      <c r="F724" s="11">
        <v>5137</v>
      </c>
      <c r="G724" s="11">
        <v>5017</v>
      </c>
      <c r="H724" s="11">
        <v>10154</v>
      </c>
      <c r="I724" s="11">
        <v>2868</v>
      </c>
    </row>
    <row r="725" spans="1:9" x14ac:dyDescent="0.2">
      <c r="A725" s="10">
        <v>6712</v>
      </c>
      <c r="B725" s="10">
        <v>33</v>
      </c>
      <c r="C725" s="10" t="s">
        <v>1051</v>
      </c>
      <c r="D725" s="10">
        <v>3382</v>
      </c>
      <c r="E725" s="10" t="s">
        <v>1075</v>
      </c>
      <c r="F725" s="11">
        <v>4570</v>
      </c>
      <c r="G725" s="11">
        <v>4392</v>
      </c>
      <c r="H725" s="11">
        <v>8962</v>
      </c>
      <c r="I725" s="11">
        <v>2375</v>
      </c>
    </row>
    <row r="726" spans="1:9" x14ac:dyDescent="0.2">
      <c r="A726" s="10">
        <v>6712</v>
      </c>
      <c r="B726" s="10">
        <v>33</v>
      </c>
      <c r="C726" s="10" t="s">
        <v>1051</v>
      </c>
      <c r="D726" s="10">
        <v>3383</v>
      </c>
      <c r="E726" s="10" t="s">
        <v>1076</v>
      </c>
      <c r="F726" s="11">
        <v>4306</v>
      </c>
      <c r="G726" s="11">
        <v>4439</v>
      </c>
      <c r="H726" s="11">
        <v>8745</v>
      </c>
      <c r="I726" s="11">
        <v>2298</v>
      </c>
    </row>
    <row r="727" spans="1:9" x14ac:dyDescent="0.2">
      <c r="A727" s="10">
        <v>6712</v>
      </c>
      <c r="B727" s="10">
        <v>33</v>
      </c>
      <c r="C727" s="10" t="s">
        <v>1051</v>
      </c>
      <c r="D727" s="10">
        <v>3384</v>
      </c>
      <c r="E727" s="10" t="s">
        <v>1077</v>
      </c>
      <c r="F727" s="11">
        <v>5162</v>
      </c>
      <c r="G727" s="11">
        <v>5348</v>
      </c>
      <c r="H727" s="11">
        <v>10510</v>
      </c>
      <c r="I727" s="11">
        <v>3175</v>
      </c>
    </row>
    <row r="728" spans="1:9" x14ac:dyDescent="0.2">
      <c r="A728" s="10">
        <v>6712</v>
      </c>
      <c r="B728" s="10">
        <v>33</v>
      </c>
      <c r="C728" s="10" t="s">
        <v>1051</v>
      </c>
      <c r="D728" s="10">
        <v>3385</v>
      </c>
      <c r="E728" s="10" t="s">
        <v>1078</v>
      </c>
      <c r="F728" s="11">
        <v>4538</v>
      </c>
      <c r="G728" s="11">
        <v>4519</v>
      </c>
      <c r="H728" s="11">
        <v>9057</v>
      </c>
      <c r="I728" s="11">
        <v>2123</v>
      </c>
    </row>
    <row r="729" spans="1:9" x14ac:dyDescent="0.2">
      <c r="A729" s="10">
        <v>6712</v>
      </c>
      <c r="B729" s="10">
        <v>33</v>
      </c>
      <c r="C729" s="10" t="s">
        <v>1051</v>
      </c>
      <c r="D729" s="10">
        <v>3386</v>
      </c>
      <c r="E729" s="10" t="s">
        <v>1079</v>
      </c>
      <c r="F729" s="11">
        <v>1920</v>
      </c>
      <c r="G729" s="11">
        <v>1952</v>
      </c>
      <c r="H729" s="11">
        <v>3872</v>
      </c>
      <c r="I729" s="11">
        <v>1540</v>
      </c>
    </row>
    <row r="730" spans="1:9" x14ac:dyDescent="0.2">
      <c r="A730" s="10">
        <v>6712</v>
      </c>
      <c r="B730" s="10">
        <v>33</v>
      </c>
      <c r="C730" s="10" t="s">
        <v>1051</v>
      </c>
      <c r="D730" s="10">
        <v>3387</v>
      </c>
      <c r="E730" s="10" t="s">
        <v>1080</v>
      </c>
      <c r="F730" s="11">
        <v>2242</v>
      </c>
      <c r="G730" s="11">
        <v>2325</v>
      </c>
      <c r="H730" s="11">
        <v>4567</v>
      </c>
      <c r="I730" s="11">
        <v>1503</v>
      </c>
    </row>
    <row r="731" spans="1:9" x14ac:dyDescent="0.2">
      <c r="A731" s="10">
        <v>6712</v>
      </c>
      <c r="B731" s="10">
        <v>33</v>
      </c>
      <c r="C731" s="10" t="s">
        <v>1051</v>
      </c>
      <c r="D731" s="10">
        <v>3388</v>
      </c>
      <c r="E731" s="10" t="s">
        <v>1081</v>
      </c>
      <c r="F731" s="11">
        <v>1656</v>
      </c>
      <c r="G731" s="11">
        <v>1611</v>
      </c>
      <c r="H731" s="11">
        <v>3267</v>
      </c>
      <c r="I731" s="11">
        <v>1110</v>
      </c>
    </row>
    <row r="732" spans="1:9" x14ac:dyDescent="0.2">
      <c r="A732" s="10">
        <v>6712</v>
      </c>
      <c r="B732" s="10">
        <v>33</v>
      </c>
      <c r="C732" s="10" t="s">
        <v>1051</v>
      </c>
      <c r="D732" s="10">
        <v>3389</v>
      </c>
      <c r="E732" s="10" t="s">
        <v>1082</v>
      </c>
      <c r="F732" s="11">
        <v>2904</v>
      </c>
      <c r="G732" s="11">
        <v>3045</v>
      </c>
      <c r="H732" s="11">
        <v>5949</v>
      </c>
      <c r="I732" s="11">
        <v>1914</v>
      </c>
    </row>
    <row r="733" spans="1:9" x14ac:dyDescent="0.2">
      <c r="A733" s="10">
        <v>6712</v>
      </c>
      <c r="B733" s="10">
        <v>33</v>
      </c>
      <c r="C733" s="10" t="s">
        <v>1051</v>
      </c>
      <c r="D733" s="10">
        <v>3390</v>
      </c>
      <c r="E733" s="10" t="s">
        <v>1083</v>
      </c>
      <c r="F733" s="11">
        <v>1196</v>
      </c>
      <c r="G733" s="11">
        <v>1314</v>
      </c>
      <c r="H733" s="11">
        <v>2510</v>
      </c>
      <c r="I733" s="11">
        <v>1354</v>
      </c>
    </row>
    <row r="734" spans="1:9" x14ac:dyDescent="0.2">
      <c r="A734" s="10">
        <v>6712</v>
      </c>
      <c r="B734" s="10">
        <v>33</v>
      </c>
      <c r="C734" s="10" t="s">
        <v>1051</v>
      </c>
      <c r="D734" s="10">
        <v>3391</v>
      </c>
      <c r="E734" s="10" t="s">
        <v>947</v>
      </c>
      <c r="F734" s="11">
        <v>1831</v>
      </c>
      <c r="G734" s="11">
        <v>1962</v>
      </c>
      <c r="H734" s="11">
        <v>3793</v>
      </c>
      <c r="I734" s="11">
        <v>2165</v>
      </c>
    </row>
    <row r="735" spans="1:9" x14ac:dyDescent="0.2">
      <c r="A735" s="10">
        <v>6712</v>
      </c>
      <c r="B735" s="10">
        <v>33</v>
      </c>
      <c r="C735" s="10" t="s">
        <v>1051</v>
      </c>
      <c r="D735" s="10">
        <v>3392</v>
      </c>
      <c r="E735" s="10" t="s">
        <v>1084</v>
      </c>
      <c r="F735" s="11">
        <v>5232</v>
      </c>
      <c r="G735" s="11">
        <v>5348</v>
      </c>
      <c r="H735" s="11">
        <v>10580</v>
      </c>
      <c r="I735" s="11">
        <v>3936</v>
      </c>
    </row>
    <row r="736" spans="1:9" x14ac:dyDescent="0.2">
      <c r="A736" s="10">
        <v>6712</v>
      </c>
      <c r="B736" s="10">
        <v>33</v>
      </c>
      <c r="C736" s="10" t="s">
        <v>1051</v>
      </c>
      <c r="D736" s="10">
        <v>3393</v>
      </c>
      <c r="E736" s="10" t="s">
        <v>1085</v>
      </c>
      <c r="F736" s="11">
        <v>1365</v>
      </c>
      <c r="G736" s="11">
        <v>1409</v>
      </c>
      <c r="H736" s="11">
        <v>2774</v>
      </c>
      <c r="I736" s="11">
        <v>1382</v>
      </c>
    </row>
    <row r="737" spans="1:9" x14ac:dyDescent="0.2">
      <c r="A737" s="10">
        <v>6712</v>
      </c>
      <c r="B737" s="10">
        <v>33</v>
      </c>
      <c r="C737" s="10" t="s">
        <v>1051</v>
      </c>
      <c r="D737" s="10">
        <v>3394</v>
      </c>
      <c r="E737" s="10" t="s">
        <v>1086</v>
      </c>
      <c r="F737" s="11">
        <v>5368</v>
      </c>
      <c r="G737" s="11">
        <v>5399</v>
      </c>
      <c r="H737" s="11">
        <v>10767</v>
      </c>
      <c r="I737" s="11">
        <v>3078</v>
      </c>
    </row>
    <row r="738" spans="1:9" x14ac:dyDescent="0.2">
      <c r="A738" s="10">
        <v>6712</v>
      </c>
      <c r="B738" s="10">
        <v>33</v>
      </c>
      <c r="C738" s="10" t="s">
        <v>1051</v>
      </c>
      <c r="D738" s="10">
        <v>3395</v>
      </c>
      <c r="E738" s="10" t="s">
        <v>1087</v>
      </c>
      <c r="F738" s="11">
        <v>1994</v>
      </c>
      <c r="G738" s="11">
        <v>2116</v>
      </c>
      <c r="H738" s="11">
        <v>4110</v>
      </c>
      <c r="I738" s="11">
        <v>2200</v>
      </c>
    </row>
    <row r="739" spans="1:9" x14ac:dyDescent="0.2">
      <c r="A739" s="10">
        <v>6712</v>
      </c>
      <c r="B739" s="10">
        <v>33</v>
      </c>
      <c r="C739" s="10" t="s">
        <v>1051</v>
      </c>
      <c r="D739" s="10">
        <v>3396</v>
      </c>
      <c r="E739" s="10" t="s">
        <v>1088</v>
      </c>
      <c r="F739" s="11">
        <v>8185</v>
      </c>
      <c r="G739" s="11">
        <v>8975</v>
      </c>
      <c r="H739" s="11">
        <v>17160</v>
      </c>
      <c r="I739" s="11">
        <v>7867</v>
      </c>
    </row>
    <row r="740" spans="1:9" x14ac:dyDescent="0.2">
      <c r="A740" s="10">
        <v>6712</v>
      </c>
      <c r="B740" s="10">
        <v>33</v>
      </c>
      <c r="C740" s="10" t="s">
        <v>1051</v>
      </c>
      <c r="D740" s="10">
        <v>3397</v>
      </c>
      <c r="E740" s="10" t="s">
        <v>1089</v>
      </c>
      <c r="F740" s="11">
        <v>2831</v>
      </c>
      <c r="G740" s="11">
        <v>3086</v>
      </c>
      <c r="H740" s="11">
        <v>5917</v>
      </c>
      <c r="I740" s="11">
        <v>3346</v>
      </c>
    </row>
    <row r="741" spans="1:9" x14ac:dyDescent="0.2">
      <c r="A741" s="10">
        <v>6712</v>
      </c>
      <c r="B741" s="10">
        <v>33</v>
      </c>
      <c r="C741" s="10" t="s">
        <v>1051</v>
      </c>
      <c r="D741" s="10">
        <v>3398</v>
      </c>
      <c r="E741" s="10" t="s">
        <v>1090</v>
      </c>
      <c r="F741" s="11">
        <v>3038</v>
      </c>
      <c r="G741" s="11">
        <v>3171</v>
      </c>
      <c r="H741" s="11">
        <v>6209</v>
      </c>
      <c r="I741" s="11">
        <v>2522</v>
      </c>
    </row>
    <row r="742" spans="1:9" x14ac:dyDescent="0.2">
      <c r="A742" s="10">
        <v>6712</v>
      </c>
      <c r="B742" s="10">
        <v>33</v>
      </c>
      <c r="C742" s="10" t="s">
        <v>1051</v>
      </c>
      <c r="D742" s="10">
        <v>3399</v>
      </c>
      <c r="E742" s="10" t="s">
        <v>1091</v>
      </c>
      <c r="F742" s="11">
        <v>18197</v>
      </c>
      <c r="G742" s="11">
        <v>20549</v>
      </c>
      <c r="H742" s="11">
        <v>38746</v>
      </c>
      <c r="I742" s="11">
        <v>21761</v>
      </c>
    </row>
    <row r="743" spans="1:9" x14ac:dyDescent="0.2">
      <c r="A743" s="10">
        <v>6712</v>
      </c>
      <c r="B743" s="10">
        <v>34</v>
      </c>
      <c r="C743" s="10" t="s">
        <v>1092</v>
      </c>
      <c r="D743" s="10">
        <v>3401</v>
      </c>
      <c r="E743" s="10" t="s">
        <v>1093</v>
      </c>
      <c r="F743" s="11">
        <v>48202</v>
      </c>
      <c r="G743" s="11">
        <v>50196</v>
      </c>
      <c r="H743" s="11">
        <v>98398</v>
      </c>
      <c r="I743" s="11">
        <v>38838</v>
      </c>
    </row>
    <row r="744" spans="1:9" x14ac:dyDescent="0.2">
      <c r="A744" s="10">
        <v>6712</v>
      </c>
      <c r="B744" s="10">
        <v>34</v>
      </c>
      <c r="C744" s="10" t="s">
        <v>1092</v>
      </c>
      <c r="D744" s="10">
        <v>3402</v>
      </c>
      <c r="E744" s="10" t="s">
        <v>1094</v>
      </c>
      <c r="F744" s="11">
        <v>33605</v>
      </c>
      <c r="G744" s="11">
        <v>33061</v>
      </c>
      <c r="H744" s="11">
        <v>66666</v>
      </c>
      <c r="I744" s="11">
        <v>20190</v>
      </c>
    </row>
    <row r="745" spans="1:9" x14ac:dyDescent="0.2">
      <c r="A745" s="10">
        <v>6712</v>
      </c>
      <c r="B745" s="10">
        <v>34</v>
      </c>
      <c r="C745" s="10" t="s">
        <v>1092</v>
      </c>
      <c r="D745" s="10">
        <v>3403</v>
      </c>
      <c r="E745" s="10" t="s">
        <v>1095</v>
      </c>
      <c r="F745" s="11">
        <v>18294</v>
      </c>
      <c r="G745" s="11">
        <v>18033</v>
      </c>
      <c r="H745" s="11">
        <v>36327</v>
      </c>
      <c r="I745" s="11">
        <v>10854</v>
      </c>
    </row>
    <row r="746" spans="1:9" x14ac:dyDescent="0.2">
      <c r="A746" s="10">
        <v>6712</v>
      </c>
      <c r="B746" s="10">
        <v>34</v>
      </c>
      <c r="C746" s="10" t="s">
        <v>1092</v>
      </c>
      <c r="D746" s="10">
        <v>3404</v>
      </c>
      <c r="E746" s="10" t="s">
        <v>1096</v>
      </c>
      <c r="F746" s="11">
        <v>49824</v>
      </c>
      <c r="G746" s="11">
        <v>50848</v>
      </c>
      <c r="H746" s="11">
        <v>100672</v>
      </c>
      <c r="I746" s="11">
        <v>29244</v>
      </c>
    </row>
    <row r="747" spans="1:9" x14ac:dyDescent="0.2">
      <c r="A747" s="10">
        <v>6712</v>
      </c>
      <c r="B747" s="10">
        <v>34</v>
      </c>
      <c r="C747" s="10" t="s">
        <v>1092</v>
      </c>
      <c r="D747" s="10">
        <v>3405</v>
      </c>
      <c r="E747" s="10" t="s">
        <v>1097</v>
      </c>
      <c r="F747" s="11">
        <v>15998</v>
      </c>
      <c r="G747" s="11">
        <v>16012</v>
      </c>
      <c r="H747" s="11">
        <v>32010</v>
      </c>
      <c r="I747" s="11">
        <v>9534</v>
      </c>
    </row>
    <row r="748" spans="1:9" x14ac:dyDescent="0.2">
      <c r="A748" s="10">
        <v>6712</v>
      </c>
      <c r="B748" s="10">
        <v>34</v>
      </c>
      <c r="C748" s="10" t="s">
        <v>1092</v>
      </c>
      <c r="D748" s="10">
        <v>3407</v>
      </c>
      <c r="E748" s="10" t="s">
        <v>1098</v>
      </c>
      <c r="F748" s="11">
        <v>66362</v>
      </c>
      <c r="G748" s="11">
        <v>65513</v>
      </c>
      <c r="H748" s="11">
        <v>131875</v>
      </c>
      <c r="I748" s="11">
        <v>56002</v>
      </c>
    </row>
    <row r="749" spans="1:9" x14ac:dyDescent="0.2">
      <c r="A749" s="10">
        <v>6712</v>
      </c>
      <c r="B749" s="10">
        <v>34</v>
      </c>
      <c r="C749" s="10" t="s">
        <v>1092</v>
      </c>
      <c r="D749" s="10">
        <v>3408</v>
      </c>
      <c r="E749" s="10" t="s">
        <v>1099</v>
      </c>
      <c r="F749" s="11">
        <v>26148</v>
      </c>
      <c r="G749" s="11">
        <v>25499</v>
      </c>
      <c r="H749" s="11">
        <v>51647</v>
      </c>
      <c r="I749" s="11">
        <v>19398</v>
      </c>
    </row>
    <row r="750" spans="1:9" x14ac:dyDescent="0.2">
      <c r="A750" s="10">
        <v>6712</v>
      </c>
      <c r="B750" s="10">
        <v>34</v>
      </c>
      <c r="C750" s="10" t="s">
        <v>1092</v>
      </c>
      <c r="D750" s="10">
        <v>3409</v>
      </c>
      <c r="E750" s="10" t="s">
        <v>1100</v>
      </c>
      <c r="F750" s="11">
        <v>31041</v>
      </c>
      <c r="G750" s="11">
        <v>30147</v>
      </c>
      <c r="H750" s="11">
        <v>61188</v>
      </c>
      <c r="I750" s="11">
        <v>21464</v>
      </c>
    </row>
    <row r="751" spans="1:9" x14ac:dyDescent="0.2">
      <c r="A751" s="10">
        <v>6712</v>
      </c>
      <c r="B751" s="10">
        <v>34</v>
      </c>
      <c r="C751" s="10" t="s">
        <v>1092</v>
      </c>
      <c r="D751" s="10">
        <v>3410</v>
      </c>
      <c r="E751" s="10" t="s">
        <v>1101</v>
      </c>
      <c r="F751" s="11">
        <v>39522</v>
      </c>
      <c r="G751" s="11">
        <v>38460</v>
      </c>
      <c r="H751" s="11">
        <v>77982</v>
      </c>
      <c r="I751" s="11">
        <v>25208</v>
      </c>
    </row>
    <row r="752" spans="1:9" x14ac:dyDescent="0.2">
      <c r="A752" s="10">
        <v>6712</v>
      </c>
      <c r="B752" s="10">
        <v>34</v>
      </c>
      <c r="C752" s="10" t="s">
        <v>1092</v>
      </c>
      <c r="D752" s="10">
        <v>3411</v>
      </c>
      <c r="E752" s="10" t="s">
        <v>1102</v>
      </c>
      <c r="F752" s="11">
        <v>55878</v>
      </c>
      <c r="G752" s="11">
        <v>55449</v>
      </c>
      <c r="H752" s="11">
        <v>111327</v>
      </c>
      <c r="I752" s="11">
        <v>31122</v>
      </c>
    </row>
    <row r="753" spans="1:9" x14ac:dyDescent="0.2">
      <c r="A753" s="10">
        <v>6712</v>
      </c>
      <c r="B753" s="10">
        <v>34</v>
      </c>
      <c r="C753" s="10" t="s">
        <v>1092</v>
      </c>
      <c r="D753" s="10">
        <v>3412</v>
      </c>
      <c r="E753" s="10" t="s">
        <v>1103</v>
      </c>
      <c r="F753" s="11">
        <v>18365</v>
      </c>
      <c r="G753" s="11">
        <v>18154</v>
      </c>
      <c r="H753" s="11">
        <v>36519</v>
      </c>
      <c r="I753" s="11">
        <v>9947</v>
      </c>
    </row>
    <row r="754" spans="1:9" x14ac:dyDescent="0.2">
      <c r="A754" s="10">
        <v>6712</v>
      </c>
      <c r="B754" s="10">
        <v>34</v>
      </c>
      <c r="C754" s="10" t="s">
        <v>1092</v>
      </c>
      <c r="D754" s="10">
        <v>3414</v>
      </c>
      <c r="E754" s="10" t="s">
        <v>1104</v>
      </c>
      <c r="F754" s="11">
        <v>40336</v>
      </c>
      <c r="G754" s="11">
        <v>40308</v>
      </c>
      <c r="H754" s="11">
        <v>80644</v>
      </c>
      <c r="I754" s="11">
        <v>24063</v>
      </c>
    </row>
    <row r="755" spans="1:9" x14ac:dyDescent="0.2">
      <c r="A755" s="10">
        <v>6712</v>
      </c>
      <c r="B755" s="10">
        <v>34</v>
      </c>
      <c r="C755" s="10" t="s">
        <v>1092</v>
      </c>
      <c r="D755" s="10">
        <v>3415</v>
      </c>
      <c r="E755" s="10" t="s">
        <v>1105</v>
      </c>
      <c r="F755" s="11">
        <v>46196</v>
      </c>
      <c r="G755" s="11">
        <v>47125</v>
      </c>
      <c r="H755" s="11">
        <v>93321</v>
      </c>
      <c r="I755" s="11">
        <v>32952</v>
      </c>
    </row>
    <row r="756" spans="1:9" x14ac:dyDescent="0.2">
      <c r="A756" s="10">
        <v>6712</v>
      </c>
      <c r="B756" s="10">
        <v>34</v>
      </c>
      <c r="C756" s="10" t="s">
        <v>1092</v>
      </c>
      <c r="D756" s="10">
        <v>3419</v>
      </c>
      <c r="E756" s="10" t="s">
        <v>1106</v>
      </c>
      <c r="F756" s="11">
        <v>52369</v>
      </c>
      <c r="G756" s="11">
        <v>51691</v>
      </c>
      <c r="H756" s="11">
        <v>104060</v>
      </c>
      <c r="I756" s="11">
        <v>35796</v>
      </c>
    </row>
    <row r="757" spans="1:9" x14ac:dyDescent="0.2">
      <c r="A757" s="10">
        <v>6712</v>
      </c>
      <c r="B757" s="10">
        <v>34</v>
      </c>
      <c r="C757" s="10" t="s">
        <v>1092</v>
      </c>
      <c r="D757" s="10">
        <v>3420</v>
      </c>
      <c r="E757" s="10" t="s">
        <v>1107</v>
      </c>
      <c r="F757" s="11">
        <v>15089</v>
      </c>
      <c r="G757" s="11">
        <v>14662</v>
      </c>
      <c r="H757" s="11">
        <v>29751</v>
      </c>
      <c r="I757" s="11">
        <v>9007</v>
      </c>
    </row>
    <row r="758" spans="1:9" x14ac:dyDescent="0.2">
      <c r="A758" s="10">
        <v>6712</v>
      </c>
      <c r="B758" s="10">
        <v>34</v>
      </c>
      <c r="C758" s="10" t="s">
        <v>1092</v>
      </c>
      <c r="D758" s="10">
        <v>3421</v>
      </c>
      <c r="E758" s="10" t="s">
        <v>1108</v>
      </c>
      <c r="F758" s="11">
        <v>22824</v>
      </c>
      <c r="G758" s="11">
        <v>22250</v>
      </c>
      <c r="H758" s="11">
        <v>45074</v>
      </c>
      <c r="I758" s="11">
        <v>12629</v>
      </c>
    </row>
    <row r="759" spans="1:9" x14ac:dyDescent="0.2">
      <c r="A759" s="10">
        <v>6712</v>
      </c>
      <c r="B759" s="10">
        <v>34</v>
      </c>
      <c r="C759" s="10" t="s">
        <v>1092</v>
      </c>
      <c r="D759" s="10">
        <v>3422</v>
      </c>
      <c r="E759" s="10" t="s">
        <v>1109</v>
      </c>
      <c r="F759" s="11">
        <v>26961</v>
      </c>
      <c r="G759" s="11">
        <v>26871</v>
      </c>
      <c r="H759" s="11">
        <v>53832</v>
      </c>
      <c r="I759" s="11">
        <v>15617</v>
      </c>
    </row>
    <row r="760" spans="1:9" x14ac:dyDescent="0.2">
      <c r="A760" s="10">
        <v>6712</v>
      </c>
      <c r="B760" s="10">
        <v>34</v>
      </c>
      <c r="C760" s="10" t="s">
        <v>1092</v>
      </c>
      <c r="D760" s="10">
        <v>3424</v>
      </c>
      <c r="E760" s="10" t="s">
        <v>1110</v>
      </c>
      <c r="F760" s="11">
        <v>13596</v>
      </c>
      <c r="G760" s="11">
        <v>13468</v>
      </c>
      <c r="H760" s="11">
        <v>27064</v>
      </c>
      <c r="I760" s="11">
        <v>8413</v>
      </c>
    </row>
    <row r="761" spans="1:9" x14ac:dyDescent="0.2">
      <c r="A761" s="10">
        <v>6712</v>
      </c>
      <c r="B761" s="10">
        <v>34</v>
      </c>
      <c r="C761" s="10" t="s">
        <v>1092</v>
      </c>
      <c r="D761" s="10">
        <v>3425</v>
      </c>
      <c r="E761" s="10" t="s">
        <v>1111</v>
      </c>
      <c r="F761" s="11">
        <v>22491</v>
      </c>
      <c r="G761" s="11">
        <v>21756</v>
      </c>
      <c r="H761" s="11">
        <v>44247</v>
      </c>
      <c r="I761" s="11">
        <v>15417</v>
      </c>
    </row>
    <row r="762" spans="1:9" x14ac:dyDescent="0.2">
      <c r="A762" s="10">
        <v>6712</v>
      </c>
      <c r="B762" s="10">
        <v>34</v>
      </c>
      <c r="C762" s="10" t="s">
        <v>1092</v>
      </c>
      <c r="D762" s="10">
        <v>3426</v>
      </c>
      <c r="E762" s="10" t="s">
        <v>1112</v>
      </c>
      <c r="F762" s="11">
        <v>14736</v>
      </c>
      <c r="G762" s="11">
        <v>14383</v>
      </c>
      <c r="H762" s="11">
        <v>29119</v>
      </c>
      <c r="I762" s="11">
        <v>9519</v>
      </c>
    </row>
    <row r="763" spans="1:9" x14ac:dyDescent="0.2">
      <c r="A763" s="10">
        <v>6712</v>
      </c>
      <c r="B763" s="10">
        <v>34</v>
      </c>
      <c r="C763" s="10" t="s">
        <v>1092</v>
      </c>
      <c r="D763" s="10">
        <v>3429</v>
      </c>
      <c r="E763" s="10" t="s">
        <v>1113</v>
      </c>
      <c r="F763" s="11">
        <v>10929</v>
      </c>
      <c r="G763" s="11">
        <v>10288</v>
      </c>
      <c r="H763" s="11">
        <v>21217</v>
      </c>
      <c r="I763" s="11">
        <v>7580</v>
      </c>
    </row>
    <row r="764" spans="1:9" x14ac:dyDescent="0.2">
      <c r="A764" s="10">
        <v>6712</v>
      </c>
      <c r="B764" s="10">
        <v>34</v>
      </c>
      <c r="C764" s="10" t="s">
        <v>1092</v>
      </c>
      <c r="D764" s="10">
        <v>3430</v>
      </c>
      <c r="E764" s="10" t="s">
        <v>1114</v>
      </c>
      <c r="F764" s="11">
        <v>19484</v>
      </c>
      <c r="G764" s="11">
        <v>19455</v>
      </c>
      <c r="H764" s="11">
        <v>38939</v>
      </c>
      <c r="I764" s="11">
        <v>11938</v>
      </c>
    </row>
    <row r="765" spans="1:9" x14ac:dyDescent="0.2">
      <c r="A765" s="10">
        <v>6712</v>
      </c>
      <c r="B765" s="10">
        <v>34</v>
      </c>
      <c r="C765" s="10" t="s">
        <v>1092</v>
      </c>
      <c r="D765" s="10">
        <v>3431</v>
      </c>
      <c r="E765" s="10" t="s">
        <v>1115</v>
      </c>
      <c r="F765" s="11">
        <v>14063</v>
      </c>
      <c r="G765" s="11">
        <v>13966</v>
      </c>
      <c r="H765" s="11">
        <v>28029</v>
      </c>
      <c r="I765" s="11">
        <v>8372</v>
      </c>
    </row>
    <row r="766" spans="1:9" x14ac:dyDescent="0.2">
      <c r="A766" s="10">
        <v>6712</v>
      </c>
      <c r="B766" s="10">
        <v>34</v>
      </c>
      <c r="C766" s="10" t="s">
        <v>1092</v>
      </c>
      <c r="D766" s="10">
        <v>3432</v>
      </c>
      <c r="E766" s="10" t="s">
        <v>1116</v>
      </c>
      <c r="F766" s="11">
        <v>15631</v>
      </c>
      <c r="G766" s="11">
        <v>15518</v>
      </c>
      <c r="H766" s="11">
        <v>31149</v>
      </c>
      <c r="I766" s="11">
        <v>9799</v>
      </c>
    </row>
    <row r="767" spans="1:9" x14ac:dyDescent="0.2">
      <c r="A767" s="10">
        <v>6712</v>
      </c>
      <c r="B767" s="10">
        <v>34</v>
      </c>
      <c r="C767" s="10" t="s">
        <v>1092</v>
      </c>
      <c r="D767" s="10">
        <v>3433</v>
      </c>
      <c r="E767" s="10" t="s">
        <v>1117</v>
      </c>
      <c r="F767" s="11">
        <v>16716</v>
      </c>
      <c r="G767" s="11">
        <v>16477</v>
      </c>
      <c r="H767" s="11">
        <v>33193</v>
      </c>
      <c r="I767" s="11">
        <v>11459</v>
      </c>
    </row>
    <row r="768" spans="1:9" x14ac:dyDescent="0.2">
      <c r="A768" s="10">
        <v>6712</v>
      </c>
      <c r="B768" s="10">
        <v>34</v>
      </c>
      <c r="C768" s="10" t="s">
        <v>1092</v>
      </c>
      <c r="D768" s="10">
        <v>3463</v>
      </c>
      <c r="E768" s="10" t="s">
        <v>1118</v>
      </c>
      <c r="F768" s="11">
        <v>5893</v>
      </c>
      <c r="G768" s="11">
        <v>5844</v>
      </c>
      <c r="H768" s="11">
        <v>11737</v>
      </c>
      <c r="I768" s="11">
        <v>4636</v>
      </c>
    </row>
    <row r="769" spans="1:9" x14ac:dyDescent="0.2">
      <c r="A769" s="10">
        <v>6712</v>
      </c>
      <c r="B769" s="10">
        <v>34</v>
      </c>
      <c r="C769" s="10" t="s">
        <v>1092</v>
      </c>
      <c r="D769" s="10">
        <v>3464</v>
      </c>
      <c r="E769" s="10" t="s">
        <v>1119</v>
      </c>
      <c r="F769" s="11">
        <v>4065</v>
      </c>
      <c r="G769" s="11">
        <v>4216</v>
      </c>
      <c r="H769" s="11">
        <v>8281</v>
      </c>
      <c r="I769" s="11">
        <v>3472</v>
      </c>
    </row>
    <row r="770" spans="1:9" x14ac:dyDescent="0.2">
      <c r="A770" s="10">
        <v>6712</v>
      </c>
      <c r="B770" s="10">
        <v>34</v>
      </c>
      <c r="C770" s="10" t="s">
        <v>1092</v>
      </c>
      <c r="D770" s="10">
        <v>3465</v>
      </c>
      <c r="E770" s="10" t="s">
        <v>1120</v>
      </c>
      <c r="F770" s="11">
        <v>6541</v>
      </c>
      <c r="G770" s="11">
        <v>6598</v>
      </c>
      <c r="H770" s="11">
        <v>13139</v>
      </c>
      <c r="I770" s="11">
        <v>3751</v>
      </c>
    </row>
    <row r="771" spans="1:9" x14ac:dyDescent="0.2">
      <c r="A771" s="10">
        <v>6712</v>
      </c>
      <c r="B771" s="10">
        <v>34</v>
      </c>
      <c r="C771" s="10" t="s">
        <v>1092</v>
      </c>
      <c r="D771" s="10">
        <v>3466</v>
      </c>
      <c r="E771" s="10" t="s">
        <v>1121</v>
      </c>
      <c r="F771" s="11">
        <v>4430</v>
      </c>
      <c r="G771" s="11">
        <v>4591</v>
      </c>
      <c r="H771" s="11">
        <v>9021</v>
      </c>
      <c r="I771" s="11">
        <v>3396</v>
      </c>
    </row>
    <row r="772" spans="1:9" x14ac:dyDescent="0.2">
      <c r="A772" s="10">
        <v>6712</v>
      </c>
      <c r="B772" s="10">
        <v>34</v>
      </c>
      <c r="C772" s="10" t="s">
        <v>1092</v>
      </c>
      <c r="D772" s="10">
        <v>3467</v>
      </c>
      <c r="E772" s="10" t="s">
        <v>1122</v>
      </c>
      <c r="F772" s="11">
        <v>4521</v>
      </c>
      <c r="G772" s="11">
        <v>7138</v>
      </c>
      <c r="H772" s="11">
        <v>11659</v>
      </c>
      <c r="I772" s="11">
        <v>3572</v>
      </c>
    </row>
    <row r="773" spans="1:9" x14ac:dyDescent="0.2">
      <c r="A773" s="10">
        <v>6712</v>
      </c>
      <c r="B773" s="10">
        <v>34</v>
      </c>
      <c r="C773" s="10" t="s">
        <v>1092</v>
      </c>
      <c r="D773" s="10">
        <v>3468</v>
      </c>
      <c r="E773" s="10" t="s">
        <v>1123</v>
      </c>
      <c r="F773" s="11">
        <v>4895</v>
      </c>
      <c r="G773" s="11">
        <v>5029</v>
      </c>
      <c r="H773" s="11">
        <v>9924</v>
      </c>
      <c r="I773" s="11">
        <v>3535</v>
      </c>
    </row>
    <row r="774" spans="1:9" x14ac:dyDescent="0.2">
      <c r="A774" s="10">
        <v>6712</v>
      </c>
      <c r="B774" s="10">
        <v>34</v>
      </c>
      <c r="C774" s="10" t="s">
        <v>1092</v>
      </c>
      <c r="D774" s="10">
        <v>3469</v>
      </c>
      <c r="E774" s="10" t="s">
        <v>1124</v>
      </c>
      <c r="F774" s="11">
        <v>4754</v>
      </c>
      <c r="G774" s="11">
        <v>4721</v>
      </c>
      <c r="H774" s="11">
        <v>9475</v>
      </c>
      <c r="I774" s="11">
        <v>3349</v>
      </c>
    </row>
    <row r="775" spans="1:9" x14ac:dyDescent="0.2">
      <c r="A775" s="10">
        <v>6712</v>
      </c>
      <c r="B775" s="10">
        <v>34</v>
      </c>
      <c r="C775" s="10" t="s">
        <v>1092</v>
      </c>
      <c r="D775" s="10">
        <v>3470</v>
      </c>
      <c r="E775" s="10" t="s">
        <v>1125</v>
      </c>
      <c r="F775" s="11">
        <v>6164</v>
      </c>
      <c r="G775" s="11">
        <v>6246</v>
      </c>
      <c r="H775" s="11">
        <v>12410</v>
      </c>
      <c r="I775" s="11">
        <v>4386</v>
      </c>
    </row>
    <row r="776" spans="1:9" x14ac:dyDescent="0.2">
      <c r="A776" s="10">
        <v>6712</v>
      </c>
      <c r="B776" s="10">
        <v>34</v>
      </c>
      <c r="C776" s="10" t="s">
        <v>1092</v>
      </c>
      <c r="D776" s="10">
        <v>3471</v>
      </c>
      <c r="E776" s="10" t="s">
        <v>1126</v>
      </c>
      <c r="F776" s="11">
        <v>4904</v>
      </c>
      <c r="G776" s="11">
        <v>5550</v>
      </c>
      <c r="H776" s="11">
        <v>10454</v>
      </c>
      <c r="I776" s="11">
        <v>4360</v>
      </c>
    </row>
    <row r="777" spans="1:9" x14ac:dyDescent="0.2">
      <c r="A777" s="10">
        <v>6712</v>
      </c>
      <c r="B777" s="10">
        <v>34</v>
      </c>
      <c r="C777" s="10" t="s">
        <v>1092</v>
      </c>
      <c r="D777" s="10">
        <v>3472</v>
      </c>
      <c r="E777" s="10" t="s">
        <v>1127</v>
      </c>
      <c r="F777" s="11">
        <v>6755</v>
      </c>
      <c r="G777" s="11">
        <v>6567</v>
      </c>
      <c r="H777" s="11">
        <v>13322</v>
      </c>
      <c r="I777" s="11">
        <v>4193</v>
      </c>
    </row>
    <row r="778" spans="1:9" x14ac:dyDescent="0.2">
      <c r="A778" s="10">
        <v>6712</v>
      </c>
      <c r="B778" s="10">
        <v>34</v>
      </c>
      <c r="C778" s="10" t="s">
        <v>1092</v>
      </c>
      <c r="D778" s="10">
        <v>3473</v>
      </c>
      <c r="E778" s="10" t="s">
        <v>1128</v>
      </c>
      <c r="F778" s="11">
        <v>3919</v>
      </c>
      <c r="G778" s="11">
        <v>3961</v>
      </c>
      <c r="H778" s="11">
        <v>7880</v>
      </c>
      <c r="I778" s="11">
        <v>3123</v>
      </c>
    </row>
    <row r="779" spans="1:9" x14ac:dyDescent="0.2">
      <c r="A779" s="10">
        <v>6712</v>
      </c>
      <c r="B779" s="10">
        <v>34</v>
      </c>
      <c r="C779" s="10" t="s">
        <v>1092</v>
      </c>
      <c r="D779" s="10">
        <v>3474</v>
      </c>
      <c r="E779" s="10" t="s">
        <v>1129</v>
      </c>
      <c r="F779" s="11">
        <v>6899</v>
      </c>
      <c r="G779" s="11">
        <v>6736</v>
      </c>
      <c r="H779" s="11">
        <v>13635</v>
      </c>
      <c r="I779" s="11">
        <v>5374</v>
      </c>
    </row>
    <row r="780" spans="1:9" x14ac:dyDescent="0.2">
      <c r="A780" s="10">
        <v>6712</v>
      </c>
      <c r="B780" s="10">
        <v>34</v>
      </c>
      <c r="C780" s="10" t="s">
        <v>1092</v>
      </c>
      <c r="D780" s="10">
        <v>3475</v>
      </c>
      <c r="E780" s="10" t="s">
        <v>1130</v>
      </c>
      <c r="F780" s="11">
        <v>19714</v>
      </c>
      <c r="G780" s="11">
        <v>22013</v>
      </c>
      <c r="H780" s="11">
        <v>41727</v>
      </c>
      <c r="I780" s="11">
        <v>22883</v>
      </c>
    </row>
    <row r="781" spans="1:9" x14ac:dyDescent="0.2">
      <c r="A781" s="10">
        <v>6712</v>
      </c>
      <c r="B781" s="10">
        <v>34</v>
      </c>
      <c r="C781" s="10" t="s">
        <v>1092</v>
      </c>
      <c r="D781" s="10">
        <v>3476</v>
      </c>
      <c r="E781" s="10" t="s">
        <v>1131</v>
      </c>
      <c r="F781" s="11">
        <v>13627</v>
      </c>
      <c r="G781" s="11">
        <v>11324</v>
      </c>
      <c r="H781" s="11">
        <v>24951</v>
      </c>
      <c r="I781" s="11">
        <v>11955</v>
      </c>
    </row>
    <row r="782" spans="1:9" x14ac:dyDescent="0.2">
      <c r="A782" s="10">
        <v>6712</v>
      </c>
      <c r="B782" s="10">
        <v>34</v>
      </c>
      <c r="C782" s="10" t="s">
        <v>1092</v>
      </c>
      <c r="D782" s="10">
        <v>3477</v>
      </c>
      <c r="E782" s="10" t="s">
        <v>1132</v>
      </c>
      <c r="F782" s="11">
        <v>3111</v>
      </c>
      <c r="G782" s="11">
        <v>3206</v>
      </c>
      <c r="H782" s="11">
        <v>6317</v>
      </c>
      <c r="I782" s="11">
        <v>1951</v>
      </c>
    </row>
    <row r="783" spans="1:9" x14ac:dyDescent="0.2">
      <c r="A783" s="10">
        <v>6712</v>
      </c>
      <c r="B783" s="10">
        <v>34</v>
      </c>
      <c r="C783" s="10" t="s">
        <v>1092</v>
      </c>
      <c r="D783" s="10">
        <v>3478</v>
      </c>
      <c r="E783" s="10" t="s">
        <v>1133</v>
      </c>
      <c r="F783" s="11">
        <v>1849</v>
      </c>
      <c r="G783" s="11">
        <v>1947</v>
      </c>
      <c r="H783" s="11">
        <v>3796</v>
      </c>
      <c r="I783" s="11">
        <v>1974</v>
      </c>
    </row>
    <row r="784" spans="1:9" x14ac:dyDescent="0.2">
      <c r="A784" s="10">
        <v>6712</v>
      </c>
      <c r="B784" s="10">
        <v>34</v>
      </c>
      <c r="C784" s="10" t="s">
        <v>1092</v>
      </c>
      <c r="D784" s="10">
        <v>3479</v>
      </c>
      <c r="E784" s="10" t="s">
        <v>1134</v>
      </c>
      <c r="F784" s="11">
        <v>1446</v>
      </c>
      <c r="G784" s="11">
        <v>1507</v>
      </c>
      <c r="H784" s="11">
        <v>2953</v>
      </c>
      <c r="I784" s="11">
        <v>1234</v>
      </c>
    </row>
    <row r="785" spans="1:9" x14ac:dyDescent="0.2">
      <c r="A785" s="10">
        <v>6712</v>
      </c>
      <c r="B785" s="10">
        <v>34</v>
      </c>
      <c r="C785" s="10" t="s">
        <v>1092</v>
      </c>
      <c r="D785" s="10">
        <v>3480</v>
      </c>
      <c r="E785" s="10" t="s">
        <v>1135</v>
      </c>
      <c r="F785" s="11">
        <v>1584</v>
      </c>
      <c r="G785" s="11">
        <v>1616</v>
      </c>
      <c r="H785" s="11">
        <v>3200</v>
      </c>
      <c r="I785" s="11">
        <v>1164</v>
      </c>
    </row>
    <row r="786" spans="1:9" x14ac:dyDescent="0.2">
      <c r="A786" s="10">
        <v>6712</v>
      </c>
      <c r="B786" s="10">
        <v>34</v>
      </c>
      <c r="C786" s="10" t="s">
        <v>1092</v>
      </c>
      <c r="D786" s="10">
        <v>3481</v>
      </c>
      <c r="E786" s="10" t="s">
        <v>1136</v>
      </c>
      <c r="F786" s="11">
        <v>1435</v>
      </c>
      <c r="G786" s="11">
        <v>1568</v>
      </c>
      <c r="H786" s="11">
        <v>3003</v>
      </c>
      <c r="I786" s="11">
        <v>1058</v>
      </c>
    </row>
    <row r="787" spans="1:9" x14ac:dyDescent="0.2">
      <c r="A787" s="10">
        <v>6712</v>
      </c>
      <c r="B787" s="10">
        <v>34</v>
      </c>
      <c r="C787" s="10" t="s">
        <v>1092</v>
      </c>
      <c r="D787" s="10">
        <v>3482</v>
      </c>
      <c r="E787" s="10" t="s">
        <v>1137</v>
      </c>
      <c r="F787" s="11">
        <v>1489</v>
      </c>
      <c r="G787" s="11">
        <v>1566</v>
      </c>
      <c r="H787" s="11">
        <v>3055</v>
      </c>
      <c r="I787" s="11">
        <v>1012</v>
      </c>
    </row>
    <row r="788" spans="1:9" x14ac:dyDescent="0.2">
      <c r="A788" s="10">
        <v>6712</v>
      </c>
      <c r="B788" s="10">
        <v>34</v>
      </c>
      <c r="C788" s="10" t="s">
        <v>1092</v>
      </c>
      <c r="D788" s="10">
        <v>3483</v>
      </c>
      <c r="E788" s="10" t="s">
        <v>1138</v>
      </c>
      <c r="F788" s="11">
        <v>1407</v>
      </c>
      <c r="G788" s="11">
        <v>1543</v>
      </c>
      <c r="H788" s="11">
        <v>2950</v>
      </c>
      <c r="I788" s="11">
        <v>1656</v>
      </c>
    </row>
    <row r="789" spans="1:9" x14ac:dyDescent="0.2">
      <c r="A789" s="10">
        <v>6712</v>
      </c>
      <c r="B789" s="10">
        <v>34</v>
      </c>
      <c r="C789" s="10" t="s">
        <v>1092</v>
      </c>
      <c r="D789" s="10">
        <v>3484</v>
      </c>
      <c r="E789" s="10" t="s">
        <v>1139</v>
      </c>
      <c r="F789" s="11">
        <v>2098</v>
      </c>
      <c r="G789" s="11">
        <v>2060</v>
      </c>
      <c r="H789" s="11">
        <v>4158</v>
      </c>
      <c r="I789" s="11">
        <v>1552</v>
      </c>
    </row>
    <row r="790" spans="1:9" x14ac:dyDescent="0.2">
      <c r="A790" s="10">
        <v>6712</v>
      </c>
      <c r="B790" s="10">
        <v>34</v>
      </c>
      <c r="C790" s="10" t="s">
        <v>1092</v>
      </c>
      <c r="D790" s="10">
        <v>3485</v>
      </c>
      <c r="E790" s="10" t="s">
        <v>1140</v>
      </c>
      <c r="F790" s="11">
        <v>4265</v>
      </c>
      <c r="G790" s="11">
        <v>4522</v>
      </c>
      <c r="H790" s="11">
        <v>8787</v>
      </c>
      <c r="I790" s="11">
        <v>4544</v>
      </c>
    </row>
    <row r="791" spans="1:9" x14ac:dyDescent="0.2">
      <c r="A791" s="10">
        <v>6712</v>
      </c>
      <c r="B791" s="10">
        <v>34</v>
      </c>
      <c r="C791" s="10" t="s">
        <v>1092</v>
      </c>
      <c r="D791" s="10">
        <v>3486</v>
      </c>
      <c r="E791" s="10" t="s">
        <v>1141</v>
      </c>
      <c r="F791" s="11">
        <v>2108</v>
      </c>
      <c r="G791" s="11">
        <v>2235</v>
      </c>
      <c r="H791" s="11">
        <v>4343</v>
      </c>
      <c r="I791" s="11">
        <v>2192</v>
      </c>
    </row>
    <row r="792" spans="1:9" x14ac:dyDescent="0.2">
      <c r="A792" s="10">
        <v>6712</v>
      </c>
      <c r="B792" s="10">
        <v>34</v>
      </c>
      <c r="C792" s="10" t="s">
        <v>1092</v>
      </c>
      <c r="D792" s="10">
        <v>3487</v>
      </c>
      <c r="E792" s="10" t="s">
        <v>1142</v>
      </c>
      <c r="F792" s="11">
        <v>4260</v>
      </c>
      <c r="G792" s="11">
        <v>4382</v>
      </c>
      <c r="H792" s="11">
        <v>8642</v>
      </c>
      <c r="I792" s="11">
        <v>3525</v>
      </c>
    </row>
    <row r="793" spans="1:9" x14ac:dyDescent="0.2">
      <c r="A793" s="10">
        <v>6712</v>
      </c>
      <c r="B793" s="10">
        <v>34</v>
      </c>
      <c r="C793" s="10" t="s">
        <v>1092</v>
      </c>
      <c r="D793" s="10">
        <v>3488</v>
      </c>
      <c r="E793" s="10" t="s">
        <v>1143</v>
      </c>
      <c r="F793" s="11">
        <v>3391</v>
      </c>
      <c r="G793" s="11">
        <v>3423</v>
      </c>
      <c r="H793" s="11">
        <v>6814</v>
      </c>
      <c r="I793" s="11">
        <v>2736</v>
      </c>
    </row>
    <row r="794" spans="1:9" x14ac:dyDescent="0.2">
      <c r="A794" s="10">
        <v>6712</v>
      </c>
      <c r="B794" s="10">
        <v>34</v>
      </c>
      <c r="C794" s="10" t="s">
        <v>1092</v>
      </c>
      <c r="D794" s="10">
        <v>3489</v>
      </c>
      <c r="E794" s="10" t="s">
        <v>1144</v>
      </c>
      <c r="F794" s="11">
        <v>6103</v>
      </c>
      <c r="G794" s="11">
        <v>6644</v>
      </c>
      <c r="H794" s="11">
        <v>12747</v>
      </c>
      <c r="I794" s="11">
        <v>7011</v>
      </c>
    </row>
    <row r="795" spans="1:9" x14ac:dyDescent="0.2">
      <c r="A795" s="10">
        <v>6712</v>
      </c>
      <c r="B795" s="10">
        <v>34</v>
      </c>
      <c r="C795" s="10" t="s">
        <v>1092</v>
      </c>
      <c r="D795" s="10">
        <v>3490</v>
      </c>
      <c r="E795" s="10" t="s">
        <v>1145</v>
      </c>
      <c r="F795" s="11">
        <v>3259</v>
      </c>
      <c r="G795" s="11">
        <v>3278</v>
      </c>
      <c r="H795" s="11">
        <v>6537</v>
      </c>
      <c r="I795" s="11">
        <v>1938</v>
      </c>
    </row>
    <row r="796" spans="1:9" x14ac:dyDescent="0.2">
      <c r="A796" s="10">
        <v>6712</v>
      </c>
      <c r="B796" s="10">
        <v>34</v>
      </c>
      <c r="C796" s="10" t="s">
        <v>1092</v>
      </c>
      <c r="D796" s="10">
        <v>3491</v>
      </c>
      <c r="E796" s="10" t="s">
        <v>1146</v>
      </c>
      <c r="F796" s="11">
        <v>1500</v>
      </c>
      <c r="G796" s="11">
        <v>1603</v>
      </c>
      <c r="H796" s="11">
        <v>3103</v>
      </c>
      <c r="I796" s="11">
        <v>1049</v>
      </c>
    </row>
    <row r="797" spans="1:9" x14ac:dyDescent="0.2">
      <c r="A797" s="10">
        <v>6712</v>
      </c>
      <c r="B797" s="10">
        <v>34</v>
      </c>
      <c r="C797" s="10" t="s">
        <v>1092</v>
      </c>
      <c r="D797" s="10">
        <v>3492</v>
      </c>
      <c r="E797" s="10" t="s">
        <v>1147</v>
      </c>
      <c r="F797" s="11">
        <v>2817</v>
      </c>
      <c r="G797" s="11">
        <v>3121</v>
      </c>
      <c r="H797" s="11">
        <v>5938</v>
      </c>
      <c r="I797" s="11">
        <v>2640</v>
      </c>
    </row>
    <row r="798" spans="1:9" x14ac:dyDescent="0.2">
      <c r="A798" s="10">
        <v>6712</v>
      </c>
      <c r="B798" s="10">
        <v>34</v>
      </c>
      <c r="C798" s="10" t="s">
        <v>1092</v>
      </c>
      <c r="D798" s="10">
        <v>3493</v>
      </c>
      <c r="E798" s="10" t="s">
        <v>1148</v>
      </c>
      <c r="F798" s="11">
        <v>2116</v>
      </c>
      <c r="G798" s="11">
        <v>2261</v>
      </c>
      <c r="H798" s="11">
        <v>4377</v>
      </c>
      <c r="I798" s="11">
        <v>2201</v>
      </c>
    </row>
    <row r="799" spans="1:9" x14ac:dyDescent="0.2">
      <c r="A799" s="10">
        <v>6712</v>
      </c>
      <c r="B799" s="10">
        <v>34</v>
      </c>
      <c r="C799" s="10" t="s">
        <v>1092</v>
      </c>
      <c r="D799" s="10">
        <v>3494</v>
      </c>
      <c r="E799" s="10" t="s">
        <v>1149</v>
      </c>
      <c r="F799" s="11">
        <v>1438</v>
      </c>
      <c r="G799" s="11">
        <v>1459</v>
      </c>
      <c r="H799" s="11">
        <v>2897</v>
      </c>
      <c r="I799" s="11">
        <v>1382</v>
      </c>
    </row>
    <row r="800" spans="1:9" x14ac:dyDescent="0.2">
      <c r="A800" s="10">
        <v>6712</v>
      </c>
      <c r="B800" s="10">
        <v>34</v>
      </c>
      <c r="C800" s="10" t="s">
        <v>1092</v>
      </c>
      <c r="D800" s="10">
        <v>3495</v>
      </c>
      <c r="E800" s="10" t="s">
        <v>1150</v>
      </c>
      <c r="F800" s="11">
        <v>2016</v>
      </c>
      <c r="G800" s="11">
        <v>2009</v>
      </c>
      <c r="H800" s="11">
        <v>4025</v>
      </c>
      <c r="I800" s="11">
        <v>2117</v>
      </c>
    </row>
    <row r="801" spans="1:9" x14ac:dyDescent="0.2">
      <c r="A801" s="10">
        <v>6712</v>
      </c>
      <c r="B801" s="10">
        <v>34</v>
      </c>
      <c r="C801" s="10" t="s">
        <v>1092</v>
      </c>
      <c r="D801" s="10">
        <v>3496</v>
      </c>
      <c r="E801" s="10" t="s">
        <v>1151</v>
      </c>
      <c r="F801" s="11">
        <v>2551</v>
      </c>
      <c r="G801" s="11">
        <v>2998</v>
      </c>
      <c r="H801" s="11">
        <v>5549</v>
      </c>
      <c r="I801" s="11">
        <v>3214</v>
      </c>
    </row>
    <row r="802" spans="1:9" x14ac:dyDescent="0.2">
      <c r="A802" s="10">
        <v>6712</v>
      </c>
      <c r="B802" s="10">
        <v>34</v>
      </c>
      <c r="C802" s="10" t="s">
        <v>1092</v>
      </c>
      <c r="D802" s="10">
        <v>3497</v>
      </c>
      <c r="E802" s="10" t="s">
        <v>1152</v>
      </c>
      <c r="F802" s="11">
        <v>4779</v>
      </c>
      <c r="G802" s="11">
        <v>5066</v>
      </c>
      <c r="H802" s="11">
        <v>9845</v>
      </c>
      <c r="I802" s="11">
        <v>4683</v>
      </c>
    </row>
    <row r="803" spans="1:9" x14ac:dyDescent="0.2">
      <c r="A803" s="10">
        <v>6712</v>
      </c>
      <c r="B803" s="10">
        <v>34</v>
      </c>
      <c r="C803" s="10" t="s">
        <v>1092</v>
      </c>
      <c r="D803" s="10">
        <v>3498</v>
      </c>
      <c r="E803" s="10" t="s">
        <v>1153</v>
      </c>
      <c r="F803" s="11">
        <v>11476</v>
      </c>
      <c r="G803" s="11">
        <v>12990</v>
      </c>
      <c r="H803" s="11">
        <v>24466</v>
      </c>
      <c r="I803" s="11">
        <v>11080</v>
      </c>
    </row>
    <row r="804" spans="1:9" x14ac:dyDescent="0.2">
      <c r="A804" s="10">
        <v>6712</v>
      </c>
      <c r="B804" s="10">
        <v>34</v>
      </c>
      <c r="C804" s="10" t="s">
        <v>1092</v>
      </c>
      <c r="D804" s="10">
        <v>3499</v>
      </c>
      <c r="E804" s="10" t="s">
        <v>1154</v>
      </c>
      <c r="F804" s="11">
        <v>31533</v>
      </c>
      <c r="G804" s="11">
        <v>37042</v>
      </c>
      <c r="H804" s="11">
        <v>68575</v>
      </c>
      <c r="I804" s="11">
        <v>32743</v>
      </c>
    </row>
    <row r="805" spans="1:9" x14ac:dyDescent="0.2">
      <c r="A805" s="10">
        <v>6712</v>
      </c>
      <c r="B805" s="10">
        <v>35</v>
      </c>
      <c r="C805" s="10" t="s">
        <v>1155</v>
      </c>
      <c r="D805" s="10">
        <v>3501</v>
      </c>
      <c r="E805" s="10" t="s">
        <v>1156</v>
      </c>
      <c r="F805" s="11">
        <v>52643</v>
      </c>
      <c r="G805" s="11">
        <v>52992</v>
      </c>
      <c r="H805" s="11">
        <v>105635</v>
      </c>
      <c r="I805" s="11">
        <v>40833</v>
      </c>
    </row>
    <row r="806" spans="1:9" x14ac:dyDescent="0.2">
      <c r="A806" s="10">
        <v>6712</v>
      </c>
      <c r="B806" s="10">
        <v>35</v>
      </c>
      <c r="C806" s="10" t="s">
        <v>1155</v>
      </c>
      <c r="D806" s="10">
        <v>3502</v>
      </c>
      <c r="E806" s="10" t="s">
        <v>1157</v>
      </c>
      <c r="F806" s="11">
        <v>12087</v>
      </c>
      <c r="G806" s="11">
        <v>12071</v>
      </c>
      <c r="H806" s="11">
        <v>24158</v>
      </c>
      <c r="I806" s="11">
        <v>8419</v>
      </c>
    </row>
    <row r="807" spans="1:9" x14ac:dyDescent="0.2">
      <c r="A807" s="10">
        <v>6712</v>
      </c>
      <c r="B807" s="10">
        <v>35</v>
      </c>
      <c r="C807" s="10" t="s">
        <v>1155</v>
      </c>
      <c r="D807" s="10">
        <v>3503</v>
      </c>
      <c r="E807" s="10" t="s">
        <v>1158</v>
      </c>
      <c r="F807" s="11">
        <v>30502</v>
      </c>
      <c r="G807" s="11">
        <v>30192</v>
      </c>
      <c r="H807" s="11">
        <v>60694</v>
      </c>
      <c r="I807" s="11">
        <v>21029</v>
      </c>
    </row>
    <row r="808" spans="1:9" x14ac:dyDescent="0.2">
      <c r="A808" s="10">
        <v>6712</v>
      </c>
      <c r="B808" s="10">
        <v>35</v>
      </c>
      <c r="C808" s="10" t="s">
        <v>1155</v>
      </c>
      <c r="D808" s="10">
        <v>3504</v>
      </c>
      <c r="E808" s="10" t="s">
        <v>1159</v>
      </c>
      <c r="F808" s="11">
        <v>30273</v>
      </c>
      <c r="G808" s="11">
        <v>30438</v>
      </c>
      <c r="H808" s="11">
        <v>60711</v>
      </c>
      <c r="I808" s="11">
        <v>20093</v>
      </c>
    </row>
    <row r="809" spans="1:9" x14ac:dyDescent="0.2">
      <c r="A809" s="10">
        <v>6712</v>
      </c>
      <c r="B809" s="10">
        <v>35</v>
      </c>
      <c r="C809" s="10" t="s">
        <v>1155</v>
      </c>
      <c r="D809" s="10">
        <v>3505</v>
      </c>
      <c r="E809" s="10" t="s">
        <v>1160</v>
      </c>
      <c r="F809" s="11">
        <v>15672</v>
      </c>
      <c r="G809" s="11">
        <v>15856</v>
      </c>
      <c r="H809" s="11">
        <v>31528</v>
      </c>
      <c r="I809" s="11">
        <v>10634</v>
      </c>
    </row>
    <row r="810" spans="1:9" x14ac:dyDescent="0.2">
      <c r="A810" s="10">
        <v>6712</v>
      </c>
      <c r="B810" s="10">
        <v>35</v>
      </c>
      <c r="C810" s="10" t="s">
        <v>1155</v>
      </c>
      <c r="D810" s="10">
        <v>3506</v>
      </c>
      <c r="E810" s="10" t="s">
        <v>1161</v>
      </c>
      <c r="F810" s="11">
        <v>25192</v>
      </c>
      <c r="G810" s="11">
        <v>25220</v>
      </c>
      <c r="H810" s="11">
        <v>50412</v>
      </c>
      <c r="I810" s="11">
        <v>15229</v>
      </c>
    </row>
    <row r="811" spans="1:9" x14ac:dyDescent="0.2">
      <c r="A811" s="10">
        <v>6712</v>
      </c>
      <c r="B811" s="10">
        <v>35</v>
      </c>
      <c r="C811" s="10" t="s">
        <v>1155</v>
      </c>
      <c r="D811" s="10">
        <v>3507</v>
      </c>
      <c r="E811" s="10" t="s">
        <v>1162</v>
      </c>
      <c r="F811" s="11">
        <v>10066</v>
      </c>
      <c r="G811" s="11">
        <v>10280</v>
      </c>
      <c r="H811" s="11">
        <v>20346</v>
      </c>
      <c r="I811" s="11">
        <v>5752</v>
      </c>
    </row>
    <row r="812" spans="1:9" x14ac:dyDescent="0.2">
      <c r="A812" s="10">
        <v>6712</v>
      </c>
      <c r="B812" s="10">
        <v>35</v>
      </c>
      <c r="C812" s="10" t="s">
        <v>1155</v>
      </c>
      <c r="D812" s="10">
        <v>3508</v>
      </c>
      <c r="E812" s="10" t="s">
        <v>1163</v>
      </c>
      <c r="F812" s="11">
        <v>44216</v>
      </c>
      <c r="G812" s="11">
        <v>44657</v>
      </c>
      <c r="H812" s="11">
        <v>88873</v>
      </c>
      <c r="I812" s="11">
        <v>31695</v>
      </c>
    </row>
    <row r="813" spans="1:9" x14ac:dyDescent="0.2">
      <c r="A813" s="10">
        <v>6712</v>
      </c>
      <c r="B813" s="10">
        <v>35</v>
      </c>
      <c r="C813" s="10" t="s">
        <v>1155</v>
      </c>
      <c r="D813" s="10">
        <v>3509</v>
      </c>
      <c r="E813" s="10" t="s">
        <v>1164</v>
      </c>
      <c r="F813" s="11">
        <v>14952</v>
      </c>
      <c r="G813" s="11">
        <v>15167</v>
      </c>
      <c r="H813" s="11">
        <v>30119</v>
      </c>
      <c r="I813" s="11">
        <v>11510</v>
      </c>
    </row>
    <row r="814" spans="1:9" x14ac:dyDescent="0.2">
      <c r="A814" s="10">
        <v>6712</v>
      </c>
      <c r="B814" s="10">
        <v>35</v>
      </c>
      <c r="C814" s="10" t="s">
        <v>1155</v>
      </c>
      <c r="D814" s="10">
        <v>3591</v>
      </c>
      <c r="E814" s="10" t="s">
        <v>1165</v>
      </c>
      <c r="F814" s="11">
        <v>1837</v>
      </c>
      <c r="G814" s="11">
        <v>1954</v>
      </c>
      <c r="H814" s="11">
        <v>3791</v>
      </c>
      <c r="I814" s="11">
        <v>2389</v>
      </c>
    </row>
    <row r="815" spans="1:9" x14ac:dyDescent="0.2">
      <c r="A815" s="10">
        <v>6712</v>
      </c>
      <c r="B815" s="10">
        <v>35</v>
      </c>
      <c r="C815" s="10" t="s">
        <v>1155</v>
      </c>
      <c r="D815" s="10">
        <v>3592</v>
      </c>
      <c r="E815" s="10" t="s">
        <v>1166</v>
      </c>
      <c r="F815" s="11">
        <v>1349</v>
      </c>
      <c r="G815" s="11">
        <v>1444</v>
      </c>
      <c r="H815" s="11">
        <v>2793</v>
      </c>
      <c r="I815" s="11">
        <v>1131</v>
      </c>
    </row>
    <row r="816" spans="1:9" x14ac:dyDescent="0.2">
      <c r="A816" s="10">
        <v>6712</v>
      </c>
      <c r="B816" s="10">
        <v>35</v>
      </c>
      <c r="C816" s="10" t="s">
        <v>1155</v>
      </c>
      <c r="D816" s="10">
        <v>3593</v>
      </c>
      <c r="E816" s="10" t="s">
        <v>1167</v>
      </c>
      <c r="F816" s="11">
        <v>2137</v>
      </c>
      <c r="G816" s="11">
        <v>2271</v>
      </c>
      <c r="H816" s="11">
        <v>4408</v>
      </c>
      <c r="I816" s="11">
        <v>1699</v>
      </c>
    </row>
    <row r="817" spans="1:9" x14ac:dyDescent="0.2">
      <c r="A817" s="10">
        <v>6712</v>
      </c>
      <c r="B817" s="10">
        <v>35</v>
      </c>
      <c r="C817" s="10" t="s">
        <v>1155</v>
      </c>
      <c r="D817" s="10">
        <v>3594</v>
      </c>
      <c r="E817" s="10" t="s">
        <v>1168</v>
      </c>
      <c r="F817" s="11">
        <v>2249</v>
      </c>
      <c r="G817" s="11">
        <v>2298</v>
      </c>
      <c r="H817" s="11">
        <v>4547</v>
      </c>
      <c r="I817" s="11">
        <v>1935</v>
      </c>
    </row>
    <row r="818" spans="1:9" x14ac:dyDescent="0.2">
      <c r="A818" s="10">
        <v>6712</v>
      </c>
      <c r="B818" s="10">
        <v>35</v>
      </c>
      <c r="C818" s="10" t="s">
        <v>1155</v>
      </c>
      <c r="D818" s="10">
        <v>3595</v>
      </c>
      <c r="E818" s="10" t="s">
        <v>1169</v>
      </c>
      <c r="F818" s="11">
        <v>1451</v>
      </c>
      <c r="G818" s="11">
        <v>1486</v>
      </c>
      <c r="H818" s="11">
        <v>2937</v>
      </c>
      <c r="I818" s="11">
        <v>1323</v>
      </c>
    </row>
    <row r="819" spans="1:9" x14ac:dyDescent="0.2">
      <c r="A819" s="10">
        <v>6712</v>
      </c>
      <c r="B819" s="10">
        <v>35</v>
      </c>
      <c r="C819" s="10" t="s">
        <v>1155</v>
      </c>
      <c r="D819" s="10">
        <v>3596</v>
      </c>
      <c r="E819" s="10" t="s">
        <v>1170</v>
      </c>
      <c r="F819" s="11">
        <v>1788</v>
      </c>
      <c r="G819" s="11">
        <v>1857</v>
      </c>
      <c r="H819" s="11">
        <v>3645</v>
      </c>
      <c r="I819" s="11">
        <v>1590</v>
      </c>
    </row>
    <row r="820" spans="1:9" x14ac:dyDescent="0.2">
      <c r="A820" s="10">
        <v>6712</v>
      </c>
      <c r="B820" s="10">
        <v>35</v>
      </c>
      <c r="C820" s="10" t="s">
        <v>1155</v>
      </c>
      <c r="D820" s="10">
        <v>3597</v>
      </c>
      <c r="E820" s="10" t="s">
        <v>1171</v>
      </c>
      <c r="F820" s="11">
        <v>2319</v>
      </c>
      <c r="G820" s="11">
        <v>2437</v>
      </c>
      <c r="H820" s="11">
        <v>4756</v>
      </c>
      <c r="I820" s="11">
        <v>2322</v>
      </c>
    </row>
    <row r="821" spans="1:9" x14ac:dyDescent="0.2">
      <c r="A821" s="10">
        <v>6712</v>
      </c>
      <c r="B821" s="10">
        <v>35</v>
      </c>
      <c r="C821" s="10" t="s">
        <v>1155</v>
      </c>
      <c r="D821" s="10">
        <v>3598</v>
      </c>
      <c r="E821" s="10" t="s">
        <v>1172</v>
      </c>
      <c r="F821" s="11">
        <v>2973</v>
      </c>
      <c r="G821" s="11">
        <v>3223</v>
      </c>
      <c r="H821" s="11">
        <v>6196</v>
      </c>
      <c r="I821" s="11">
        <v>2266</v>
      </c>
    </row>
    <row r="822" spans="1:9" x14ac:dyDescent="0.2">
      <c r="A822" s="10">
        <v>6712</v>
      </c>
      <c r="B822" s="10">
        <v>35</v>
      </c>
      <c r="C822" s="10" t="s">
        <v>1155</v>
      </c>
      <c r="D822" s="10">
        <v>3599</v>
      </c>
      <c r="E822" s="10" t="s">
        <v>1173</v>
      </c>
      <c r="F822" s="11">
        <v>9498</v>
      </c>
      <c r="G822" s="11">
        <v>10278</v>
      </c>
      <c r="H822" s="11">
        <v>19776</v>
      </c>
      <c r="I822" s="11">
        <v>9493</v>
      </c>
    </row>
    <row r="823" spans="1:9" x14ac:dyDescent="0.2">
      <c r="A823" s="10">
        <v>6712</v>
      </c>
      <c r="B823" s="10">
        <v>36</v>
      </c>
      <c r="C823" s="10" t="s">
        <v>1174</v>
      </c>
      <c r="D823" s="10">
        <v>3601</v>
      </c>
      <c r="E823" s="10" t="s">
        <v>1175</v>
      </c>
      <c r="F823" s="11">
        <v>65937</v>
      </c>
      <c r="G823" s="11">
        <v>69521</v>
      </c>
      <c r="H823" s="11">
        <v>135458</v>
      </c>
      <c r="I823" s="11">
        <v>57980</v>
      </c>
    </row>
    <row r="824" spans="1:9" x14ac:dyDescent="0.2">
      <c r="A824" s="10">
        <v>6712</v>
      </c>
      <c r="B824" s="10">
        <v>36</v>
      </c>
      <c r="C824" s="10" t="s">
        <v>1174</v>
      </c>
      <c r="D824" s="10">
        <v>3602</v>
      </c>
      <c r="E824" s="10" t="s">
        <v>1176</v>
      </c>
      <c r="F824" s="11">
        <v>20529</v>
      </c>
      <c r="G824" s="11">
        <v>21078</v>
      </c>
      <c r="H824" s="11">
        <v>41607</v>
      </c>
      <c r="I824" s="11">
        <v>15324</v>
      </c>
    </row>
    <row r="825" spans="1:9" x14ac:dyDescent="0.2">
      <c r="A825" s="10">
        <v>6712</v>
      </c>
      <c r="B825" s="10">
        <v>36</v>
      </c>
      <c r="C825" s="10" t="s">
        <v>1174</v>
      </c>
      <c r="D825" s="10">
        <v>3603</v>
      </c>
      <c r="E825" s="10" t="s">
        <v>1177</v>
      </c>
      <c r="F825" s="11">
        <v>23221</v>
      </c>
      <c r="G825" s="11">
        <v>23833</v>
      </c>
      <c r="H825" s="11">
        <v>47054</v>
      </c>
      <c r="I825" s="11">
        <v>18679</v>
      </c>
    </row>
    <row r="826" spans="1:9" x14ac:dyDescent="0.2">
      <c r="A826" s="10">
        <v>6712</v>
      </c>
      <c r="B826" s="10">
        <v>36</v>
      </c>
      <c r="C826" s="10" t="s">
        <v>1174</v>
      </c>
      <c r="D826" s="10">
        <v>3604</v>
      </c>
      <c r="E826" s="10" t="s">
        <v>1178</v>
      </c>
      <c r="F826" s="11">
        <v>42087</v>
      </c>
      <c r="G826" s="11">
        <v>42474</v>
      </c>
      <c r="H826" s="11">
        <v>84561</v>
      </c>
      <c r="I826" s="11">
        <v>26275</v>
      </c>
    </row>
    <row r="827" spans="1:9" x14ac:dyDescent="0.2">
      <c r="A827" s="10">
        <v>6712</v>
      </c>
      <c r="B827" s="10">
        <v>36</v>
      </c>
      <c r="C827" s="10" t="s">
        <v>1174</v>
      </c>
      <c r="D827" s="10">
        <v>3605</v>
      </c>
      <c r="E827" s="10" t="s">
        <v>1179</v>
      </c>
      <c r="F827" s="11">
        <v>46415</v>
      </c>
      <c r="G827" s="11">
        <v>46278</v>
      </c>
      <c r="H827" s="11">
        <v>92693</v>
      </c>
      <c r="I827" s="11">
        <v>31368</v>
      </c>
    </row>
    <row r="828" spans="1:9" x14ac:dyDescent="0.2">
      <c r="A828" s="10">
        <v>6712</v>
      </c>
      <c r="B828" s="10">
        <v>36</v>
      </c>
      <c r="C828" s="10" t="s">
        <v>1174</v>
      </c>
      <c r="D828" s="10">
        <v>3606</v>
      </c>
      <c r="E828" s="10" t="s">
        <v>1180</v>
      </c>
      <c r="F828" s="11">
        <v>32128</v>
      </c>
      <c r="G828" s="11">
        <v>34416</v>
      </c>
      <c r="H828" s="11">
        <v>66544</v>
      </c>
      <c r="I828" s="11">
        <v>25942</v>
      </c>
    </row>
    <row r="829" spans="1:9" x14ac:dyDescent="0.2">
      <c r="A829" s="10">
        <v>6712</v>
      </c>
      <c r="B829" s="10">
        <v>36</v>
      </c>
      <c r="C829" s="10" t="s">
        <v>1174</v>
      </c>
      <c r="D829" s="10">
        <v>3607</v>
      </c>
      <c r="E829" s="10" t="s">
        <v>1181</v>
      </c>
      <c r="F829" s="11">
        <v>19790</v>
      </c>
      <c r="G829" s="11">
        <v>20382</v>
      </c>
      <c r="H829" s="11">
        <v>40172</v>
      </c>
      <c r="I829" s="11">
        <v>14274</v>
      </c>
    </row>
    <row r="830" spans="1:9" x14ac:dyDescent="0.2">
      <c r="A830" s="10">
        <v>6712</v>
      </c>
      <c r="B830" s="10">
        <v>36</v>
      </c>
      <c r="C830" s="10" t="s">
        <v>1174</v>
      </c>
      <c r="D830" s="10">
        <v>3608</v>
      </c>
      <c r="E830" s="10" t="s">
        <v>1182</v>
      </c>
      <c r="F830" s="11">
        <v>16277</v>
      </c>
      <c r="G830" s="11">
        <v>16235</v>
      </c>
      <c r="H830" s="11">
        <v>32512</v>
      </c>
      <c r="I830" s="11">
        <v>12131</v>
      </c>
    </row>
    <row r="831" spans="1:9" x14ac:dyDescent="0.2">
      <c r="A831" s="10">
        <v>6712</v>
      </c>
      <c r="B831" s="10">
        <v>36</v>
      </c>
      <c r="C831" s="10" t="s">
        <v>1174</v>
      </c>
      <c r="D831" s="10">
        <v>3609</v>
      </c>
      <c r="E831" s="10" t="s">
        <v>1183</v>
      </c>
      <c r="F831" s="11">
        <v>32855</v>
      </c>
      <c r="G831" s="11">
        <v>32261</v>
      </c>
      <c r="H831" s="11">
        <v>65116</v>
      </c>
      <c r="I831" s="11">
        <v>25075</v>
      </c>
    </row>
    <row r="832" spans="1:9" x14ac:dyDescent="0.2">
      <c r="A832" s="10">
        <v>6712</v>
      </c>
      <c r="B832" s="10">
        <v>36</v>
      </c>
      <c r="C832" s="10" t="s">
        <v>1174</v>
      </c>
      <c r="D832" s="10">
        <v>3610</v>
      </c>
      <c r="E832" s="10" t="s">
        <v>1184</v>
      </c>
      <c r="F832" s="11">
        <v>52601</v>
      </c>
      <c r="G832" s="11">
        <v>54537</v>
      </c>
      <c r="H832" s="11">
        <v>107138</v>
      </c>
      <c r="I832" s="11">
        <v>36788</v>
      </c>
    </row>
    <row r="833" spans="1:9" x14ac:dyDescent="0.2">
      <c r="A833" s="10">
        <v>6712</v>
      </c>
      <c r="B833" s="10">
        <v>36</v>
      </c>
      <c r="C833" s="10" t="s">
        <v>1174</v>
      </c>
      <c r="D833" s="10">
        <v>3611</v>
      </c>
      <c r="E833" s="10" t="s">
        <v>1185</v>
      </c>
      <c r="F833" s="11">
        <v>19920</v>
      </c>
      <c r="G833" s="11">
        <v>20321</v>
      </c>
      <c r="H833" s="11">
        <v>40241</v>
      </c>
      <c r="I833" s="11">
        <v>12139</v>
      </c>
    </row>
    <row r="834" spans="1:9" x14ac:dyDescent="0.2">
      <c r="A834" s="10">
        <v>6712</v>
      </c>
      <c r="B834" s="10">
        <v>36</v>
      </c>
      <c r="C834" s="10" t="s">
        <v>1174</v>
      </c>
      <c r="D834" s="10">
        <v>3612</v>
      </c>
      <c r="E834" s="10" t="s">
        <v>1186</v>
      </c>
      <c r="F834" s="11">
        <v>35963</v>
      </c>
      <c r="G834" s="11">
        <v>36250</v>
      </c>
      <c r="H834" s="11">
        <v>72213</v>
      </c>
      <c r="I834" s="11">
        <v>26397</v>
      </c>
    </row>
    <row r="835" spans="1:9" x14ac:dyDescent="0.2">
      <c r="A835" s="10">
        <v>6712</v>
      </c>
      <c r="B835" s="10">
        <v>36</v>
      </c>
      <c r="C835" s="10" t="s">
        <v>1174</v>
      </c>
      <c r="D835" s="10">
        <v>3613</v>
      </c>
      <c r="E835" s="10" t="s">
        <v>1187</v>
      </c>
      <c r="F835" s="11">
        <v>19865</v>
      </c>
      <c r="G835" s="11">
        <v>20301</v>
      </c>
      <c r="H835" s="11">
        <v>40166</v>
      </c>
      <c r="I835" s="11">
        <v>14662</v>
      </c>
    </row>
    <row r="836" spans="1:9" x14ac:dyDescent="0.2">
      <c r="A836" s="10">
        <v>6712</v>
      </c>
      <c r="B836" s="10">
        <v>36</v>
      </c>
      <c r="C836" s="10" t="s">
        <v>1174</v>
      </c>
      <c r="D836" s="10">
        <v>3614</v>
      </c>
      <c r="E836" s="10" t="s">
        <v>1188</v>
      </c>
      <c r="F836" s="11">
        <v>15250</v>
      </c>
      <c r="G836" s="11">
        <v>15079</v>
      </c>
      <c r="H836" s="11">
        <v>30329</v>
      </c>
      <c r="I836" s="11">
        <v>12863</v>
      </c>
    </row>
    <row r="837" spans="1:9" x14ac:dyDescent="0.2">
      <c r="A837" s="10">
        <v>6712</v>
      </c>
      <c r="B837" s="10">
        <v>36</v>
      </c>
      <c r="C837" s="10" t="s">
        <v>1174</v>
      </c>
      <c r="D837" s="10">
        <v>3615</v>
      </c>
      <c r="E837" s="10" t="s">
        <v>1189</v>
      </c>
      <c r="F837" s="11">
        <v>12492</v>
      </c>
      <c r="G837" s="11">
        <v>12900</v>
      </c>
      <c r="H837" s="11">
        <v>25392</v>
      </c>
      <c r="I837" s="11">
        <v>8876</v>
      </c>
    </row>
    <row r="838" spans="1:9" x14ac:dyDescent="0.2">
      <c r="A838" s="10">
        <v>6712</v>
      </c>
      <c r="B838" s="10">
        <v>36</v>
      </c>
      <c r="C838" s="10" t="s">
        <v>1174</v>
      </c>
      <c r="D838" s="10">
        <v>3616</v>
      </c>
      <c r="E838" s="10" t="s">
        <v>1190</v>
      </c>
      <c r="F838" s="11">
        <v>7833</v>
      </c>
      <c r="G838" s="11">
        <v>7675</v>
      </c>
      <c r="H838" s="11">
        <v>15508</v>
      </c>
      <c r="I838" s="11">
        <v>6044</v>
      </c>
    </row>
    <row r="839" spans="1:9" x14ac:dyDescent="0.2">
      <c r="A839" s="10">
        <v>6712</v>
      </c>
      <c r="B839" s="10">
        <v>36</v>
      </c>
      <c r="C839" s="10" t="s">
        <v>1174</v>
      </c>
      <c r="D839" s="10">
        <v>3676</v>
      </c>
      <c r="E839" s="10" t="s">
        <v>1191</v>
      </c>
      <c r="F839" s="11">
        <v>7630</v>
      </c>
      <c r="G839" s="11">
        <v>7649</v>
      </c>
      <c r="H839" s="11">
        <v>15279</v>
      </c>
      <c r="I839" s="11">
        <v>4788</v>
      </c>
    </row>
    <row r="840" spans="1:9" x14ac:dyDescent="0.2">
      <c r="A840" s="10">
        <v>6712</v>
      </c>
      <c r="B840" s="10">
        <v>36</v>
      </c>
      <c r="C840" s="10" t="s">
        <v>1174</v>
      </c>
      <c r="D840" s="10">
        <v>3677</v>
      </c>
      <c r="E840" s="10" t="s">
        <v>1192</v>
      </c>
      <c r="F840" s="11">
        <v>7659</v>
      </c>
      <c r="G840" s="11">
        <v>7726</v>
      </c>
      <c r="H840" s="11">
        <v>15385</v>
      </c>
      <c r="I840" s="11">
        <v>4784</v>
      </c>
    </row>
    <row r="841" spans="1:9" x14ac:dyDescent="0.2">
      <c r="A841" s="10">
        <v>6712</v>
      </c>
      <c r="B841" s="10">
        <v>36</v>
      </c>
      <c r="C841" s="10" t="s">
        <v>1174</v>
      </c>
      <c r="D841" s="10">
        <v>3680</v>
      </c>
      <c r="E841" s="10" t="s">
        <v>1193</v>
      </c>
      <c r="F841" s="11">
        <v>1900</v>
      </c>
      <c r="G841" s="11">
        <v>2139</v>
      </c>
      <c r="H841" s="11">
        <v>4039</v>
      </c>
      <c r="I841" s="11">
        <v>1515</v>
      </c>
    </row>
    <row r="842" spans="1:9" x14ac:dyDescent="0.2">
      <c r="A842" s="10">
        <v>6712</v>
      </c>
      <c r="B842" s="10">
        <v>36</v>
      </c>
      <c r="C842" s="10" t="s">
        <v>1174</v>
      </c>
      <c r="D842" s="10">
        <v>3681</v>
      </c>
      <c r="E842" s="10" t="s">
        <v>1194</v>
      </c>
      <c r="F842" s="11">
        <v>3789</v>
      </c>
      <c r="G842" s="11">
        <v>4315</v>
      </c>
      <c r="H842" s="11">
        <v>8104</v>
      </c>
      <c r="I842" s="11">
        <v>4824</v>
      </c>
    </row>
    <row r="843" spans="1:9" x14ac:dyDescent="0.2">
      <c r="A843" s="10">
        <v>6712</v>
      </c>
      <c r="B843" s="10">
        <v>36</v>
      </c>
      <c r="C843" s="10" t="s">
        <v>1174</v>
      </c>
      <c r="D843" s="10">
        <v>3682</v>
      </c>
      <c r="E843" s="10" t="s">
        <v>1195</v>
      </c>
      <c r="F843" s="11">
        <v>5090</v>
      </c>
      <c r="G843" s="11">
        <v>5459</v>
      </c>
      <c r="H843" s="11">
        <v>10549</v>
      </c>
      <c r="I843" s="11">
        <v>3399</v>
      </c>
    </row>
    <row r="844" spans="1:9" x14ac:dyDescent="0.2">
      <c r="A844" s="10">
        <v>6712</v>
      </c>
      <c r="B844" s="10">
        <v>36</v>
      </c>
      <c r="C844" s="10" t="s">
        <v>1174</v>
      </c>
      <c r="D844" s="10">
        <v>3683</v>
      </c>
      <c r="E844" s="10" t="s">
        <v>1196</v>
      </c>
      <c r="F844" s="11">
        <v>1908</v>
      </c>
      <c r="G844" s="11">
        <v>2005</v>
      </c>
      <c r="H844" s="11">
        <v>3913</v>
      </c>
      <c r="I844" s="11">
        <v>1697</v>
      </c>
    </row>
    <row r="845" spans="1:9" x14ac:dyDescent="0.2">
      <c r="A845" s="10">
        <v>6712</v>
      </c>
      <c r="B845" s="10">
        <v>36</v>
      </c>
      <c r="C845" s="10" t="s">
        <v>1174</v>
      </c>
      <c r="D845" s="10">
        <v>3684</v>
      </c>
      <c r="E845" s="10" t="s">
        <v>1197</v>
      </c>
      <c r="F845" s="11">
        <v>2691</v>
      </c>
      <c r="G845" s="11">
        <v>3137</v>
      </c>
      <c r="H845" s="11">
        <v>5828</v>
      </c>
      <c r="I845" s="11">
        <v>3122</v>
      </c>
    </row>
    <row r="846" spans="1:9" x14ac:dyDescent="0.2">
      <c r="A846" s="10">
        <v>6712</v>
      </c>
      <c r="B846" s="10">
        <v>36</v>
      </c>
      <c r="C846" s="10" t="s">
        <v>1174</v>
      </c>
      <c r="D846" s="10">
        <v>3685</v>
      </c>
      <c r="E846" s="10" t="s">
        <v>1198</v>
      </c>
      <c r="F846" s="11">
        <v>2686</v>
      </c>
      <c r="G846" s="11">
        <v>2735</v>
      </c>
      <c r="H846" s="11">
        <v>5421</v>
      </c>
      <c r="I846" s="11">
        <v>1810</v>
      </c>
    </row>
    <row r="847" spans="1:9" x14ac:dyDescent="0.2">
      <c r="A847" s="10">
        <v>6712</v>
      </c>
      <c r="B847" s="10">
        <v>36</v>
      </c>
      <c r="C847" s="10" t="s">
        <v>1174</v>
      </c>
      <c r="D847" s="10">
        <v>3686</v>
      </c>
      <c r="E847" s="10" t="s">
        <v>1199</v>
      </c>
      <c r="F847" s="11">
        <v>1864</v>
      </c>
      <c r="G847" s="11">
        <v>1886</v>
      </c>
      <c r="H847" s="11">
        <v>3750</v>
      </c>
      <c r="I847" s="11">
        <v>2384</v>
      </c>
    </row>
    <row r="848" spans="1:9" x14ac:dyDescent="0.2">
      <c r="A848" s="10">
        <v>6712</v>
      </c>
      <c r="B848" s="10">
        <v>36</v>
      </c>
      <c r="C848" s="10" t="s">
        <v>1174</v>
      </c>
      <c r="D848" s="10">
        <v>3687</v>
      </c>
      <c r="E848" s="10" t="s">
        <v>1200</v>
      </c>
      <c r="F848" s="11">
        <v>2838</v>
      </c>
      <c r="G848" s="11">
        <v>2903</v>
      </c>
      <c r="H848" s="11">
        <v>5741</v>
      </c>
      <c r="I848" s="11">
        <v>2816</v>
      </c>
    </row>
    <row r="849" spans="1:9" x14ac:dyDescent="0.2">
      <c r="A849" s="10">
        <v>6712</v>
      </c>
      <c r="B849" s="10">
        <v>36</v>
      </c>
      <c r="C849" s="10" t="s">
        <v>1174</v>
      </c>
      <c r="D849" s="10">
        <v>3688</v>
      </c>
      <c r="E849" s="10" t="s">
        <v>1201</v>
      </c>
      <c r="F849" s="11">
        <v>3170</v>
      </c>
      <c r="G849" s="11">
        <v>3462</v>
      </c>
      <c r="H849" s="11">
        <v>6632</v>
      </c>
      <c r="I849" s="11">
        <v>3139</v>
      </c>
    </row>
    <row r="850" spans="1:9" x14ac:dyDescent="0.2">
      <c r="A850" s="10">
        <v>6712</v>
      </c>
      <c r="B850" s="10">
        <v>36</v>
      </c>
      <c r="C850" s="10" t="s">
        <v>1174</v>
      </c>
      <c r="D850" s="10">
        <v>3689</v>
      </c>
      <c r="E850" s="10" t="s">
        <v>1202</v>
      </c>
      <c r="F850" s="11">
        <v>2258</v>
      </c>
      <c r="G850" s="11">
        <v>2427</v>
      </c>
      <c r="H850" s="11">
        <v>4685</v>
      </c>
      <c r="I850" s="11">
        <v>2289</v>
      </c>
    </row>
    <row r="851" spans="1:9" x14ac:dyDescent="0.2">
      <c r="A851" s="10">
        <v>6712</v>
      </c>
      <c r="B851" s="10">
        <v>36</v>
      </c>
      <c r="C851" s="10" t="s">
        <v>1174</v>
      </c>
      <c r="D851" s="10">
        <v>3690</v>
      </c>
      <c r="E851" s="10" t="s">
        <v>1203</v>
      </c>
      <c r="F851" s="10">
        <v>916</v>
      </c>
      <c r="G851" s="10">
        <v>951</v>
      </c>
      <c r="H851" s="11">
        <v>1867</v>
      </c>
      <c r="I851" s="10">
        <v>840</v>
      </c>
    </row>
    <row r="852" spans="1:9" x14ac:dyDescent="0.2">
      <c r="A852" s="10">
        <v>6712</v>
      </c>
      <c r="B852" s="10">
        <v>36</v>
      </c>
      <c r="C852" s="10" t="s">
        <v>1174</v>
      </c>
      <c r="D852" s="10">
        <v>3691</v>
      </c>
      <c r="E852" s="10" t="s">
        <v>1204</v>
      </c>
      <c r="F852" s="11">
        <v>1909</v>
      </c>
      <c r="G852" s="11">
        <v>2095</v>
      </c>
      <c r="H852" s="11">
        <v>4004</v>
      </c>
      <c r="I852" s="11">
        <v>2285</v>
      </c>
    </row>
    <row r="853" spans="1:9" x14ac:dyDescent="0.2">
      <c r="A853" s="10">
        <v>6712</v>
      </c>
      <c r="B853" s="10">
        <v>36</v>
      </c>
      <c r="C853" s="10" t="s">
        <v>1174</v>
      </c>
      <c r="D853" s="10">
        <v>3692</v>
      </c>
      <c r="E853" s="10" t="s">
        <v>1205</v>
      </c>
      <c r="F853" s="11">
        <v>4148</v>
      </c>
      <c r="G853" s="11">
        <v>4376</v>
      </c>
      <c r="H853" s="11">
        <v>8524</v>
      </c>
      <c r="I853" s="11">
        <v>4600</v>
      </c>
    </row>
    <row r="854" spans="1:9" x14ac:dyDescent="0.2">
      <c r="A854" s="10">
        <v>6712</v>
      </c>
      <c r="B854" s="10">
        <v>36</v>
      </c>
      <c r="C854" s="10" t="s">
        <v>1174</v>
      </c>
      <c r="D854" s="10">
        <v>3693</v>
      </c>
      <c r="E854" s="10" t="s">
        <v>1206</v>
      </c>
      <c r="F854" s="11">
        <v>3642</v>
      </c>
      <c r="G854" s="11">
        <v>3849</v>
      </c>
      <c r="H854" s="11">
        <v>7491</v>
      </c>
      <c r="I854" s="11">
        <v>2442</v>
      </c>
    </row>
    <row r="855" spans="1:9" x14ac:dyDescent="0.2">
      <c r="A855" s="10">
        <v>6712</v>
      </c>
      <c r="B855" s="10">
        <v>36</v>
      </c>
      <c r="C855" s="10" t="s">
        <v>1174</v>
      </c>
      <c r="D855" s="10">
        <v>3694</v>
      </c>
      <c r="E855" s="10" t="s">
        <v>1207</v>
      </c>
      <c r="F855" s="11">
        <v>1344</v>
      </c>
      <c r="G855" s="11">
        <v>1493</v>
      </c>
      <c r="H855" s="11">
        <v>2837</v>
      </c>
      <c r="I855" s="11">
        <v>1353</v>
      </c>
    </row>
    <row r="856" spans="1:9" x14ac:dyDescent="0.2">
      <c r="A856" s="10">
        <v>6712</v>
      </c>
      <c r="B856" s="10">
        <v>36</v>
      </c>
      <c r="C856" s="10" t="s">
        <v>1174</v>
      </c>
      <c r="D856" s="10">
        <v>3695</v>
      </c>
      <c r="E856" s="10" t="s">
        <v>1208</v>
      </c>
      <c r="F856" s="11">
        <v>1918</v>
      </c>
      <c r="G856" s="11">
        <v>2125</v>
      </c>
      <c r="H856" s="11">
        <v>4043</v>
      </c>
      <c r="I856" s="11">
        <v>1938</v>
      </c>
    </row>
    <row r="857" spans="1:9" x14ac:dyDescent="0.2">
      <c r="A857" s="10">
        <v>6712</v>
      </c>
      <c r="B857" s="10">
        <v>36</v>
      </c>
      <c r="C857" s="10" t="s">
        <v>1174</v>
      </c>
      <c r="D857" s="10">
        <v>3696</v>
      </c>
      <c r="E857" s="10" t="s">
        <v>1209</v>
      </c>
      <c r="F857" s="11">
        <v>3674</v>
      </c>
      <c r="G857" s="11">
        <v>4063</v>
      </c>
      <c r="H857" s="11">
        <v>7737</v>
      </c>
      <c r="I857" s="11">
        <v>3567</v>
      </c>
    </row>
    <row r="858" spans="1:9" x14ac:dyDescent="0.2">
      <c r="A858" s="10">
        <v>6712</v>
      </c>
      <c r="B858" s="10">
        <v>36</v>
      </c>
      <c r="C858" s="10" t="s">
        <v>1174</v>
      </c>
      <c r="D858" s="10">
        <v>3697</v>
      </c>
      <c r="E858" s="10" t="s">
        <v>1210</v>
      </c>
      <c r="F858" s="11">
        <v>2085</v>
      </c>
      <c r="G858" s="11">
        <v>2361</v>
      </c>
      <c r="H858" s="11">
        <v>4446</v>
      </c>
      <c r="I858" s="11">
        <v>1813</v>
      </c>
    </row>
    <row r="859" spans="1:9" x14ac:dyDescent="0.2">
      <c r="A859" s="10">
        <v>6712</v>
      </c>
      <c r="B859" s="10">
        <v>36</v>
      </c>
      <c r="C859" s="10" t="s">
        <v>1174</v>
      </c>
      <c r="D859" s="10">
        <v>3698</v>
      </c>
      <c r="E859" s="10" t="s">
        <v>1211</v>
      </c>
      <c r="F859" s="11">
        <v>2303</v>
      </c>
      <c r="G859" s="11">
        <v>2423</v>
      </c>
      <c r="H859" s="11">
        <v>4726</v>
      </c>
      <c r="I859" s="11">
        <v>2001</v>
      </c>
    </row>
    <row r="860" spans="1:9" x14ac:dyDescent="0.2">
      <c r="A860" s="10">
        <v>6712</v>
      </c>
      <c r="B860" s="10">
        <v>36</v>
      </c>
      <c r="C860" s="10" t="s">
        <v>1174</v>
      </c>
      <c r="D860" s="10">
        <v>3699</v>
      </c>
      <c r="E860" s="10" t="s">
        <v>1212</v>
      </c>
      <c r="F860" s="11">
        <v>16369</v>
      </c>
      <c r="G860" s="11">
        <v>18330</v>
      </c>
      <c r="H860" s="11">
        <v>34699</v>
      </c>
      <c r="I860" s="11">
        <v>21996</v>
      </c>
    </row>
    <row r="861" spans="1:9" x14ac:dyDescent="0.2">
      <c r="A861" s="10">
        <v>6712</v>
      </c>
      <c r="B861" s="10">
        <v>37</v>
      </c>
      <c r="C861" s="10" t="s">
        <v>1213</v>
      </c>
      <c r="D861" s="10">
        <v>3701</v>
      </c>
      <c r="E861" s="10" t="s">
        <v>1214</v>
      </c>
      <c r="F861" s="11">
        <v>48313</v>
      </c>
      <c r="G861" s="11">
        <v>48483</v>
      </c>
      <c r="H861" s="11">
        <v>96796</v>
      </c>
      <c r="I861" s="11">
        <v>33111</v>
      </c>
    </row>
    <row r="862" spans="1:9" x14ac:dyDescent="0.2">
      <c r="A862" s="10">
        <v>6712</v>
      </c>
      <c r="B862" s="10">
        <v>37</v>
      </c>
      <c r="C862" s="10" t="s">
        <v>1213</v>
      </c>
      <c r="D862" s="10">
        <v>3702</v>
      </c>
      <c r="E862" s="10" t="s">
        <v>1215</v>
      </c>
      <c r="F862" s="11">
        <v>19403</v>
      </c>
      <c r="G862" s="11">
        <v>19305</v>
      </c>
      <c r="H862" s="11">
        <v>38708</v>
      </c>
      <c r="I862" s="11">
        <v>12404</v>
      </c>
    </row>
    <row r="863" spans="1:9" x14ac:dyDescent="0.2">
      <c r="A863" s="10">
        <v>6712</v>
      </c>
      <c r="B863" s="10">
        <v>37</v>
      </c>
      <c r="C863" s="10" t="s">
        <v>1213</v>
      </c>
      <c r="D863" s="10">
        <v>3703</v>
      </c>
      <c r="E863" s="10" t="s">
        <v>1216</v>
      </c>
      <c r="F863" s="11">
        <v>22916</v>
      </c>
      <c r="G863" s="11">
        <v>22672</v>
      </c>
      <c r="H863" s="11">
        <v>45588</v>
      </c>
      <c r="I863" s="11">
        <v>14242</v>
      </c>
    </row>
    <row r="864" spans="1:9" x14ac:dyDescent="0.2">
      <c r="A864" s="10">
        <v>6712</v>
      </c>
      <c r="B864" s="10">
        <v>37</v>
      </c>
      <c r="C864" s="10" t="s">
        <v>1213</v>
      </c>
      <c r="D864" s="10">
        <v>3704</v>
      </c>
      <c r="E864" s="10" t="s">
        <v>1217</v>
      </c>
      <c r="F864" s="11">
        <v>9511</v>
      </c>
      <c r="G864" s="11">
        <v>9400</v>
      </c>
      <c r="H864" s="11">
        <v>18911</v>
      </c>
      <c r="I864" s="11">
        <v>7079</v>
      </c>
    </row>
    <row r="865" spans="1:9" x14ac:dyDescent="0.2">
      <c r="A865" s="10">
        <v>6712</v>
      </c>
      <c r="B865" s="10">
        <v>37</v>
      </c>
      <c r="C865" s="10" t="s">
        <v>1213</v>
      </c>
      <c r="D865" s="10">
        <v>3705</v>
      </c>
      <c r="E865" s="10" t="s">
        <v>1218</v>
      </c>
      <c r="F865" s="11">
        <v>17247</v>
      </c>
      <c r="G865" s="11">
        <v>17597</v>
      </c>
      <c r="H865" s="11">
        <v>34844</v>
      </c>
      <c r="I865" s="11">
        <v>11519</v>
      </c>
    </row>
    <row r="866" spans="1:9" x14ac:dyDescent="0.2">
      <c r="A866" s="10">
        <v>6712</v>
      </c>
      <c r="B866" s="10">
        <v>37</v>
      </c>
      <c r="C866" s="10" t="s">
        <v>1213</v>
      </c>
      <c r="D866" s="10">
        <v>3706</v>
      </c>
      <c r="E866" s="10" t="s">
        <v>1219</v>
      </c>
      <c r="F866" s="11">
        <v>20612</v>
      </c>
      <c r="G866" s="11">
        <v>20711</v>
      </c>
      <c r="H866" s="11">
        <v>41323</v>
      </c>
      <c r="I866" s="11">
        <v>11474</v>
      </c>
    </row>
    <row r="867" spans="1:9" x14ac:dyDescent="0.2">
      <c r="A867" s="10">
        <v>6712</v>
      </c>
      <c r="B867" s="10">
        <v>37</v>
      </c>
      <c r="C867" s="10" t="s">
        <v>1213</v>
      </c>
      <c r="D867" s="10">
        <v>3707</v>
      </c>
      <c r="E867" s="10" t="s">
        <v>1220</v>
      </c>
      <c r="F867" s="11">
        <v>16722</v>
      </c>
      <c r="G867" s="11">
        <v>16922</v>
      </c>
      <c r="H867" s="11">
        <v>33644</v>
      </c>
      <c r="I867" s="11">
        <v>10315</v>
      </c>
    </row>
    <row r="868" spans="1:9" x14ac:dyDescent="0.2">
      <c r="A868" s="10">
        <v>6712</v>
      </c>
      <c r="B868" s="10">
        <v>37</v>
      </c>
      <c r="C868" s="10" t="s">
        <v>1213</v>
      </c>
      <c r="D868" s="10">
        <v>3790</v>
      </c>
      <c r="E868" s="10" t="s">
        <v>1221</v>
      </c>
      <c r="F868" s="11">
        <v>2557</v>
      </c>
      <c r="G868" s="11">
        <v>2630</v>
      </c>
      <c r="H868" s="11">
        <v>5187</v>
      </c>
      <c r="I868" s="11">
        <v>1597</v>
      </c>
    </row>
    <row r="869" spans="1:9" x14ac:dyDescent="0.2">
      <c r="A869" s="10">
        <v>6712</v>
      </c>
      <c r="B869" s="10">
        <v>37</v>
      </c>
      <c r="C869" s="10" t="s">
        <v>1213</v>
      </c>
      <c r="D869" s="10">
        <v>3791</v>
      </c>
      <c r="E869" s="10" t="s">
        <v>1222</v>
      </c>
      <c r="F869" s="11">
        <v>2956</v>
      </c>
      <c r="G869" s="11">
        <v>2990</v>
      </c>
      <c r="H869" s="11">
        <v>5946</v>
      </c>
      <c r="I869" s="11">
        <v>2341</v>
      </c>
    </row>
    <row r="870" spans="1:9" x14ac:dyDescent="0.2">
      <c r="A870" s="10">
        <v>6712</v>
      </c>
      <c r="B870" s="10">
        <v>37</v>
      </c>
      <c r="C870" s="10" t="s">
        <v>1213</v>
      </c>
      <c r="D870" s="10">
        <v>3792</v>
      </c>
      <c r="E870" s="10" t="s">
        <v>1223</v>
      </c>
      <c r="F870" s="10">
        <v>985</v>
      </c>
      <c r="G870" s="11">
        <v>1128</v>
      </c>
      <c r="H870" s="11">
        <v>2113</v>
      </c>
      <c r="I870" s="11">
        <v>1063</v>
      </c>
    </row>
    <row r="871" spans="1:9" x14ac:dyDescent="0.2">
      <c r="A871" s="10">
        <v>6712</v>
      </c>
      <c r="B871" s="10">
        <v>37</v>
      </c>
      <c r="C871" s="10" t="s">
        <v>1213</v>
      </c>
      <c r="D871" s="10">
        <v>3793</v>
      </c>
      <c r="E871" s="10" t="s">
        <v>1224</v>
      </c>
      <c r="F871" s="11">
        <v>3289</v>
      </c>
      <c r="G871" s="11">
        <v>3441</v>
      </c>
      <c r="H871" s="11">
        <v>6730</v>
      </c>
      <c r="I871" s="11">
        <v>2329</v>
      </c>
    </row>
    <row r="872" spans="1:9" x14ac:dyDescent="0.2">
      <c r="A872" s="10">
        <v>6712</v>
      </c>
      <c r="B872" s="10">
        <v>37</v>
      </c>
      <c r="C872" s="10" t="s">
        <v>1213</v>
      </c>
      <c r="D872" s="10">
        <v>3794</v>
      </c>
      <c r="E872" s="10" t="s">
        <v>1225</v>
      </c>
      <c r="F872" s="11">
        <v>2637</v>
      </c>
      <c r="G872" s="11">
        <v>2893</v>
      </c>
      <c r="H872" s="11">
        <v>5530</v>
      </c>
      <c r="I872" s="11">
        <v>2026</v>
      </c>
    </row>
    <row r="873" spans="1:9" x14ac:dyDescent="0.2">
      <c r="A873" s="10">
        <v>6712</v>
      </c>
      <c r="B873" s="10">
        <v>37</v>
      </c>
      <c r="C873" s="10" t="s">
        <v>1213</v>
      </c>
      <c r="D873" s="10">
        <v>3795</v>
      </c>
      <c r="E873" s="10" t="s">
        <v>1226</v>
      </c>
      <c r="F873" s="11">
        <v>1173</v>
      </c>
      <c r="G873" s="11">
        <v>1346</v>
      </c>
      <c r="H873" s="11">
        <v>2519</v>
      </c>
      <c r="I873" s="11">
        <v>1176</v>
      </c>
    </row>
    <row r="874" spans="1:9" x14ac:dyDescent="0.2">
      <c r="A874" s="10">
        <v>6712</v>
      </c>
      <c r="B874" s="10">
        <v>37</v>
      </c>
      <c r="C874" s="10" t="s">
        <v>1213</v>
      </c>
      <c r="D874" s="10">
        <v>3796</v>
      </c>
      <c r="E874" s="10" t="s">
        <v>1227</v>
      </c>
      <c r="F874" s="11">
        <v>1628</v>
      </c>
      <c r="G874" s="11">
        <v>1688</v>
      </c>
      <c r="H874" s="11">
        <v>3316</v>
      </c>
      <c r="I874" s="11">
        <v>1771</v>
      </c>
    </row>
    <row r="875" spans="1:9" x14ac:dyDescent="0.2">
      <c r="A875" s="10">
        <v>6712</v>
      </c>
      <c r="B875" s="10">
        <v>37</v>
      </c>
      <c r="C875" s="10" t="s">
        <v>1213</v>
      </c>
      <c r="D875" s="10">
        <v>3797</v>
      </c>
      <c r="E875" s="10" t="s">
        <v>1228</v>
      </c>
      <c r="F875" s="11">
        <v>1502</v>
      </c>
      <c r="G875" s="11">
        <v>1647</v>
      </c>
      <c r="H875" s="11">
        <v>3149</v>
      </c>
      <c r="I875" s="11">
        <v>1521</v>
      </c>
    </row>
    <row r="876" spans="1:9" x14ac:dyDescent="0.2">
      <c r="A876" s="10">
        <v>6712</v>
      </c>
      <c r="B876" s="10">
        <v>37</v>
      </c>
      <c r="C876" s="10" t="s">
        <v>1213</v>
      </c>
      <c r="D876" s="10">
        <v>3798</v>
      </c>
      <c r="E876" s="10" t="s">
        <v>1229</v>
      </c>
      <c r="F876" s="11">
        <v>1727</v>
      </c>
      <c r="G876" s="11">
        <v>1889</v>
      </c>
      <c r="H876" s="11">
        <v>3616</v>
      </c>
      <c r="I876" s="11">
        <v>1272</v>
      </c>
    </row>
    <row r="877" spans="1:9" x14ac:dyDescent="0.2">
      <c r="A877" s="10">
        <v>6712</v>
      </c>
      <c r="B877" s="10">
        <v>37</v>
      </c>
      <c r="C877" s="10" t="s">
        <v>1213</v>
      </c>
      <c r="D877" s="10">
        <v>3799</v>
      </c>
      <c r="E877" s="10" t="s">
        <v>1230</v>
      </c>
      <c r="F877" s="11">
        <v>11605</v>
      </c>
      <c r="G877" s="11">
        <v>12658</v>
      </c>
      <c r="H877" s="11">
        <v>24263</v>
      </c>
      <c r="I877" s="11">
        <v>13319</v>
      </c>
    </row>
    <row r="878" spans="1:9" x14ac:dyDescent="0.2">
      <c r="A878" s="10">
        <v>6712</v>
      </c>
      <c r="B878" s="10">
        <v>38</v>
      </c>
      <c r="C878" s="10" t="s">
        <v>1231</v>
      </c>
      <c r="D878" s="10">
        <v>3801</v>
      </c>
      <c r="E878" s="10" t="s">
        <v>1232</v>
      </c>
      <c r="F878" s="11">
        <v>29214</v>
      </c>
      <c r="G878" s="11">
        <v>29166</v>
      </c>
      <c r="H878" s="11">
        <v>58380</v>
      </c>
      <c r="I878" s="11">
        <v>19608</v>
      </c>
    </row>
    <row r="879" spans="1:9" x14ac:dyDescent="0.2">
      <c r="A879" s="10">
        <v>6712</v>
      </c>
      <c r="B879" s="10">
        <v>38</v>
      </c>
      <c r="C879" s="10" t="s">
        <v>1231</v>
      </c>
      <c r="D879" s="10">
        <v>3802</v>
      </c>
      <c r="E879" s="10" t="s">
        <v>1233</v>
      </c>
      <c r="F879" s="11">
        <v>14421</v>
      </c>
      <c r="G879" s="11">
        <v>14277</v>
      </c>
      <c r="H879" s="11">
        <v>28698</v>
      </c>
      <c r="I879" s="11">
        <v>8648</v>
      </c>
    </row>
    <row r="880" spans="1:9" x14ac:dyDescent="0.2">
      <c r="A880" s="10">
        <v>6712</v>
      </c>
      <c r="B880" s="10">
        <v>38</v>
      </c>
      <c r="C880" s="10" t="s">
        <v>1231</v>
      </c>
      <c r="D880" s="10">
        <v>3803</v>
      </c>
      <c r="E880" s="10" t="s">
        <v>1234</v>
      </c>
      <c r="F880" s="11">
        <v>32438</v>
      </c>
      <c r="G880" s="11">
        <v>32079</v>
      </c>
      <c r="H880" s="11">
        <v>64517</v>
      </c>
      <c r="I880" s="11">
        <v>20112</v>
      </c>
    </row>
    <row r="881" spans="1:9" x14ac:dyDescent="0.2">
      <c r="A881" s="10">
        <v>6712</v>
      </c>
      <c r="B881" s="10">
        <v>38</v>
      </c>
      <c r="C881" s="10" t="s">
        <v>1231</v>
      </c>
      <c r="D881" s="10">
        <v>3804</v>
      </c>
      <c r="E881" s="10" t="s">
        <v>1235</v>
      </c>
      <c r="F881" s="11">
        <v>36646</v>
      </c>
      <c r="G881" s="11">
        <v>36361</v>
      </c>
      <c r="H881" s="11">
        <v>73007</v>
      </c>
      <c r="I881" s="11">
        <v>24745</v>
      </c>
    </row>
    <row r="882" spans="1:9" x14ac:dyDescent="0.2">
      <c r="A882" s="10">
        <v>6712</v>
      </c>
      <c r="B882" s="10">
        <v>38</v>
      </c>
      <c r="C882" s="10" t="s">
        <v>1231</v>
      </c>
      <c r="D882" s="10">
        <v>3805</v>
      </c>
      <c r="E882" s="10" t="s">
        <v>1236</v>
      </c>
      <c r="F882" s="11">
        <v>14046</v>
      </c>
      <c r="G882" s="11">
        <v>13962</v>
      </c>
      <c r="H882" s="11">
        <v>28008</v>
      </c>
      <c r="I882" s="11">
        <v>10192</v>
      </c>
    </row>
    <row r="883" spans="1:9" x14ac:dyDescent="0.2">
      <c r="A883" s="10">
        <v>6712</v>
      </c>
      <c r="B883" s="10">
        <v>38</v>
      </c>
      <c r="C883" s="10" t="s">
        <v>1231</v>
      </c>
      <c r="D883" s="10">
        <v>3806</v>
      </c>
      <c r="E883" s="10" t="s">
        <v>1237</v>
      </c>
      <c r="F883" s="11">
        <v>14116</v>
      </c>
      <c r="G883" s="11">
        <v>13887</v>
      </c>
      <c r="H883" s="11">
        <v>28003</v>
      </c>
      <c r="I883" s="11">
        <v>9521</v>
      </c>
    </row>
    <row r="884" spans="1:9" x14ac:dyDescent="0.2">
      <c r="A884" s="10">
        <v>6712</v>
      </c>
      <c r="B884" s="10">
        <v>38</v>
      </c>
      <c r="C884" s="10" t="s">
        <v>1231</v>
      </c>
      <c r="D884" s="10">
        <v>3807</v>
      </c>
      <c r="E884" s="10" t="s">
        <v>1238</v>
      </c>
      <c r="F884" s="11">
        <v>14246</v>
      </c>
      <c r="G884" s="11">
        <v>14105</v>
      </c>
      <c r="H884" s="11">
        <v>28351</v>
      </c>
      <c r="I884" s="11">
        <v>9819</v>
      </c>
    </row>
    <row r="885" spans="1:9" x14ac:dyDescent="0.2">
      <c r="A885" s="10">
        <v>6712</v>
      </c>
      <c r="B885" s="10">
        <v>38</v>
      </c>
      <c r="C885" s="10" t="s">
        <v>1231</v>
      </c>
      <c r="D885" s="10">
        <v>3808</v>
      </c>
      <c r="E885" s="10" t="s">
        <v>1239</v>
      </c>
      <c r="F885" s="11">
        <v>6956</v>
      </c>
      <c r="G885" s="11">
        <v>6987</v>
      </c>
      <c r="H885" s="11">
        <v>13943</v>
      </c>
      <c r="I885" s="11">
        <v>4455</v>
      </c>
    </row>
    <row r="886" spans="1:9" x14ac:dyDescent="0.2">
      <c r="A886" s="10">
        <v>6712</v>
      </c>
      <c r="B886" s="10">
        <v>38</v>
      </c>
      <c r="C886" s="10" t="s">
        <v>1231</v>
      </c>
      <c r="D886" s="10">
        <v>3887</v>
      </c>
      <c r="E886" s="10" t="s">
        <v>1240</v>
      </c>
      <c r="F886" s="11">
        <v>3612</v>
      </c>
      <c r="G886" s="11">
        <v>3620</v>
      </c>
      <c r="H886" s="11">
        <v>7232</v>
      </c>
      <c r="I886" s="11">
        <v>2453</v>
      </c>
    </row>
    <row r="887" spans="1:9" x14ac:dyDescent="0.2">
      <c r="A887" s="10">
        <v>6712</v>
      </c>
      <c r="B887" s="10">
        <v>38</v>
      </c>
      <c r="C887" s="10" t="s">
        <v>1231</v>
      </c>
      <c r="D887" s="10">
        <v>3888</v>
      </c>
      <c r="E887" s="10" t="s">
        <v>1241</v>
      </c>
      <c r="F887" s="11">
        <v>3409</v>
      </c>
      <c r="G887" s="11">
        <v>3432</v>
      </c>
      <c r="H887" s="11">
        <v>6841</v>
      </c>
      <c r="I887" s="11">
        <v>2485</v>
      </c>
    </row>
    <row r="888" spans="1:9" x14ac:dyDescent="0.2">
      <c r="A888" s="10">
        <v>6712</v>
      </c>
      <c r="B888" s="10">
        <v>38</v>
      </c>
      <c r="C888" s="10" t="s">
        <v>1231</v>
      </c>
      <c r="D888" s="10">
        <v>3890</v>
      </c>
      <c r="E888" s="10" t="s">
        <v>1242</v>
      </c>
      <c r="F888" s="11">
        <v>5397</v>
      </c>
      <c r="G888" s="11">
        <v>5484</v>
      </c>
      <c r="H888" s="11">
        <v>10881</v>
      </c>
      <c r="I888" s="11">
        <v>4125</v>
      </c>
    </row>
    <row r="889" spans="1:9" x14ac:dyDescent="0.2">
      <c r="A889" s="10">
        <v>6712</v>
      </c>
      <c r="B889" s="10">
        <v>38</v>
      </c>
      <c r="C889" s="10" t="s">
        <v>1231</v>
      </c>
      <c r="D889" s="10">
        <v>3891</v>
      </c>
      <c r="E889" s="10" t="s">
        <v>1243</v>
      </c>
      <c r="F889" s="11">
        <v>4749</v>
      </c>
      <c r="G889" s="11">
        <v>4900</v>
      </c>
      <c r="H889" s="11">
        <v>9649</v>
      </c>
      <c r="I889" s="11">
        <v>3717</v>
      </c>
    </row>
    <row r="890" spans="1:9" x14ac:dyDescent="0.2">
      <c r="A890" s="10">
        <v>6712</v>
      </c>
      <c r="B890" s="10">
        <v>38</v>
      </c>
      <c r="C890" s="10" t="s">
        <v>1231</v>
      </c>
      <c r="D890" s="10">
        <v>3892</v>
      </c>
      <c r="E890" s="10" t="s">
        <v>1244</v>
      </c>
      <c r="F890" s="11">
        <v>3190</v>
      </c>
      <c r="G890" s="11">
        <v>3174</v>
      </c>
      <c r="H890" s="11">
        <v>6364</v>
      </c>
      <c r="I890" s="11">
        <v>2800</v>
      </c>
    </row>
    <row r="891" spans="1:9" x14ac:dyDescent="0.2">
      <c r="A891" s="10">
        <v>6712</v>
      </c>
      <c r="B891" s="10">
        <v>38</v>
      </c>
      <c r="C891" s="10" t="s">
        <v>1231</v>
      </c>
      <c r="D891" s="10">
        <v>3893</v>
      </c>
      <c r="E891" s="10" t="s">
        <v>1245</v>
      </c>
      <c r="F891" s="11">
        <v>3190</v>
      </c>
      <c r="G891" s="11">
        <v>3249</v>
      </c>
      <c r="H891" s="11">
        <v>6439</v>
      </c>
      <c r="I891" s="11">
        <v>2815</v>
      </c>
    </row>
    <row r="892" spans="1:9" x14ac:dyDescent="0.2">
      <c r="A892" s="10">
        <v>6712</v>
      </c>
      <c r="B892" s="10">
        <v>38</v>
      </c>
      <c r="C892" s="10" t="s">
        <v>1231</v>
      </c>
      <c r="D892" s="10">
        <v>3894</v>
      </c>
      <c r="E892" s="10" t="s">
        <v>1246</v>
      </c>
      <c r="F892" s="11">
        <v>3309</v>
      </c>
      <c r="G892" s="11">
        <v>3480</v>
      </c>
      <c r="H892" s="11">
        <v>6789</v>
      </c>
      <c r="I892" s="11">
        <v>2053</v>
      </c>
    </row>
    <row r="893" spans="1:9" x14ac:dyDescent="0.2">
      <c r="A893" s="10">
        <v>6712</v>
      </c>
      <c r="B893" s="10">
        <v>38</v>
      </c>
      <c r="C893" s="10" t="s">
        <v>1231</v>
      </c>
      <c r="D893" s="10">
        <v>3895</v>
      </c>
      <c r="E893" s="10" t="s">
        <v>1247</v>
      </c>
      <c r="F893" s="11">
        <v>3187</v>
      </c>
      <c r="G893" s="11">
        <v>3204</v>
      </c>
      <c r="H893" s="11">
        <v>6391</v>
      </c>
      <c r="I893" s="11">
        <v>2734</v>
      </c>
    </row>
    <row r="894" spans="1:9" x14ac:dyDescent="0.2">
      <c r="A894" s="10">
        <v>6712</v>
      </c>
      <c r="B894" s="10">
        <v>38</v>
      </c>
      <c r="C894" s="10" t="s">
        <v>1231</v>
      </c>
      <c r="D894" s="10">
        <v>3896</v>
      </c>
      <c r="E894" s="10" t="s">
        <v>1248</v>
      </c>
      <c r="F894" s="11">
        <v>4931</v>
      </c>
      <c r="G894" s="11">
        <v>5201</v>
      </c>
      <c r="H894" s="11">
        <v>10132</v>
      </c>
      <c r="I894" s="11">
        <v>3719</v>
      </c>
    </row>
    <row r="895" spans="1:9" x14ac:dyDescent="0.2">
      <c r="A895" s="10">
        <v>6712</v>
      </c>
      <c r="B895" s="10">
        <v>38</v>
      </c>
      <c r="C895" s="10" t="s">
        <v>1231</v>
      </c>
      <c r="D895" s="10">
        <v>3897</v>
      </c>
      <c r="E895" s="10" t="s">
        <v>1249</v>
      </c>
      <c r="F895" s="11">
        <v>2465</v>
      </c>
      <c r="G895" s="11">
        <v>2504</v>
      </c>
      <c r="H895" s="11">
        <v>4969</v>
      </c>
      <c r="I895" s="11">
        <v>1584</v>
      </c>
    </row>
    <row r="896" spans="1:9" x14ac:dyDescent="0.2">
      <c r="A896" s="10">
        <v>6712</v>
      </c>
      <c r="B896" s="10">
        <v>38</v>
      </c>
      <c r="C896" s="10" t="s">
        <v>1231</v>
      </c>
      <c r="D896" s="10">
        <v>3898</v>
      </c>
      <c r="E896" s="10" t="s">
        <v>1250</v>
      </c>
      <c r="F896" s="11">
        <v>9937</v>
      </c>
      <c r="G896" s="11">
        <v>10202</v>
      </c>
      <c r="H896" s="11">
        <v>20139</v>
      </c>
      <c r="I896" s="11">
        <v>11874</v>
      </c>
    </row>
    <row r="897" spans="1:9" x14ac:dyDescent="0.2">
      <c r="A897" s="10">
        <v>6712</v>
      </c>
      <c r="B897" s="10">
        <v>39</v>
      </c>
      <c r="C897" s="10" t="s">
        <v>1251</v>
      </c>
      <c r="D897" s="10">
        <v>3901</v>
      </c>
      <c r="E897" s="10" t="s">
        <v>1252</v>
      </c>
      <c r="F897" s="11">
        <v>50613</v>
      </c>
      <c r="G897" s="11">
        <v>50890</v>
      </c>
      <c r="H897" s="11">
        <v>101503</v>
      </c>
      <c r="I897" s="11">
        <v>33364</v>
      </c>
    </row>
    <row r="898" spans="1:9" x14ac:dyDescent="0.2">
      <c r="A898" s="10">
        <v>6712</v>
      </c>
      <c r="B898" s="10">
        <v>39</v>
      </c>
      <c r="C898" s="10" t="s">
        <v>1251</v>
      </c>
      <c r="D898" s="10">
        <v>3902</v>
      </c>
      <c r="E898" s="10" t="s">
        <v>1253</v>
      </c>
      <c r="F898" s="11">
        <v>33352</v>
      </c>
      <c r="G898" s="11">
        <v>33053</v>
      </c>
      <c r="H898" s="11">
        <v>66405</v>
      </c>
      <c r="I898" s="11">
        <v>19618</v>
      </c>
    </row>
    <row r="899" spans="1:9" x14ac:dyDescent="0.2">
      <c r="A899" s="10">
        <v>6712</v>
      </c>
      <c r="B899" s="10">
        <v>39</v>
      </c>
      <c r="C899" s="10" t="s">
        <v>1251</v>
      </c>
      <c r="D899" s="10">
        <v>3903</v>
      </c>
      <c r="E899" s="10" t="s">
        <v>1254</v>
      </c>
      <c r="F899" s="11">
        <v>26446</v>
      </c>
      <c r="G899" s="11">
        <v>26878</v>
      </c>
      <c r="H899" s="11">
        <v>53324</v>
      </c>
      <c r="I899" s="11">
        <v>14379</v>
      </c>
    </row>
    <row r="900" spans="1:9" x14ac:dyDescent="0.2">
      <c r="A900" s="10">
        <v>6712</v>
      </c>
      <c r="B900" s="10">
        <v>39</v>
      </c>
      <c r="C900" s="10" t="s">
        <v>1251</v>
      </c>
      <c r="D900" s="10">
        <v>3904</v>
      </c>
      <c r="E900" s="10" t="s">
        <v>1255</v>
      </c>
      <c r="F900" s="11">
        <v>45168</v>
      </c>
      <c r="G900" s="11">
        <v>44632</v>
      </c>
      <c r="H900" s="11">
        <v>89800</v>
      </c>
      <c r="I900" s="11">
        <v>26271</v>
      </c>
    </row>
    <row r="901" spans="1:9" x14ac:dyDescent="0.2">
      <c r="A901" s="10">
        <v>6712</v>
      </c>
      <c r="B901" s="10">
        <v>39</v>
      </c>
      <c r="C901" s="10" t="s">
        <v>1251</v>
      </c>
      <c r="D901" s="10">
        <v>3905</v>
      </c>
      <c r="E901" s="10" t="s">
        <v>1256</v>
      </c>
      <c r="F901" s="11">
        <v>26799</v>
      </c>
      <c r="G901" s="11">
        <v>26737</v>
      </c>
      <c r="H901" s="11">
        <v>53536</v>
      </c>
      <c r="I901" s="11">
        <v>15816</v>
      </c>
    </row>
    <row r="902" spans="1:9" x14ac:dyDescent="0.2">
      <c r="A902" s="10">
        <v>6712</v>
      </c>
      <c r="B902" s="10">
        <v>39</v>
      </c>
      <c r="C902" s="10" t="s">
        <v>1251</v>
      </c>
      <c r="D902" s="10">
        <v>3906</v>
      </c>
      <c r="E902" s="10" t="s">
        <v>1257</v>
      </c>
      <c r="F902" s="11">
        <v>15008</v>
      </c>
      <c r="G902" s="11">
        <v>14988</v>
      </c>
      <c r="H902" s="11">
        <v>29996</v>
      </c>
      <c r="I902" s="11">
        <v>9081</v>
      </c>
    </row>
    <row r="903" spans="1:9" x14ac:dyDescent="0.2">
      <c r="A903" s="10">
        <v>6712</v>
      </c>
      <c r="B903" s="10">
        <v>39</v>
      </c>
      <c r="C903" s="10" t="s">
        <v>1251</v>
      </c>
      <c r="D903" s="10">
        <v>3986</v>
      </c>
      <c r="E903" s="10" t="s">
        <v>1258</v>
      </c>
      <c r="F903" s="11">
        <v>4566</v>
      </c>
      <c r="G903" s="11">
        <v>4688</v>
      </c>
      <c r="H903" s="11">
        <v>9254</v>
      </c>
      <c r="I903" s="11">
        <v>2700</v>
      </c>
    </row>
    <row r="904" spans="1:9" x14ac:dyDescent="0.2">
      <c r="A904" s="10">
        <v>6712</v>
      </c>
      <c r="B904" s="10">
        <v>39</v>
      </c>
      <c r="C904" s="10" t="s">
        <v>1251</v>
      </c>
      <c r="D904" s="10">
        <v>3987</v>
      </c>
      <c r="E904" s="10" t="s">
        <v>1259</v>
      </c>
      <c r="F904" s="11">
        <v>3319</v>
      </c>
      <c r="G904" s="11">
        <v>3513</v>
      </c>
      <c r="H904" s="11">
        <v>6832</v>
      </c>
      <c r="I904" s="11">
        <v>2504</v>
      </c>
    </row>
    <row r="905" spans="1:9" x14ac:dyDescent="0.2">
      <c r="A905" s="10">
        <v>6712</v>
      </c>
      <c r="B905" s="10">
        <v>39</v>
      </c>
      <c r="C905" s="10" t="s">
        <v>1251</v>
      </c>
      <c r="D905" s="10">
        <v>3988</v>
      </c>
      <c r="E905" s="10" t="s">
        <v>1260</v>
      </c>
      <c r="F905" s="11">
        <v>3742</v>
      </c>
      <c r="G905" s="11">
        <v>3929</v>
      </c>
      <c r="H905" s="11">
        <v>7671</v>
      </c>
      <c r="I905" s="11">
        <v>2999</v>
      </c>
    </row>
    <row r="906" spans="1:9" x14ac:dyDescent="0.2">
      <c r="A906" s="10">
        <v>6712</v>
      </c>
      <c r="B906" s="10">
        <v>39</v>
      </c>
      <c r="C906" s="10" t="s">
        <v>1251</v>
      </c>
      <c r="D906" s="10">
        <v>3989</v>
      </c>
      <c r="E906" s="10" t="s">
        <v>1261</v>
      </c>
      <c r="F906" s="11">
        <v>2928</v>
      </c>
      <c r="G906" s="11">
        <v>3226</v>
      </c>
      <c r="H906" s="11">
        <v>6154</v>
      </c>
      <c r="I906" s="11">
        <v>1958</v>
      </c>
    </row>
    <row r="907" spans="1:9" x14ac:dyDescent="0.2">
      <c r="A907" s="10">
        <v>6712</v>
      </c>
      <c r="B907" s="10">
        <v>39</v>
      </c>
      <c r="C907" s="10" t="s">
        <v>1251</v>
      </c>
      <c r="D907" s="10">
        <v>3990</v>
      </c>
      <c r="E907" s="10" t="s">
        <v>1262</v>
      </c>
      <c r="F907" s="11">
        <v>2141</v>
      </c>
      <c r="G907" s="11">
        <v>2382</v>
      </c>
      <c r="H907" s="11">
        <v>4523</v>
      </c>
      <c r="I907" s="11">
        <v>2721</v>
      </c>
    </row>
    <row r="908" spans="1:9" x14ac:dyDescent="0.2">
      <c r="A908" s="10">
        <v>6712</v>
      </c>
      <c r="B908" s="10">
        <v>39</v>
      </c>
      <c r="C908" s="10" t="s">
        <v>1251</v>
      </c>
      <c r="D908" s="10">
        <v>3991</v>
      </c>
      <c r="E908" s="10" t="s">
        <v>1263</v>
      </c>
      <c r="F908" s="11">
        <v>2500</v>
      </c>
      <c r="G908" s="11">
        <v>2421</v>
      </c>
      <c r="H908" s="11">
        <v>4921</v>
      </c>
      <c r="I908" s="11">
        <v>1551</v>
      </c>
    </row>
    <row r="909" spans="1:9" x14ac:dyDescent="0.2">
      <c r="A909" s="10">
        <v>6712</v>
      </c>
      <c r="B909" s="10">
        <v>39</v>
      </c>
      <c r="C909" s="10" t="s">
        <v>1251</v>
      </c>
      <c r="D909" s="10">
        <v>3992</v>
      </c>
      <c r="E909" s="10" t="s">
        <v>1264</v>
      </c>
      <c r="F909" s="11">
        <v>4038</v>
      </c>
      <c r="G909" s="11">
        <v>4193</v>
      </c>
      <c r="H909" s="11">
        <v>8231</v>
      </c>
      <c r="I909" s="11">
        <v>3030</v>
      </c>
    </row>
    <row r="910" spans="1:9" x14ac:dyDescent="0.2">
      <c r="A910" s="10">
        <v>6712</v>
      </c>
      <c r="B910" s="10">
        <v>39</v>
      </c>
      <c r="C910" s="10" t="s">
        <v>1251</v>
      </c>
      <c r="D910" s="10">
        <v>3993</v>
      </c>
      <c r="E910" s="10" t="s">
        <v>1265</v>
      </c>
      <c r="F910" s="11">
        <v>1358</v>
      </c>
      <c r="G910" s="11">
        <v>1367</v>
      </c>
      <c r="H910" s="11">
        <v>2725</v>
      </c>
      <c r="I910" s="10">
        <v>783</v>
      </c>
    </row>
    <row r="911" spans="1:9" x14ac:dyDescent="0.2">
      <c r="A911" s="10">
        <v>6712</v>
      </c>
      <c r="B911" s="10">
        <v>39</v>
      </c>
      <c r="C911" s="10" t="s">
        <v>1251</v>
      </c>
      <c r="D911" s="10">
        <v>3994</v>
      </c>
      <c r="E911" s="10" t="s">
        <v>1266</v>
      </c>
      <c r="F911" s="11">
        <v>9540</v>
      </c>
      <c r="G911" s="11">
        <v>10055</v>
      </c>
      <c r="H911" s="11">
        <v>19595</v>
      </c>
      <c r="I911" s="11">
        <v>6896</v>
      </c>
    </row>
    <row r="912" spans="1:9" x14ac:dyDescent="0.2">
      <c r="A912" s="10">
        <v>6712</v>
      </c>
      <c r="B912" s="10">
        <v>39</v>
      </c>
      <c r="C912" s="10" t="s">
        <v>1251</v>
      </c>
      <c r="D912" s="10">
        <v>3995</v>
      </c>
      <c r="E912" s="10" t="s">
        <v>1267</v>
      </c>
      <c r="F912" s="11">
        <v>2693</v>
      </c>
      <c r="G912" s="11">
        <v>2837</v>
      </c>
      <c r="H912" s="11">
        <v>5530</v>
      </c>
      <c r="I912" s="11">
        <v>1895</v>
      </c>
    </row>
    <row r="913" spans="1:9" x14ac:dyDescent="0.2">
      <c r="A913" s="10">
        <v>6712</v>
      </c>
      <c r="B913" s="10">
        <v>39</v>
      </c>
      <c r="C913" s="10" t="s">
        <v>1251</v>
      </c>
      <c r="D913" s="10">
        <v>3996</v>
      </c>
      <c r="E913" s="10" t="s">
        <v>1120</v>
      </c>
      <c r="F913" s="11">
        <v>1779</v>
      </c>
      <c r="G913" s="11">
        <v>1758</v>
      </c>
      <c r="H913" s="11">
        <v>3537</v>
      </c>
      <c r="I913" s="11">
        <v>1090</v>
      </c>
    </row>
    <row r="914" spans="1:9" x14ac:dyDescent="0.2">
      <c r="A914" s="10">
        <v>6712</v>
      </c>
      <c r="B914" s="10">
        <v>39</v>
      </c>
      <c r="C914" s="10" t="s">
        <v>1251</v>
      </c>
      <c r="D914" s="10">
        <v>3997</v>
      </c>
      <c r="E914" s="10" t="s">
        <v>1268</v>
      </c>
      <c r="F914" s="11">
        <v>2010</v>
      </c>
      <c r="G914" s="11">
        <v>2145</v>
      </c>
      <c r="H914" s="11">
        <v>4155</v>
      </c>
      <c r="I914" s="11">
        <v>1135</v>
      </c>
    </row>
    <row r="915" spans="1:9" x14ac:dyDescent="0.2">
      <c r="A915" s="10">
        <v>6712</v>
      </c>
      <c r="B915" s="10">
        <v>39</v>
      </c>
      <c r="C915" s="10" t="s">
        <v>1251</v>
      </c>
      <c r="D915" s="10">
        <v>3998</v>
      </c>
      <c r="E915" s="10" t="s">
        <v>1269</v>
      </c>
      <c r="F915" s="11">
        <v>2408</v>
      </c>
      <c r="G915" s="11">
        <v>2464</v>
      </c>
      <c r="H915" s="11">
        <v>4872</v>
      </c>
      <c r="I915" s="11">
        <v>1466</v>
      </c>
    </row>
    <row r="916" spans="1:9" x14ac:dyDescent="0.2">
      <c r="A916" s="10">
        <v>6712</v>
      </c>
      <c r="B916" s="10">
        <v>39</v>
      </c>
      <c r="C916" s="10" t="s">
        <v>1251</v>
      </c>
      <c r="D916" s="10">
        <v>3999</v>
      </c>
      <c r="E916" s="10" t="s">
        <v>1270</v>
      </c>
      <c r="F916" s="11">
        <v>10454</v>
      </c>
      <c r="G916" s="11">
        <v>11361</v>
      </c>
      <c r="H916" s="11">
        <v>21815</v>
      </c>
      <c r="I916" s="11">
        <v>12732</v>
      </c>
    </row>
    <row r="917" spans="1:9" x14ac:dyDescent="0.2">
      <c r="A917" s="10">
        <v>6712</v>
      </c>
      <c r="B917" s="10">
        <v>40</v>
      </c>
      <c r="C917" s="10" t="s">
        <v>1271</v>
      </c>
      <c r="D917" s="10">
        <v>4001</v>
      </c>
      <c r="E917" s="10" t="s">
        <v>1272</v>
      </c>
      <c r="F917" s="11">
        <v>48020</v>
      </c>
      <c r="G917" s="11">
        <v>51475</v>
      </c>
      <c r="H917" s="11">
        <v>99495</v>
      </c>
      <c r="I917" s="11">
        <v>43676</v>
      </c>
    </row>
    <row r="918" spans="1:9" x14ac:dyDescent="0.2">
      <c r="A918" s="10">
        <v>6712</v>
      </c>
      <c r="B918" s="10">
        <v>40</v>
      </c>
      <c r="C918" s="10" t="s">
        <v>1271</v>
      </c>
      <c r="D918" s="10">
        <v>4002</v>
      </c>
      <c r="E918" s="10" t="s">
        <v>1273</v>
      </c>
      <c r="F918" s="11">
        <v>24745</v>
      </c>
      <c r="G918" s="11">
        <v>25046</v>
      </c>
      <c r="H918" s="11">
        <v>49791</v>
      </c>
      <c r="I918" s="11">
        <v>18297</v>
      </c>
    </row>
    <row r="919" spans="1:9" x14ac:dyDescent="0.2">
      <c r="A919" s="10">
        <v>6712</v>
      </c>
      <c r="B919" s="10">
        <v>40</v>
      </c>
      <c r="C919" s="10" t="s">
        <v>1271</v>
      </c>
      <c r="D919" s="10">
        <v>4003</v>
      </c>
      <c r="E919" s="10" t="s">
        <v>1274</v>
      </c>
      <c r="F919" s="11">
        <v>12046</v>
      </c>
      <c r="G919" s="11">
        <v>12540</v>
      </c>
      <c r="H919" s="11">
        <v>24586</v>
      </c>
      <c r="I919" s="11">
        <v>8286</v>
      </c>
    </row>
    <row r="920" spans="1:9" x14ac:dyDescent="0.2">
      <c r="A920" s="10">
        <v>6712</v>
      </c>
      <c r="B920" s="10">
        <v>40</v>
      </c>
      <c r="C920" s="10" t="s">
        <v>1271</v>
      </c>
      <c r="D920" s="10">
        <v>4004</v>
      </c>
      <c r="E920" s="10" t="s">
        <v>1275</v>
      </c>
      <c r="F920" s="11">
        <v>40685</v>
      </c>
      <c r="G920" s="11">
        <v>41824</v>
      </c>
      <c r="H920" s="11">
        <v>82509</v>
      </c>
      <c r="I920" s="11">
        <v>24212</v>
      </c>
    </row>
    <row r="921" spans="1:9" x14ac:dyDescent="0.2">
      <c r="A921" s="10">
        <v>6712</v>
      </c>
      <c r="B921" s="10">
        <v>40</v>
      </c>
      <c r="C921" s="10" t="s">
        <v>1271</v>
      </c>
      <c r="D921" s="10">
        <v>4005</v>
      </c>
      <c r="E921" s="10" t="s">
        <v>1276</v>
      </c>
      <c r="F921" s="11">
        <v>41023</v>
      </c>
      <c r="G921" s="11">
        <v>41484</v>
      </c>
      <c r="H921" s="11">
        <v>82507</v>
      </c>
      <c r="I921" s="11">
        <v>27365</v>
      </c>
    </row>
    <row r="922" spans="1:9" x14ac:dyDescent="0.2">
      <c r="A922" s="10">
        <v>6712</v>
      </c>
      <c r="B922" s="10">
        <v>40</v>
      </c>
      <c r="C922" s="10" t="s">
        <v>1271</v>
      </c>
      <c r="D922" s="10">
        <v>4006</v>
      </c>
      <c r="E922" s="10" t="s">
        <v>1277</v>
      </c>
      <c r="F922" s="11">
        <v>36148</v>
      </c>
      <c r="G922" s="11">
        <v>36720</v>
      </c>
      <c r="H922" s="11">
        <v>72868</v>
      </c>
      <c r="I922" s="11">
        <v>23437</v>
      </c>
    </row>
    <row r="923" spans="1:9" x14ac:dyDescent="0.2">
      <c r="A923" s="10">
        <v>6712</v>
      </c>
      <c r="B923" s="10">
        <v>40</v>
      </c>
      <c r="C923" s="10" t="s">
        <v>1271</v>
      </c>
      <c r="D923" s="10">
        <v>4007</v>
      </c>
      <c r="E923" s="10" t="s">
        <v>1278</v>
      </c>
      <c r="F923" s="11">
        <v>35444</v>
      </c>
      <c r="G923" s="11">
        <v>36275</v>
      </c>
      <c r="H923" s="11">
        <v>71719</v>
      </c>
      <c r="I923" s="11">
        <v>23023</v>
      </c>
    </row>
    <row r="924" spans="1:9" x14ac:dyDescent="0.2">
      <c r="A924" s="10">
        <v>6712</v>
      </c>
      <c r="B924" s="10">
        <v>40</v>
      </c>
      <c r="C924" s="10" t="s">
        <v>1271</v>
      </c>
      <c r="D924" s="10">
        <v>4008</v>
      </c>
      <c r="E924" s="10" t="s">
        <v>1279</v>
      </c>
      <c r="F924" s="11">
        <v>15322</v>
      </c>
      <c r="G924" s="11">
        <v>15719</v>
      </c>
      <c r="H924" s="11">
        <v>31041</v>
      </c>
      <c r="I924" s="11">
        <v>8723</v>
      </c>
    </row>
    <row r="925" spans="1:9" x14ac:dyDescent="0.2">
      <c r="A925" s="10">
        <v>6712</v>
      </c>
      <c r="B925" s="10">
        <v>40</v>
      </c>
      <c r="C925" s="10" t="s">
        <v>1271</v>
      </c>
      <c r="D925" s="10">
        <v>4009</v>
      </c>
      <c r="E925" s="10" t="s">
        <v>1280</v>
      </c>
      <c r="F925" s="11">
        <v>33727</v>
      </c>
      <c r="G925" s="11">
        <v>34219</v>
      </c>
      <c r="H925" s="11">
        <v>67946</v>
      </c>
      <c r="I925" s="11">
        <v>21248</v>
      </c>
    </row>
    <row r="926" spans="1:9" x14ac:dyDescent="0.2">
      <c r="A926" s="10">
        <v>6712</v>
      </c>
      <c r="B926" s="10">
        <v>40</v>
      </c>
      <c r="C926" s="10" t="s">
        <v>1271</v>
      </c>
      <c r="D926" s="10">
        <v>4010</v>
      </c>
      <c r="E926" s="10" t="s">
        <v>1281</v>
      </c>
      <c r="F926" s="11">
        <v>35278</v>
      </c>
      <c r="G926" s="11">
        <v>36289</v>
      </c>
      <c r="H926" s="11">
        <v>71567</v>
      </c>
      <c r="I926" s="11">
        <v>24663</v>
      </c>
    </row>
    <row r="927" spans="1:9" x14ac:dyDescent="0.2">
      <c r="A927" s="10">
        <v>6712</v>
      </c>
      <c r="B927" s="10">
        <v>40</v>
      </c>
      <c r="C927" s="10" t="s">
        <v>1271</v>
      </c>
      <c r="D927" s="10">
        <v>4011</v>
      </c>
      <c r="E927" s="10" t="s">
        <v>1282</v>
      </c>
      <c r="F927" s="11">
        <v>7139</v>
      </c>
      <c r="G927" s="11">
        <v>7037</v>
      </c>
      <c r="H927" s="11">
        <v>14176</v>
      </c>
      <c r="I927" s="11">
        <v>4165</v>
      </c>
    </row>
    <row r="928" spans="1:9" x14ac:dyDescent="0.2">
      <c r="A928" s="10">
        <v>6712</v>
      </c>
      <c r="B928" s="10">
        <v>40</v>
      </c>
      <c r="C928" s="10" t="s">
        <v>1271</v>
      </c>
      <c r="D928" s="10">
        <v>4012</v>
      </c>
      <c r="E928" s="10" t="s">
        <v>1283</v>
      </c>
      <c r="F928" s="11">
        <v>36928</v>
      </c>
      <c r="G928" s="11">
        <v>37946</v>
      </c>
      <c r="H928" s="11">
        <v>74874</v>
      </c>
      <c r="I928" s="11">
        <v>24469</v>
      </c>
    </row>
    <row r="929" spans="1:9" x14ac:dyDescent="0.2">
      <c r="A929" s="10">
        <v>6712</v>
      </c>
      <c r="B929" s="10">
        <v>40</v>
      </c>
      <c r="C929" s="10" t="s">
        <v>1271</v>
      </c>
      <c r="D929" s="10">
        <v>4013</v>
      </c>
      <c r="E929" s="10" t="s">
        <v>1284</v>
      </c>
      <c r="F929" s="11">
        <v>11718</v>
      </c>
      <c r="G929" s="11">
        <v>12054</v>
      </c>
      <c r="H929" s="11">
        <v>23772</v>
      </c>
      <c r="I929" s="11">
        <v>6685</v>
      </c>
    </row>
    <row r="930" spans="1:9" x14ac:dyDescent="0.2">
      <c r="A930" s="10">
        <v>6712</v>
      </c>
      <c r="B930" s="10">
        <v>40</v>
      </c>
      <c r="C930" s="10" t="s">
        <v>1271</v>
      </c>
      <c r="D930" s="10">
        <v>4014</v>
      </c>
      <c r="E930" s="10" t="s">
        <v>1285</v>
      </c>
      <c r="F930" s="11">
        <v>18986</v>
      </c>
      <c r="G930" s="11">
        <v>19101</v>
      </c>
      <c r="H930" s="11">
        <v>38087</v>
      </c>
      <c r="I930" s="11">
        <v>11903</v>
      </c>
    </row>
    <row r="931" spans="1:9" x14ac:dyDescent="0.2">
      <c r="A931" s="10">
        <v>6712</v>
      </c>
      <c r="B931" s="10">
        <v>40</v>
      </c>
      <c r="C931" s="10" t="s">
        <v>1271</v>
      </c>
      <c r="D931" s="10">
        <v>4015</v>
      </c>
      <c r="E931" s="10" t="s">
        <v>1286</v>
      </c>
      <c r="F931" s="11">
        <v>35017</v>
      </c>
      <c r="G931" s="11">
        <v>35506</v>
      </c>
      <c r="H931" s="11">
        <v>70523</v>
      </c>
      <c r="I931" s="11">
        <v>21915</v>
      </c>
    </row>
    <row r="932" spans="1:9" x14ac:dyDescent="0.2">
      <c r="A932" s="10">
        <v>6712</v>
      </c>
      <c r="B932" s="10">
        <v>40</v>
      </c>
      <c r="C932" s="10" t="s">
        <v>1271</v>
      </c>
      <c r="D932" s="10">
        <v>4016</v>
      </c>
      <c r="E932" s="10" t="s">
        <v>1287</v>
      </c>
      <c r="F932" s="11">
        <v>33867</v>
      </c>
      <c r="G932" s="11">
        <v>34334</v>
      </c>
      <c r="H932" s="11">
        <v>68201</v>
      </c>
      <c r="I932" s="11">
        <v>21470</v>
      </c>
    </row>
    <row r="933" spans="1:9" x14ac:dyDescent="0.2">
      <c r="A933" s="10">
        <v>6712</v>
      </c>
      <c r="B933" s="10">
        <v>40</v>
      </c>
      <c r="C933" s="10" t="s">
        <v>1271</v>
      </c>
      <c r="D933" s="10">
        <v>4017</v>
      </c>
      <c r="E933" s="10" t="s">
        <v>1288</v>
      </c>
      <c r="F933" s="11">
        <v>32441</v>
      </c>
      <c r="G933" s="11">
        <v>33152</v>
      </c>
      <c r="H933" s="11">
        <v>65593</v>
      </c>
      <c r="I933" s="11">
        <v>22831</v>
      </c>
    </row>
    <row r="934" spans="1:9" x14ac:dyDescent="0.2">
      <c r="A934" s="10">
        <v>6712</v>
      </c>
      <c r="B934" s="10">
        <v>40</v>
      </c>
      <c r="C934" s="10" t="s">
        <v>1271</v>
      </c>
      <c r="D934" s="10">
        <v>4018</v>
      </c>
      <c r="E934" s="10" t="s">
        <v>1289</v>
      </c>
      <c r="F934" s="11">
        <v>19112</v>
      </c>
      <c r="G934" s="11">
        <v>19905</v>
      </c>
      <c r="H934" s="11">
        <v>39017</v>
      </c>
      <c r="I934" s="11">
        <v>12191</v>
      </c>
    </row>
    <row r="935" spans="1:9" x14ac:dyDescent="0.2">
      <c r="A935" s="10">
        <v>6712</v>
      </c>
      <c r="B935" s="10">
        <v>40</v>
      </c>
      <c r="C935" s="10" t="s">
        <v>1271</v>
      </c>
      <c r="D935" s="10">
        <v>4019</v>
      </c>
      <c r="E935" s="10" t="s">
        <v>1290</v>
      </c>
      <c r="F935" s="11">
        <v>10572</v>
      </c>
      <c r="G935" s="11">
        <v>10681</v>
      </c>
      <c r="H935" s="11">
        <v>21253</v>
      </c>
      <c r="I935" s="11">
        <v>6661</v>
      </c>
    </row>
    <row r="936" spans="1:9" x14ac:dyDescent="0.2">
      <c r="A936" s="10">
        <v>6712</v>
      </c>
      <c r="B936" s="10">
        <v>40</v>
      </c>
      <c r="C936" s="10" t="s">
        <v>1271</v>
      </c>
      <c r="D936" s="10">
        <v>4020</v>
      </c>
      <c r="E936" s="10" t="s">
        <v>1291</v>
      </c>
      <c r="F936" s="11">
        <v>9728</v>
      </c>
      <c r="G936" s="11">
        <v>9710</v>
      </c>
      <c r="H936" s="11">
        <v>19438</v>
      </c>
      <c r="I936" s="11">
        <v>6098</v>
      </c>
    </row>
    <row r="937" spans="1:9" x14ac:dyDescent="0.2">
      <c r="A937" s="10">
        <v>6712</v>
      </c>
      <c r="B937" s="10">
        <v>40</v>
      </c>
      <c r="C937" s="10" t="s">
        <v>1271</v>
      </c>
      <c r="D937" s="10">
        <v>4021</v>
      </c>
      <c r="E937" s="10" t="s">
        <v>1292</v>
      </c>
      <c r="F937" s="11">
        <v>8819</v>
      </c>
      <c r="G937" s="11">
        <v>9120</v>
      </c>
      <c r="H937" s="11">
        <v>17939</v>
      </c>
      <c r="I937" s="11">
        <v>5504</v>
      </c>
    </row>
    <row r="938" spans="1:9" x14ac:dyDescent="0.2">
      <c r="A938" s="10">
        <v>6712</v>
      </c>
      <c r="B938" s="10">
        <v>40</v>
      </c>
      <c r="C938" s="10" t="s">
        <v>1271</v>
      </c>
      <c r="D938" s="10">
        <v>4022</v>
      </c>
      <c r="E938" s="10" t="s">
        <v>1293</v>
      </c>
      <c r="F938" s="11">
        <v>10382</v>
      </c>
      <c r="G938" s="11">
        <v>10437</v>
      </c>
      <c r="H938" s="11">
        <v>20819</v>
      </c>
      <c r="I938" s="11">
        <v>6935</v>
      </c>
    </row>
    <row r="939" spans="1:9" x14ac:dyDescent="0.2">
      <c r="A939" s="10">
        <v>6712</v>
      </c>
      <c r="B939" s="10">
        <v>40</v>
      </c>
      <c r="C939" s="10" t="s">
        <v>1271</v>
      </c>
      <c r="D939" s="10">
        <v>4023</v>
      </c>
      <c r="E939" s="10" t="s">
        <v>1294</v>
      </c>
      <c r="F939" s="11">
        <v>11613</v>
      </c>
      <c r="G939" s="11">
        <v>11782</v>
      </c>
      <c r="H939" s="11">
        <v>23395</v>
      </c>
      <c r="I939" s="11">
        <v>7104</v>
      </c>
    </row>
    <row r="940" spans="1:9" x14ac:dyDescent="0.2">
      <c r="A940" s="10">
        <v>6712</v>
      </c>
      <c r="B940" s="10">
        <v>40</v>
      </c>
      <c r="C940" s="10" t="s">
        <v>1271</v>
      </c>
      <c r="D940" s="10">
        <v>4024</v>
      </c>
      <c r="E940" s="10" t="s">
        <v>1295</v>
      </c>
      <c r="F940" s="11">
        <v>12829</v>
      </c>
      <c r="G940" s="11">
        <v>13151</v>
      </c>
      <c r="H940" s="11">
        <v>25980</v>
      </c>
      <c r="I940" s="11">
        <v>8738</v>
      </c>
    </row>
    <row r="941" spans="1:9" x14ac:dyDescent="0.2">
      <c r="A941" s="10">
        <v>6712</v>
      </c>
      <c r="B941" s="10">
        <v>40</v>
      </c>
      <c r="C941" s="10" t="s">
        <v>1271</v>
      </c>
      <c r="D941" s="10">
        <v>4025</v>
      </c>
      <c r="E941" s="10" t="s">
        <v>1296</v>
      </c>
      <c r="F941" s="11">
        <v>10387</v>
      </c>
      <c r="G941" s="11">
        <v>10504</v>
      </c>
      <c r="H941" s="11">
        <v>20891</v>
      </c>
      <c r="I941" s="11">
        <v>6801</v>
      </c>
    </row>
    <row r="942" spans="1:9" x14ac:dyDescent="0.2">
      <c r="A942" s="10">
        <v>6712</v>
      </c>
      <c r="B942" s="10">
        <v>40</v>
      </c>
      <c r="C942" s="10" t="s">
        <v>1271</v>
      </c>
      <c r="D942" s="10">
        <v>4029</v>
      </c>
      <c r="E942" s="10" t="s">
        <v>1297</v>
      </c>
      <c r="F942" s="11">
        <v>9750</v>
      </c>
      <c r="G942" s="11">
        <v>9954</v>
      </c>
      <c r="H942" s="11">
        <v>19704</v>
      </c>
      <c r="I942" s="11">
        <v>5977</v>
      </c>
    </row>
    <row r="943" spans="1:9" x14ac:dyDescent="0.2">
      <c r="A943" s="10">
        <v>6712</v>
      </c>
      <c r="B943" s="10">
        <v>40</v>
      </c>
      <c r="C943" s="10" t="s">
        <v>1271</v>
      </c>
      <c r="D943" s="10">
        <v>4054</v>
      </c>
      <c r="E943" s="10" t="s">
        <v>1298</v>
      </c>
      <c r="F943" s="11">
        <v>27265</v>
      </c>
      <c r="G943" s="11">
        <v>28075</v>
      </c>
      <c r="H943" s="11">
        <v>55340</v>
      </c>
      <c r="I943" s="11">
        <v>32137</v>
      </c>
    </row>
    <row r="944" spans="1:9" x14ac:dyDescent="0.2">
      <c r="A944" s="10">
        <v>6712</v>
      </c>
      <c r="B944" s="10">
        <v>40</v>
      </c>
      <c r="C944" s="10" t="s">
        <v>1271</v>
      </c>
      <c r="D944" s="10">
        <v>4055</v>
      </c>
      <c r="E944" s="10" t="s">
        <v>1299</v>
      </c>
      <c r="F944" s="11">
        <v>4409</v>
      </c>
      <c r="G944" s="11">
        <v>4330</v>
      </c>
      <c r="H944" s="11">
        <v>8739</v>
      </c>
      <c r="I944" s="11">
        <v>2606</v>
      </c>
    </row>
    <row r="945" spans="1:9" x14ac:dyDescent="0.2">
      <c r="A945" s="10">
        <v>6712</v>
      </c>
      <c r="B945" s="10">
        <v>40</v>
      </c>
      <c r="C945" s="10" t="s">
        <v>1271</v>
      </c>
      <c r="D945" s="10">
        <v>4056</v>
      </c>
      <c r="E945" s="10" t="s">
        <v>1300</v>
      </c>
      <c r="F945" s="11">
        <v>4892</v>
      </c>
      <c r="G945" s="11">
        <v>4965</v>
      </c>
      <c r="H945" s="11">
        <v>9857</v>
      </c>
      <c r="I945" s="11">
        <v>2803</v>
      </c>
    </row>
    <row r="946" spans="1:9" x14ac:dyDescent="0.2">
      <c r="A946" s="10">
        <v>6712</v>
      </c>
      <c r="B946" s="10">
        <v>40</v>
      </c>
      <c r="C946" s="10" t="s">
        <v>1271</v>
      </c>
      <c r="D946" s="10">
        <v>4057</v>
      </c>
      <c r="E946" s="10" t="s">
        <v>1301</v>
      </c>
      <c r="F946" s="11">
        <v>9333</v>
      </c>
      <c r="G946" s="11">
        <v>10049</v>
      </c>
      <c r="H946" s="11">
        <v>19382</v>
      </c>
      <c r="I946" s="11">
        <v>9638</v>
      </c>
    </row>
    <row r="947" spans="1:9" x14ac:dyDescent="0.2">
      <c r="A947" s="10">
        <v>6712</v>
      </c>
      <c r="B947" s="10">
        <v>40</v>
      </c>
      <c r="C947" s="10" t="s">
        <v>1271</v>
      </c>
      <c r="D947" s="10">
        <v>4058</v>
      </c>
      <c r="E947" s="10" t="s">
        <v>950</v>
      </c>
      <c r="F947" s="11">
        <v>2914</v>
      </c>
      <c r="G947" s="11">
        <v>2929</v>
      </c>
      <c r="H947" s="11">
        <v>5843</v>
      </c>
      <c r="I947" s="11">
        <v>1863</v>
      </c>
    </row>
    <row r="948" spans="1:9" x14ac:dyDescent="0.2">
      <c r="A948" s="10">
        <v>6712</v>
      </c>
      <c r="B948" s="10">
        <v>40</v>
      </c>
      <c r="C948" s="10" t="s">
        <v>1271</v>
      </c>
      <c r="D948" s="10">
        <v>4060</v>
      </c>
      <c r="E948" s="10" t="s">
        <v>1302</v>
      </c>
      <c r="F948" s="11">
        <v>4924</v>
      </c>
      <c r="G948" s="11">
        <v>5158</v>
      </c>
      <c r="H948" s="11">
        <v>10082</v>
      </c>
      <c r="I948" s="11">
        <v>3684</v>
      </c>
    </row>
    <row r="949" spans="1:9" x14ac:dyDescent="0.2">
      <c r="A949" s="10">
        <v>6712</v>
      </c>
      <c r="B949" s="10">
        <v>40</v>
      </c>
      <c r="C949" s="10" t="s">
        <v>1271</v>
      </c>
      <c r="D949" s="10">
        <v>4061</v>
      </c>
      <c r="E949" s="10" t="s">
        <v>1303</v>
      </c>
      <c r="F949" s="11">
        <v>3624</v>
      </c>
      <c r="G949" s="11">
        <v>3964</v>
      </c>
      <c r="H949" s="11">
        <v>7588</v>
      </c>
      <c r="I949" s="11">
        <v>2339</v>
      </c>
    </row>
    <row r="950" spans="1:9" x14ac:dyDescent="0.2">
      <c r="A950" s="10">
        <v>6712</v>
      </c>
      <c r="B950" s="10">
        <v>40</v>
      </c>
      <c r="C950" s="10" t="s">
        <v>1271</v>
      </c>
      <c r="D950" s="10">
        <v>4062</v>
      </c>
      <c r="E950" s="10" t="s">
        <v>833</v>
      </c>
      <c r="F950" s="11">
        <v>15303</v>
      </c>
      <c r="G950" s="11">
        <v>17691</v>
      </c>
      <c r="H950" s="11">
        <v>32994</v>
      </c>
      <c r="I950" s="11">
        <v>19056</v>
      </c>
    </row>
    <row r="951" spans="1:9" x14ac:dyDescent="0.2">
      <c r="A951" s="10">
        <v>6712</v>
      </c>
      <c r="B951" s="10">
        <v>40</v>
      </c>
      <c r="C951" s="10" t="s">
        <v>1271</v>
      </c>
      <c r="D951" s="10">
        <v>4063</v>
      </c>
      <c r="E951" s="10" t="s">
        <v>1304</v>
      </c>
      <c r="F951" s="11">
        <v>4762</v>
      </c>
      <c r="G951" s="11">
        <v>4965</v>
      </c>
      <c r="H951" s="11">
        <v>9727</v>
      </c>
      <c r="I951" s="11">
        <v>3351</v>
      </c>
    </row>
    <row r="952" spans="1:9" x14ac:dyDescent="0.2">
      <c r="A952" s="10">
        <v>6712</v>
      </c>
      <c r="B952" s="10">
        <v>40</v>
      </c>
      <c r="C952" s="10" t="s">
        <v>1271</v>
      </c>
      <c r="D952" s="10">
        <v>4064</v>
      </c>
      <c r="E952" s="10" t="s">
        <v>1305</v>
      </c>
      <c r="F952" s="11">
        <v>8536</v>
      </c>
      <c r="G952" s="11">
        <v>8944</v>
      </c>
      <c r="H952" s="11">
        <v>17480</v>
      </c>
      <c r="I952" s="11">
        <v>7548</v>
      </c>
    </row>
    <row r="953" spans="1:9" x14ac:dyDescent="0.2">
      <c r="A953" s="10">
        <v>6712</v>
      </c>
      <c r="B953" s="10">
        <v>40</v>
      </c>
      <c r="C953" s="10" t="s">
        <v>1271</v>
      </c>
      <c r="D953" s="10">
        <v>4065</v>
      </c>
      <c r="E953" s="10" t="s">
        <v>1306</v>
      </c>
      <c r="F953" s="11">
        <v>4149</v>
      </c>
      <c r="G953" s="11">
        <v>4334</v>
      </c>
      <c r="H953" s="11">
        <v>8483</v>
      </c>
      <c r="I953" s="11">
        <v>2848</v>
      </c>
    </row>
    <row r="954" spans="1:9" x14ac:dyDescent="0.2">
      <c r="A954" s="10">
        <v>6712</v>
      </c>
      <c r="B954" s="10">
        <v>40</v>
      </c>
      <c r="C954" s="10" t="s">
        <v>1271</v>
      </c>
      <c r="D954" s="10">
        <v>4067</v>
      </c>
      <c r="E954" s="10" t="s">
        <v>1307</v>
      </c>
      <c r="F954" s="11">
        <v>8857</v>
      </c>
      <c r="G954" s="11">
        <v>9046</v>
      </c>
      <c r="H954" s="11">
        <v>17903</v>
      </c>
      <c r="I954" s="11">
        <v>6137</v>
      </c>
    </row>
    <row r="955" spans="1:9" x14ac:dyDescent="0.2">
      <c r="A955" s="10">
        <v>6712</v>
      </c>
      <c r="B955" s="10">
        <v>40</v>
      </c>
      <c r="C955" s="10" t="s">
        <v>1271</v>
      </c>
      <c r="D955" s="10">
        <v>4068</v>
      </c>
      <c r="E955" s="10" t="s">
        <v>1308</v>
      </c>
      <c r="F955" s="11">
        <v>22409</v>
      </c>
      <c r="G955" s="11">
        <v>26213</v>
      </c>
      <c r="H955" s="11">
        <v>48622</v>
      </c>
      <c r="I955" s="11">
        <v>30471</v>
      </c>
    </row>
    <row r="956" spans="1:9" x14ac:dyDescent="0.2">
      <c r="A956" s="10">
        <v>6712</v>
      </c>
      <c r="B956" s="10">
        <v>40</v>
      </c>
      <c r="C956" s="10" t="s">
        <v>1271</v>
      </c>
      <c r="D956" s="10">
        <v>4069</v>
      </c>
      <c r="E956" s="10" t="s">
        <v>1309</v>
      </c>
      <c r="F956" s="11">
        <v>2724</v>
      </c>
      <c r="G956" s="11">
        <v>2768</v>
      </c>
      <c r="H956" s="11">
        <v>5492</v>
      </c>
      <c r="I956" s="11">
        <v>1965</v>
      </c>
    </row>
    <row r="957" spans="1:9" x14ac:dyDescent="0.2">
      <c r="A957" s="10">
        <v>6712</v>
      </c>
      <c r="B957" s="10">
        <v>40</v>
      </c>
      <c r="C957" s="10" t="s">
        <v>1271</v>
      </c>
      <c r="D957" s="10">
        <v>4070</v>
      </c>
      <c r="E957" s="10" t="s">
        <v>1310</v>
      </c>
      <c r="F957" s="11">
        <v>3249</v>
      </c>
      <c r="G957" s="11">
        <v>3340</v>
      </c>
      <c r="H957" s="11">
        <v>6589</v>
      </c>
      <c r="I957" s="11">
        <v>2369</v>
      </c>
    </row>
    <row r="958" spans="1:9" x14ac:dyDescent="0.2">
      <c r="A958" s="10">
        <v>6712</v>
      </c>
      <c r="B958" s="10">
        <v>40</v>
      </c>
      <c r="C958" s="10" t="s">
        <v>1271</v>
      </c>
      <c r="D958" s="10">
        <v>4071</v>
      </c>
      <c r="E958" s="10" t="s">
        <v>1261</v>
      </c>
      <c r="F958" s="11">
        <v>1926</v>
      </c>
      <c r="G958" s="11">
        <v>2099</v>
      </c>
      <c r="H958" s="11">
        <v>4025</v>
      </c>
      <c r="I958" s="11">
        <v>1568</v>
      </c>
    </row>
    <row r="959" spans="1:9" x14ac:dyDescent="0.2">
      <c r="A959" s="10">
        <v>6712</v>
      </c>
      <c r="B959" s="10">
        <v>40</v>
      </c>
      <c r="C959" s="10" t="s">
        <v>1271</v>
      </c>
      <c r="D959" s="10">
        <v>4072</v>
      </c>
      <c r="E959" s="10" t="s">
        <v>1311</v>
      </c>
      <c r="F959" s="11">
        <v>2531</v>
      </c>
      <c r="G959" s="11">
        <v>2648</v>
      </c>
      <c r="H959" s="11">
        <v>5179</v>
      </c>
      <c r="I959" s="11">
        <v>2044</v>
      </c>
    </row>
    <row r="960" spans="1:9" x14ac:dyDescent="0.2">
      <c r="A960" s="10">
        <v>6712</v>
      </c>
      <c r="B960" s="10">
        <v>40</v>
      </c>
      <c r="C960" s="10" t="s">
        <v>1271</v>
      </c>
      <c r="D960" s="10">
        <v>4073</v>
      </c>
      <c r="E960" s="10" t="s">
        <v>1312</v>
      </c>
      <c r="F960" s="11">
        <v>1644</v>
      </c>
      <c r="G960" s="11">
        <v>1750</v>
      </c>
      <c r="H960" s="11">
        <v>3394</v>
      </c>
      <c r="I960" s="11">
        <v>1352</v>
      </c>
    </row>
    <row r="961" spans="1:9" x14ac:dyDescent="0.2">
      <c r="A961" s="10">
        <v>6712</v>
      </c>
      <c r="B961" s="10">
        <v>40</v>
      </c>
      <c r="C961" s="10" t="s">
        <v>1271</v>
      </c>
      <c r="D961" s="10">
        <v>4074</v>
      </c>
      <c r="E961" s="10" t="s">
        <v>1313</v>
      </c>
      <c r="F961" s="11">
        <v>5200</v>
      </c>
      <c r="G961" s="11">
        <v>5336</v>
      </c>
      <c r="H961" s="11">
        <v>10536</v>
      </c>
      <c r="I961" s="11">
        <v>3952</v>
      </c>
    </row>
    <row r="962" spans="1:9" x14ac:dyDescent="0.2">
      <c r="A962" s="10">
        <v>6712</v>
      </c>
      <c r="B962" s="10">
        <v>40</v>
      </c>
      <c r="C962" s="10" t="s">
        <v>1271</v>
      </c>
      <c r="D962" s="10">
        <v>4075</v>
      </c>
      <c r="E962" s="10" t="s">
        <v>1314</v>
      </c>
      <c r="F962" s="11">
        <v>3566</v>
      </c>
      <c r="G962" s="11">
        <v>4017</v>
      </c>
      <c r="H962" s="11">
        <v>7583</v>
      </c>
      <c r="I962" s="11">
        <v>3461</v>
      </c>
    </row>
    <row r="963" spans="1:9" x14ac:dyDescent="0.2">
      <c r="A963" s="10">
        <v>6712</v>
      </c>
      <c r="B963" s="10">
        <v>40</v>
      </c>
      <c r="C963" s="10" t="s">
        <v>1271</v>
      </c>
      <c r="D963" s="10">
        <v>4076</v>
      </c>
      <c r="E963" s="10" t="s">
        <v>1315</v>
      </c>
      <c r="F963" s="11">
        <v>1600</v>
      </c>
      <c r="G963" s="11">
        <v>1771</v>
      </c>
      <c r="H963" s="11">
        <v>3371</v>
      </c>
      <c r="I963" s="11">
        <v>2003</v>
      </c>
    </row>
    <row r="964" spans="1:9" x14ac:dyDescent="0.2">
      <c r="A964" s="10">
        <v>6712</v>
      </c>
      <c r="B964" s="10">
        <v>40</v>
      </c>
      <c r="C964" s="10" t="s">
        <v>1271</v>
      </c>
      <c r="D964" s="10">
        <v>4077</v>
      </c>
      <c r="E964" s="10" t="s">
        <v>1316</v>
      </c>
      <c r="F964" s="11">
        <v>1287</v>
      </c>
      <c r="G964" s="11">
        <v>1459</v>
      </c>
      <c r="H964" s="11">
        <v>2746</v>
      </c>
      <c r="I964" s="11">
        <v>1780</v>
      </c>
    </row>
    <row r="965" spans="1:9" x14ac:dyDescent="0.2">
      <c r="A965" s="10">
        <v>6712</v>
      </c>
      <c r="B965" s="10">
        <v>40</v>
      </c>
      <c r="C965" s="10" t="s">
        <v>1271</v>
      </c>
      <c r="D965" s="10">
        <v>4078</v>
      </c>
      <c r="E965" s="10" t="s">
        <v>1317</v>
      </c>
      <c r="F965" s="11">
        <v>2648</v>
      </c>
      <c r="G965" s="11">
        <v>2814</v>
      </c>
      <c r="H965" s="11">
        <v>5462</v>
      </c>
      <c r="I965" s="11">
        <v>2849</v>
      </c>
    </row>
    <row r="966" spans="1:9" x14ac:dyDescent="0.2">
      <c r="A966" s="10">
        <v>6712</v>
      </c>
      <c r="B966" s="10">
        <v>40</v>
      </c>
      <c r="C966" s="10" t="s">
        <v>1271</v>
      </c>
      <c r="D966" s="10">
        <v>4079</v>
      </c>
      <c r="E966" s="10" t="s">
        <v>1318</v>
      </c>
      <c r="F966" s="11">
        <v>1412</v>
      </c>
      <c r="G966" s="11">
        <v>1570</v>
      </c>
      <c r="H966" s="11">
        <v>2982</v>
      </c>
      <c r="I966" s="11">
        <v>1393</v>
      </c>
    </row>
    <row r="967" spans="1:9" x14ac:dyDescent="0.2">
      <c r="A967" s="10">
        <v>6712</v>
      </c>
      <c r="B967" s="10">
        <v>40</v>
      </c>
      <c r="C967" s="10" t="s">
        <v>1271</v>
      </c>
      <c r="D967" s="10">
        <v>4080</v>
      </c>
      <c r="E967" s="10" t="s">
        <v>1319</v>
      </c>
      <c r="F967" s="11">
        <v>2441</v>
      </c>
      <c r="G967" s="11">
        <v>2627</v>
      </c>
      <c r="H967" s="11">
        <v>5068</v>
      </c>
      <c r="I967" s="11">
        <v>1874</v>
      </c>
    </row>
    <row r="968" spans="1:9" x14ac:dyDescent="0.2">
      <c r="A968" s="10">
        <v>6712</v>
      </c>
      <c r="B968" s="10">
        <v>40</v>
      </c>
      <c r="C968" s="10" t="s">
        <v>1271</v>
      </c>
      <c r="D968" s="10">
        <v>4081</v>
      </c>
      <c r="E968" s="10" t="s">
        <v>1320</v>
      </c>
      <c r="F968" s="11">
        <v>2827</v>
      </c>
      <c r="G968" s="11">
        <v>2951</v>
      </c>
      <c r="H968" s="11">
        <v>5778</v>
      </c>
      <c r="I968" s="11">
        <v>2089</v>
      </c>
    </row>
    <row r="969" spans="1:9" x14ac:dyDescent="0.2">
      <c r="A969" s="10">
        <v>6712</v>
      </c>
      <c r="B969" s="10">
        <v>40</v>
      </c>
      <c r="C969" s="10" t="s">
        <v>1271</v>
      </c>
      <c r="D969" s="10">
        <v>4082</v>
      </c>
      <c r="E969" s="10" t="s">
        <v>1321</v>
      </c>
      <c r="F969" s="11">
        <v>4555</v>
      </c>
      <c r="G969" s="11">
        <v>5022</v>
      </c>
      <c r="H969" s="11">
        <v>9577</v>
      </c>
      <c r="I969" s="11">
        <v>4677</v>
      </c>
    </row>
    <row r="970" spans="1:9" x14ac:dyDescent="0.2">
      <c r="A970" s="10">
        <v>6712</v>
      </c>
      <c r="B970" s="10">
        <v>40</v>
      </c>
      <c r="C970" s="10" t="s">
        <v>1271</v>
      </c>
      <c r="D970" s="10">
        <v>4083</v>
      </c>
      <c r="E970" s="10" t="s">
        <v>1322</v>
      </c>
      <c r="F970" s="11">
        <v>1860</v>
      </c>
      <c r="G970" s="11">
        <v>1966</v>
      </c>
      <c r="H970" s="11">
        <v>3826</v>
      </c>
      <c r="I970" s="11">
        <v>2138</v>
      </c>
    </row>
    <row r="971" spans="1:9" x14ac:dyDescent="0.2">
      <c r="A971" s="10">
        <v>6712</v>
      </c>
      <c r="B971" s="10">
        <v>40</v>
      </c>
      <c r="C971" s="10" t="s">
        <v>1271</v>
      </c>
      <c r="D971" s="10">
        <v>4084</v>
      </c>
      <c r="E971" s="10" t="s">
        <v>1323</v>
      </c>
      <c r="F971" s="11">
        <v>2994</v>
      </c>
      <c r="G971" s="11">
        <v>3253</v>
      </c>
      <c r="H971" s="11">
        <v>6247</v>
      </c>
      <c r="I971" s="11">
        <v>3029</v>
      </c>
    </row>
    <row r="972" spans="1:9" x14ac:dyDescent="0.2">
      <c r="A972" s="10">
        <v>6712</v>
      </c>
      <c r="B972" s="10">
        <v>40</v>
      </c>
      <c r="C972" s="10" t="s">
        <v>1271</v>
      </c>
      <c r="D972" s="10">
        <v>4085</v>
      </c>
      <c r="E972" s="10" t="s">
        <v>1324</v>
      </c>
      <c r="F972" s="11">
        <v>2225</v>
      </c>
      <c r="G972" s="11">
        <v>2456</v>
      </c>
      <c r="H972" s="11">
        <v>4681</v>
      </c>
      <c r="I972" s="11">
        <v>2489</v>
      </c>
    </row>
    <row r="973" spans="1:9" x14ac:dyDescent="0.2">
      <c r="A973" s="10">
        <v>6712</v>
      </c>
      <c r="B973" s="10">
        <v>40</v>
      </c>
      <c r="C973" s="10" t="s">
        <v>1271</v>
      </c>
      <c r="D973" s="10">
        <v>4086</v>
      </c>
      <c r="E973" s="10" t="s">
        <v>1325</v>
      </c>
      <c r="F973" s="11">
        <v>1609</v>
      </c>
      <c r="G973" s="11">
        <v>1660</v>
      </c>
      <c r="H973" s="11">
        <v>3269</v>
      </c>
      <c r="I973" s="11">
        <v>1603</v>
      </c>
    </row>
    <row r="974" spans="1:9" x14ac:dyDescent="0.2">
      <c r="A974" s="10">
        <v>6712</v>
      </c>
      <c r="B974" s="10">
        <v>40</v>
      </c>
      <c r="C974" s="10" t="s">
        <v>1271</v>
      </c>
      <c r="D974" s="10">
        <v>4087</v>
      </c>
      <c r="E974" s="10" t="s">
        <v>1326</v>
      </c>
      <c r="F974" s="11">
        <v>2133</v>
      </c>
      <c r="G974" s="11">
        <v>2362</v>
      </c>
      <c r="H974" s="11">
        <v>4495</v>
      </c>
      <c r="I974" s="11">
        <v>1571</v>
      </c>
    </row>
    <row r="975" spans="1:9" x14ac:dyDescent="0.2">
      <c r="A975" s="10">
        <v>6712</v>
      </c>
      <c r="B975" s="10">
        <v>40</v>
      </c>
      <c r="C975" s="10" t="s">
        <v>1271</v>
      </c>
      <c r="D975" s="10">
        <v>4088</v>
      </c>
      <c r="E975" s="10" t="s">
        <v>1327</v>
      </c>
      <c r="F975" s="11">
        <v>2059</v>
      </c>
      <c r="G975" s="11">
        <v>2274</v>
      </c>
      <c r="H975" s="11">
        <v>4333</v>
      </c>
      <c r="I975" s="11">
        <v>1370</v>
      </c>
    </row>
    <row r="976" spans="1:9" x14ac:dyDescent="0.2">
      <c r="A976" s="10">
        <v>6712</v>
      </c>
      <c r="B976" s="10">
        <v>40</v>
      </c>
      <c r="C976" s="10" t="s">
        <v>1271</v>
      </c>
      <c r="D976" s="10">
        <v>4089</v>
      </c>
      <c r="E976" s="10" t="s">
        <v>1328</v>
      </c>
      <c r="F976" s="11">
        <v>2090</v>
      </c>
      <c r="G976" s="11">
        <v>2057</v>
      </c>
      <c r="H976" s="11">
        <v>4147</v>
      </c>
      <c r="I976" s="11">
        <v>2287</v>
      </c>
    </row>
    <row r="977" spans="1:9" x14ac:dyDescent="0.2">
      <c r="A977" s="10">
        <v>6712</v>
      </c>
      <c r="B977" s="10">
        <v>40</v>
      </c>
      <c r="C977" s="10" t="s">
        <v>1271</v>
      </c>
      <c r="D977" s="10">
        <v>4090</v>
      </c>
      <c r="E977" s="10" t="s">
        <v>1329</v>
      </c>
      <c r="F977" s="10">
        <v>680</v>
      </c>
      <c r="G977" s="10">
        <v>675</v>
      </c>
      <c r="H977" s="11">
        <v>1355</v>
      </c>
      <c r="I977" s="10">
        <v>723</v>
      </c>
    </row>
    <row r="978" spans="1:9" x14ac:dyDescent="0.2">
      <c r="A978" s="10">
        <v>6712</v>
      </c>
      <c r="B978" s="10">
        <v>40</v>
      </c>
      <c r="C978" s="10" t="s">
        <v>1271</v>
      </c>
      <c r="D978" s="10">
        <v>4091</v>
      </c>
      <c r="E978" s="10" t="s">
        <v>1330</v>
      </c>
      <c r="F978" s="11">
        <v>1622</v>
      </c>
      <c r="G978" s="11">
        <v>1720</v>
      </c>
      <c r="H978" s="11">
        <v>3342</v>
      </c>
      <c r="I978" s="11">
        <v>1959</v>
      </c>
    </row>
    <row r="979" spans="1:9" x14ac:dyDescent="0.2">
      <c r="A979" s="10">
        <v>6712</v>
      </c>
      <c r="B979" s="10">
        <v>40</v>
      </c>
      <c r="C979" s="10" t="s">
        <v>1271</v>
      </c>
      <c r="D979" s="10">
        <v>4092</v>
      </c>
      <c r="E979" s="10" t="s">
        <v>1331</v>
      </c>
      <c r="F979" s="11">
        <v>1549</v>
      </c>
      <c r="G979" s="11">
        <v>1739</v>
      </c>
      <c r="H979" s="11">
        <v>3288</v>
      </c>
      <c r="I979" s="11">
        <v>1574</v>
      </c>
    </row>
    <row r="980" spans="1:9" x14ac:dyDescent="0.2">
      <c r="A980" s="10">
        <v>6712</v>
      </c>
      <c r="B980" s="10">
        <v>40</v>
      </c>
      <c r="C980" s="10" t="s">
        <v>1271</v>
      </c>
      <c r="D980" s="10">
        <v>4093</v>
      </c>
      <c r="E980" s="10" t="s">
        <v>1332</v>
      </c>
      <c r="F980" s="11">
        <v>3075</v>
      </c>
      <c r="G980" s="11">
        <v>3311</v>
      </c>
      <c r="H980" s="11">
        <v>6386</v>
      </c>
      <c r="I980" s="11">
        <v>2142</v>
      </c>
    </row>
    <row r="981" spans="1:9" x14ac:dyDescent="0.2">
      <c r="A981" s="10">
        <v>6712</v>
      </c>
      <c r="B981" s="10">
        <v>40</v>
      </c>
      <c r="C981" s="10" t="s">
        <v>1271</v>
      </c>
      <c r="D981" s="10">
        <v>4094</v>
      </c>
      <c r="E981" s="10" t="s">
        <v>1333</v>
      </c>
      <c r="F981" s="11">
        <v>2170</v>
      </c>
      <c r="G981" s="11">
        <v>2333</v>
      </c>
      <c r="H981" s="11">
        <v>4503</v>
      </c>
      <c r="I981" s="11">
        <v>1970</v>
      </c>
    </row>
    <row r="982" spans="1:9" x14ac:dyDescent="0.2">
      <c r="A982" s="10">
        <v>6712</v>
      </c>
      <c r="B982" s="10">
        <v>40</v>
      </c>
      <c r="C982" s="10" t="s">
        <v>1271</v>
      </c>
      <c r="D982" s="10">
        <v>4095</v>
      </c>
      <c r="E982" s="10" t="s">
        <v>1334</v>
      </c>
      <c r="F982" s="11">
        <v>4062</v>
      </c>
      <c r="G982" s="11">
        <v>4478</v>
      </c>
      <c r="H982" s="11">
        <v>8540</v>
      </c>
      <c r="I982" s="11">
        <v>4257</v>
      </c>
    </row>
    <row r="983" spans="1:9" x14ac:dyDescent="0.2">
      <c r="A983" s="10">
        <v>6712</v>
      </c>
      <c r="B983" s="10">
        <v>40</v>
      </c>
      <c r="C983" s="10" t="s">
        <v>1271</v>
      </c>
      <c r="D983" s="10">
        <v>4096</v>
      </c>
      <c r="E983" s="10" t="s">
        <v>1335</v>
      </c>
      <c r="F983" s="11">
        <v>14642</v>
      </c>
      <c r="G983" s="11">
        <v>15810</v>
      </c>
      <c r="H983" s="11">
        <v>30452</v>
      </c>
      <c r="I983" s="11">
        <v>16479</v>
      </c>
    </row>
    <row r="984" spans="1:9" x14ac:dyDescent="0.2">
      <c r="A984" s="10">
        <v>6712</v>
      </c>
      <c r="B984" s="10">
        <v>40</v>
      </c>
      <c r="C984" s="10" t="s">
        <v>1271</v>
      </c>
      <c r="D984" s="10">
        <v>4097</v>
      </c>
      <c r="E984" s="10" t="s">
        <v>1336</v>
      </c>
      <c r="F984" s="11">
        <v>12454</v>
      </c>
      <c r="G984" s="11">
        <v>13734</v>
      </c>
      <c r="H984" s="11">
        <v>26188</v>
      </c>
      <c r="I984" s="11">
        <v>13198</v>
      </c>
    </row>
    <row r="985" spans="1:9" x14ac:dyDescent="0.2">
      <c r="A985" s="10">
        <v>6712</v>
      </c>
      <c r="B985" s="10">
        <v>40</v>
      </c>
      <c r="C985" s="10" t="s">
        <v>1271</v>
      </c>
      <c r="D985" s="10">
        <v>4098</v>
      </c>
      <c r="E985" s="10" t="s">
        <v>1337</v>
      </c>
      <c r="F985" s="11">
        <v>4689</v>
      </c>
      <c r="G985" s="11">
        <v>5210</v>
      </c>
      <c r="H985" s="11">
        <v>9899</v>
      </c>
      <c r="I985" s="11">
        <v>5505</v>
      </c>
    </row>
    <row r="986" spans="1:9" x14ac:dyDescent="0.2">
      <c r="A986" s="10">
        <v>6712</v>
      </c>
      <c r="B986" s="10">
        <v>40</v>
      </c>
      <c r="C986" s="10" t="s">
        <v>1271</v>
      </c>
      <c r="D986" s="10">
        <v>4099</v>
      </c>
      <c r="E986" s="10" t="s">
        <v>1338</v>
      </c>
      <c r="F986" s="11">
        <v>47673</v>
      </c>
      <c r="G986" s="11">
        <v>52244</v>
      </c>
      <c r="H986" s="11">
        <v>99917</v>
      </c>
      <c r="I986" s="11">
        <v>69560</v>
      </c>
    </row>
    <row r="987" spans="1:9" x14ac:dyDescent="0.2">
      <c r="A987" s="10">
        <v>6712</v>
      </c>
      <c r="B987" s="10">
        <v>41</v>
      </c>
      <c r="C987" s="10" t="s">
        <v>1339</v>
      </c>
      <c r="D987" s="10">
        <v>4101</v>
      </c>
      <c r="E987" s="10" t="s">
        <v>1340</v>
      </c>
      <c r="F987" s="11">
        <v>90893</v>
      </c>
      <c r="G987" s="11">
        <v>96008</v>
      </c>
      <c r="H987" s="11">
        <v>186901</v>
      </c>
      <c r="I987" s="11">
        <v>78300</v>
      </c>
    </row>
    <row r="988" spans="1:9" x14ac:dyDescent="0.2">
      <c r="A988" s="10">
        <v>6712</v>
      </c>
      <c r="B988" s="10">
        <v>41</v>
      </c>
      <c r="C988" s="10" t="s">
        <v>1339</v>
      </c>
      <c r="D988" s="10">
        <v>4102</v>
      </c>
      <c r="E988" s="10" t="s">
        <v>1341</v>
      </c>
      <c r="F988" s="11">
        <v>21646</v>
      </c>
      <c r="G988" s="11">
        <v>21642</v>
      </c>
      <c r="H988" s="11">
        <v>43288</v>
      </c>
      <c r="I988" s="11">
        <v>13871</v>
      </c>
    </row>
    <row r="989" spans="1:9" x14ac:dyDescent="0.2">
      <c r="A989" s="10">
        <v>6712</v>
      </c>
      <c r="B989" s="10">
        <v>41</v>
      </c>
      <c r="C989" s="10" t="s">
        <v>1339</v>
      </c>
      <c r="D989" s="10">
        <v>4103</v>
      </c>
      <c r="E989" s="10" t="s">
        <v>1342</v>
      </c>
      <c r="F989" s="11">
        <v>22276</v>
      </c>
      <c r="G989" s="11">
        <v>22333</v>
      </c>
      <c r="H989" s="11">
        <v>44609</v>
      </c>
      <c r="I989" s="11">
        <v>12386</v>
      </c>
    </row>
    <row r="990" spans="1:9" x14ac:dyDescent="0.2">
      <c r="A990" s="10">
        <v>6712</v>
      </c>
      <c r="B990" s="10">
        <v>41</v>
      </c>
      <c r="C990" s="10" t="s">
        <v>1339</v>
      </c>
      <c r="D990" s="10">
        <v>4104</v>
      </c>
      <c r="E990" s="10" t="s">
        <v>1343</v>
      </c>
      <c r="F990" s="11">
        <v>36089</v>
      </c>
      <c r="G990" s="11">
        <v>36963</v>
      </c>
      <c r="H990" s="11">
        <v>73052</v>
      </c>
      <c r="I990" s="11">
        <v>22764</v>
      </c>
    </row>
    <row r="991" spans="1:9" x14ac:dyDescent="0.2">
      <c r="A991" s="10">
        <v>6712</v>
      </c>
      <c r="B991" s="10">
        <v>41</v>
      </c>
      <c r="C991" s="10" t="s">
        <v>1339</v>
      </c>
      <c r="D991" s="10">
        <v>4105</v>
      </c>
      <c r="E991" s="10" t="s">
        <v>1344</v>
      </c>
      <c r="F991" s="11">
        <v>22230</v>
      </c>
      <c r="G991" s="11">
        <v>22477</v>
      </c>
      <c r="H991" s="11">
        <v>44707</v>
      </c>
      <c r="I991" s="11">
        <v>12530</v>
      </c>
    </row>
    <row r="992" spans="1:9" x14ac:dyDescent="0.2">
      <c r="A992" s="10">
        <v>6712</v>
      </c>
      <c r="B992" s="10">
        <v>41</v>
      </c>
      <c r="C992" s="10" t="s">
        <v>1339</v>
      </c>
      <c r="D992" s="10">
        <v>4106</v>
      </c>
      <c r="E992" s="10" t="s">
        <v>1345</v>
      </c>
      <c r="F992" s="11">
        <v>43918</v>
      </c>
      <c r="G992" s="11">
        <v>44211</v>
      </c>
      <c r="H992" s="11">
        <v>88129</v>
      </c>
      <c r="I992" s="11">
        <v>29081</v>
      </c>
    </row>
    <row r="993" spans="1:9" x14ac:dyDescent="0.2">
      <c r="A993" s="10">
        <v>6712</v>
      </c>
      <c r="B993" s="10">
        <v>41</v>
      </c>
      <c r="C993" s="10" t="s">
        <v>1339</v>
      </c>
      <c r="D993" s="10">
        <v>4107</v>
      </c>
      <c r="E993" s="10" t="s">
        <v>1346</v>
      </c>
      <c r="F993" s="11">
        <v>12500</v>
      </c>
      <c r="G993" s="11">
        <v>12383</v>
      </c>
      <c r="H993" s="11">
        <v>24883</v>
      </c>
      <c r="I993" s="11">
        <v>7636</v>
      </c>
    </row>
    <row r="994" spans="1:9" x14ac:dyDescent="0.2">
      <c r="A994" s="10">
        <v>6712</v>
      </c>
      <c r="B994" s="10">
        <v>41</v>
      </c>
      <c r="C994" s="10" t="s">
        <v>1339</v>
      </c>
      <c r="D994" s="10">
        <v>4108</v>
      </c>
      <c r="E994" s="10" t="s">
        <v>1347</v>
      </c>
      <c r="F994" s="11">
        <v>11937</v>
      </c>
      <c r="G994" s="11">
        <v>11652</v>
      </c>
      <c r="H994" s="11">
        <v>23589</v>
      </c>
      <c r="I994" s="11">
        <v>6573</v>
      </c>
    </row>
    <row r="995" spans="1:9" x14ac:dyDescent="0.2">
      <c r="A995" s="10">
        <v>6712</v>
      </c>
      <c r="B995" s="10">
        <v>41</v>
      </c>
      <c r="C995" s="10" t="s">
        <v>1339</v>
      </c>
      <c r="D995" s="10">
        <v>4109</v>
      </c>
      <c r="E995" s="10" t="s">
        <v>1348</v>
      </c>
      <c r="F995" s="11">
        <v>11671</v>
      </c>
      <c r="G995" s="11">
        <v>11769</v>
      </c>
      <c r="H995" s="11">
        <v>23440</v>
      </c>
      <c r="I995" s="11">
        <v>6905</v>
      </c>
    </row>
    <row r="996" spans="1:9" x14ac:dyDescent="0.2">
      <c r="A996" s="10">
        <v>6712</v>
      </c>
      <c r="B996" s="10">
        <v>41</v>
      </c>
      <c r="C996" s="10" t="s">
        <v>1339</v>
      </c>
      <c r="D996" s="10">
        <v>4110</v>
      </c>
      <c r="E996" s="10" t="s">
        <v>1349</v>
      </c>
      <c r="F996" s="11">
        <v>15513</v>
      </c>
      <c r="G996" s="11">
        <v>15405</v>
      </c>
      <c r="H996" s="11">
        <v>30918</v>
      </c>
      <c r="I996" s="11">
        <v>9183</v>
      </c>
    </row>
    <row r="997" spans="1:9" x14ac:dyDescent="0.2">
      <c r="A997" s="10">
        <v>6712</v>
      </c>
      <c r="B997" s="10">
        <v>41</v>
      </c>
      <c r="C997" s="10" t="s">
        <v>1339</v>
      </c>
      <c r="D997" s="10">
        <v>4111</v>
      </c>
      <c r="E997" s="10" t="s">
        <v>1350</v>
      </c>
      <c r="F997" s="11">
        <v>55234</v>
      </c>
      <c r="G997" s="11">
        <v>55660</v>
      </c>
      <c r="H997" s="11">
        <v>110894</v>
      </c>
      <c r="I997" s="11">
        <v>33997</v>
      </c>
    </row>
    <row r="998" spans="1:9" x14ac:dyDescent="0.2">
      <c r="A998" s="10">
        <v>6712</v>
      </c>
      <c r="B998" s="10">
        <v>41</v>
      </c>
      <c r="C998" s="10" t="s">
        <v>1339</v>
      </c>
      <c r="D998" s="10">
        <v>4117</v>
      </c>
      <c r="E998" s="10" t="s">
        <v>1351</v>
      </c>
      <c r="F998" s="11">
        <v>50636</v>
      </c>
      <c r="G998" s="11">
        <v>50711</v>
      </c>
      <c r="H998" s="11">
        <v>101347</v>
      </c>
      <c r="I998" s="11">
        <v>32736</v>
      </c>
    </row>
    <row r="999" spans="1:9" x14ac:dyDescent="0.2">
      <c r="A999" s="10">
        <v>6712</v>
      </c>
      <c r="B999" s="10">
        <v>41</v>
      </c>
      <c r="C999" s="10" t="s">
        <v>1339</v>
      </c>
      <c r="D999" s="10">
        <v>4118</v>
      </c>
      <c r="E999" s="10" t="s">
        <v>1352</v>
      </c>
      <c r="F999" s="11">
        <v>20680</v>
      </c>
      <c r="G999" s="11">
        <v>20347</v>
      </c>
      <c r="H999" s="11">
        <v>41027</v>
      </c>
      <c r="I999" s="11">
        <v>14033</v>
      </c>
    </row>
    <row r="1000" spans="1:9" x14ac:dyDescent="0.2">
      <c r="A1000" s="10">
        <v>6712</v>
      </c>
      <c r="B1000" s="10">
        <v>41</v>
      </c>
      <c r="C1000" s="10" t="s">
        <v>1339</v>
      </c>
      <c r="D1000" s="10">
        <v>4119</v>
      </c>
      <c r="E1000" s="10" t="s">
        <v>1353</v>
      </c>
      <c r="F1000" s="11">
        <v>48140</v>
      </c>
      <c r="G1000" s="11">
        <v>48216</v>
      </c>
      <c r="H1000" s="11">
        <v>96356</v>
      </c>
      <c r="I1000" s="11">
        <v>31107</v>
      </c>
    </row>
    <row r="1001" spans="1:9" x14ac:dyDescent="0.2">
      <c r="A1001" s="10">
        <v>6712</v>
      </c>
      <c r="B1001" s="10">
        <v>41</v>
      </c>
      <c r="C1001" s="10" t="s">
        <v>1339</v>
      </c>
      <c r="D1001" s="10">
        <v>4120</v>
      </c>
      <c r="E1001" s="10" t="s">
        <v>1354</v>
      </c>
      <c r="F1001" s="11">
        <v>10935</v>
      </c>
      <c r="G1001" s="11">
        <v>10916</v>
      </c>
      <c r="H1001" s="11">
        <v>21851</v>
      </c>
      <c r="I1001" s="11">
        <v>7010</v>
      </c>
    </row>
    <row r="1002" spans="1:9" x14ac:dyDescent="0.2">
      <c r="A1002" s="10">
        <v>6712</v>
      </c>
      <c r="B1002" s="10">
        <v>41</v>
      </c>
      <c r="C1002" s="10" t="s">
        <v>1339</v>
      </c>
      <c r="D1002" s="10">
        <v>4121</v>
      </c>
      <c r="E1002" s="10" t="s">
        <v>1355</v>
      </c>
      <c r="F1002" s="11">
        <v>11471</v>
      </c>
      <c r="G1002" s="11">
        <v>11463</v>
      </c>
      <c r="H1002" s="11">
        <v>22934</v>
      </c>
      <c r="I1002" s="11">
        <v>7203</v>
      </c>
    </row>
    <row r="1003" spans="1:9" x14ac:dyDescent="0.2">
      <c r="A1003" s="10">
        <v>6712</v>
      </c>
      <c r="B1003" s="10">
        <v>41</v>
      </c>
      <c r="C1003" s="10" t="s">
        <v>1339</v>
      </c>
      <c r="D1003" s="10">
        <v>4122</v>
      </c>
      <c r="E1003" s="10" t="s">
        <v>1356</v>
      </c>
      <c r="F1003" s="11">
        <v>14344</v>
      </c>
      <c r="G1003" s="11">
        <v>14049</v>
      </c>
      <c r="H1003" s="11">
        <v>28393</v>
      </c>
      <c r="I1003" s="11">
        <v>10205</v>
      </c>
    </row>
    <row r="1004" spans="1:9" x14ac:dyDescent="0.2">
      <c r="A1004" s="10">
        <v>6712</v>
      </c>
      <c r="B1004" s="10">
        <v>41</v>
      </c>
      <c r="C1004" s="10" t="s">
        <v>1339</v>
      </c>
      <c r="D1004" s="10">
        <v>4123</v>
      </c>
      <c r="E1004" s="10" t="s">
        <v>1357</v>
      </c>
      <c r="F1004" s="11">
        <v>12155</v>
      </c>
      <c r="G1004" s="11">
        <v>12443</v>
      </c>
      <c r="H1004" s="11">
        <v>24598</v>
      </c>
      <c r="I1004" s="11">
        <v>8991</v>
      </c>
    </row>
    <row r="1005" spans="1:9" x14ac:dyDescent="0.2">
      <c r="A1005" s="10">
        <v>6712</v>
      </c>
      <c r="B1005" s="10">
        <v>41</v>
      </c>
      <c r="C1005" s="10" t="s">
        <v>1339</v>
      </c>
      <c r="D1005" s="10">
        <v>4124</v>
      </c>
      <c r="E1005" s="10" t="s">
        <v>1358</v>
      </c>
      <c r="F1005" s="11">
        <v>10963</v>
      </c>
      <c r="G1005" s="11">
        <v>10929</v>
      </c>
      <c r="H1005" s="11">
        <v>21892</v>
      </c>
      <c r="I1005" s="11">
        <v>7293</v>
      </c>
    </row>
    <row r="1006" spans="1:9" x14ac:dyDescent="0.2">
      <c r="A1006" s="10">
        <v>6712</v>
      </c>
      <c r="B1006" s="10">
        <v>41</v>
      </c>
      <c r="C1006" s="10" t="s">
        <v>1339</v>
      </c>
      <c r="D1006" s="10">
        <v>4125</v>
      </c>
      <c r="E1006" s="10" t="s">
        <v>1359</v>
      </c>
      <c r="F1006" s="11">
        <v>12596</v>
      </c>
      <c r="G1006" s="11">
        <v>12638</v>
      </c>
      <c r="H1006" s="11">
        <v>25234</v>
      </c>
      <c r="I1006" s="11">
        <v>7710</v>
      </c>
    </row>
    <row r="1007" spans="1:9" x14ac:dyDescent="0.2">
      <c r="A1007" s="10">
        <v>6712</v>
      </c>
      <c r="B1007" s="10">
        <v>41</v>
      </c>
      <c r="C1007" s="10" t="s">
        <v>1339</v>
      </c>
      <c r="D1007" s="10">
        <v>4158</v>
      </c>
      <c r="E1007" s="10" t="s">
        <v>1360</v>
      </c>
      <c r="F1007" s="11">
        <v>4097</v>
      </c>
      <c r="G1007" s="11">
        <v>4116</v>
      </c>
      <c r="H1007" s="11">
        <v>8213</v>
      </c>
      <c r="I1007" s="11">
        <v>2112</v>
      </c>
    </row>
    <row r="1008" spans="1:9" x14ac:dyDescent="0.2">
      <c r="A1008" s="10">
        <v>6712</v>
      </c>
      <c r="B1008" s="10">
        <v>41</v>
      </c>
      <c r="C1008" s="10" t="s">
        <v>1339</v>
      </c>
      <c r="D1008" s="10">
        <v>4159</v>
      </c>
      <c r="E1008" s="10" t="s">
        <v>1361</v>
      </c>
      <c r="F1008" s="11">
        <v>5663</v>
      </c>
      <c r="G1008" s="11">
        <v>5546</v>
      </c>
      <c r="H1008" s="11">
        <v>11209</v>
      </c>
      <c r="I1008" s="11">
        <v>3311</v>
      </c>
    </row>
    <row r="1009" spans="1:9" x14ac:dyDescent="0.2">
      <c r="A1009" s="10">
        <v>6712</v>
      </c>
      <c r="B1009" s="10">
        <v>41</v>
      </c>
      <c r="C1009" s="10" t="s">
        <v>1339</v>
      </c>
      <c r="D1009" s="10">
        <v>4160</v>
      </c>
      <c r="E1009" s="10" t="s">
        <v>1362</v>
      </c>
      <c r="F1009" s="11">
        <v>7894</v>
      </c>
      <c r="G1009" s="11">
        <v>7724</v>
      </c>
      <c r="H1009" s="11">
        <v>15618</v>
      </c>
      <c r="I1009" s="11">
        <v>4926</v>
      </c>
    </row>
    <row r="1010" spans="1:9" x14ac:dyDescent="0.2">
      <c r="A1010" s="10">
        <v>6712</v>
      </c>
      <c r="B1010" s="10">
        <v>41</v>
      </c>
      <c r="C1010" s="10" t="s">
        <v>1339</v>
      </c>
      <c r="D1010" s="10">
        <v>4161</v>
      </c>
      <c r="E1010" s="10" t="s">
        <v>1363</v>
      </c>
      <c r="F1010" s="11">
        <v>3757</v>
      </c>
      <c r="G1010" s="11">
        <v>3722</v>
      </c>
      <c r="H1010" s="11">
        <v>7479</v>
      </c>
      <c r="I1010" s="11">
        <v>2002</v>
      </c>
    </row>
    <row r="1011" spans="1:9" x14ac:dyDescent="0.2">
      <c r="A1011" s="10">
        <v>6712</v>
      </c>
      <c r="B1011" s="10">
        <v>41</v>
      </c>
      <c r="C1011" s="10" t="s">
        <v>1339</v>
      </c>
      <c r="D1011" s="10">
        <v>4162</v>
      </c>
      <c r="E1011" s="10" t="s">
        <v>1364</v>
      </c>
      <c r="F1011" s="11">
        <v>4074</v>
      </c>
      <c r="G1011" s="11">
        <v>4018</v>
      </c>
      <c r="H1011" s="11">
        <v>8092</v>
      </c>
      <c r="I1011" s="11">
        <v>2235</v>
      </c>
    </row>
    <row r="1012" spans="1:9" x14ac:dyDescent="0.2">
      <c r="A1012" s="10">
        <v>6712</v>
      </c>
      <c r="B1012" s="10">
        <v>41</v>
      </c>
      <c r="C1012" s="10" t="s">
        <v>1339</v>
      </c>
      <c r="D1012" s="10">
        <v>4163</v>
      </c>
      <c r="E1012" s="10" t="s">
        <v>1365</v>
      </c>
      <c r="F1012" s="11">
        <v>3514</v>
      </c>
      <c r="G1012" s="11">
        <v>3673</v>
      </c>
      <c r="H1012" s="11">
        <v>7187</v>
      </c>
      <c r="I1012" s="11">
        <v>2842</v>
      </c>
    </row>
    <row r="1013" spans="1:9" x14ac:dyDescent="0.2">
      <c r="A1013" s="10">
        <v>6712</v>
      </c>
      <c r="B1013" s="10">
        <v>41</v>
      </c>
      <c r="C1013" s="10" t="s">
        <v>1339</v>
      </c>
      <c r="D1013" s="10">
        <v>4164</v>
      </c>
      <c r="E1013" s="10" t="s">
        <v>1366</v>
      </c>
      <c r="F1013" s="11">
        <v>8201</v>
      </c>
      <c r="G1013" s="11">
        <v>8566</v>
      </c>
      <c r="H1013" s="11">
        <v>16767</v>
      </c>
      <c r="I1013" s="11">
        <v>5405</v>
      </c>
    </row>
    <row r="1014" spans="1:9" x14ac:dyDescent="0.2">
      <c r="A1014" s="10">
        <v>6712</v>
      </c>
      <c r="B1014" s="10">
        <v>41</v>
      </c>
      <c r="C1014" s="10" t="s">
        <v>1339</v>
      </c>
      <c r="D1014" s="10">
        <v>4165</v>
      </c>
      <c r="E1014" s="10" t="s">
        <v>1367</v>
      </c>
      <c r="F1014" s="11">
        <v>5157</v>
      </c>
      <c r="G1014" s="11">
        <v>5290</v>
      </c>
      <c r="H1014" s="11">
        <v>10447</v>
      </c>
      <c r="I1014" s="11">
        <v>3361</v>
      </c>
    </row>
    <row r="1015" spans="1:9" x14ac:dyDescent="0.2">
      <c r="A1015" s="10">
        <v>6712</v>
      </c>
      <c r="B1015" s="10">
        <v>41</v>
      </c>
      <c r="C1015" s="10" t="s">
        <v>1339</v>
      </c>
      <c r="D1015" s="10">
        <v>4166</v>
      </c>
      <c r="E1015" s="10" t="s">
        <v>1368</v>
      </c>
      <c r="F1015" s="11">
        <v>2798</v>
      </c>
      <c r="G1015" s="11">
        <v>2814</v>
      </c>
      <c r="H1015" s="11">
        <v>5612</v>
      </c>
      <c r="I1015" s="11">
        <v>2173</v>
      </c>
    </row>
    <row r="1016" spans="1:9" x14ac:dyDescent="0.2">
      <c r="A1016" s="10">
        <v>6712</v>
      </c>
      <c r="B1016" s="10">
        <v>41</v>
      </c>
      <c r="C1016" s="10" t="s">
        <v>1339</v>
      </c>
      <c r="D1016" s="10">
        <v>4167</v>
      </c>
      <c r="E1016" s="10" t="s">
        <v>1369</v>
      </c>
      <c r="F1016" s="11">
        <v>4602</v>
      </c>
      <c r="G1016" s="11">
        <v>4785</v>
      </c>
      <c r="H1016" s="11">
        <v>9387</v>
      </c>
      <c r="I1016" s="11">
        <v>2879</v>
      </c>
    </row>
    <row r="1017" spans="1:9" x14ac:dyDescent="0.2">
      <c r="A1017" s="10">
        <v>6712</v>
      </c>
      <c r="B1017" s="10">
        <v>41</v>
      </c>
      <c r="C1017" s="10" t="s">
        <v>1339</v>
      </c>
      <c r="D1017" s="10">
        <v>4168</v>
      </c>
      <c r="E1017" s="10" t="s">
        <v>1369</v>
      </c>
      <c r="F1017" s="11">
        <v>4034</v>
      </c>
      <c r="G1017" s="11">
        <v>4812</v>
      </c>
      <c r="H1017" s="11">
        <v>8846</v>
      </c>
      <c r="I1017" s="11">
        <v>2909</v>
      </c>
    </row>
    <row r="1018" spans="1:9" x14ac:dyDescent="0.2">
      <c r="A1018" s="10">
        <v>6712</v>
      </c>
      <c r="B1018" s="10">
        <v>41</v>
      </c>
      <c r="C1018" s="10" t="s">
        <v>1339</v>
      </c>
      <c r="D1018" s="10">
        <v>4169</v>
      </c>
      <c r="E1018" s="10" t="s">
        <v>1370</v>
      </c>
      <c r="F1018" s="11">
        <v>5431</v>
      </c>
      <c r="G1018" s="11">
        <v>5583</v>
      </c>
      <c r="H1018" s="11">
        <v>11014</v>
      </c>
      <c r="I1018" s="11">
        <v>3558</v>
      </c>
    </row>
    <row r="1019" spans="1:9" x14ac:dyDescent="0.2">
      <c r="A1019" s="10">
        <v>6712</v>
      </c>
      <c r="B1019" s="10">
        <v>41</v>
      </c>
      <c r="C1019" s="10" t="s">
        <v>1339</v>
      </c>
      <c r="D1019" s="10">
        <v>4170</v>
      </c>
      <c r="E1019" s="10" t="s">
        <v>1371</v>
      </c>
      <c r="F1019" s="11">
        <v>1973</v>
      </c>
      <c r="G1019" s="11">
        <v>1981</v>
      </c>
      <c r="H1019" s="11">
        <v>3954</v>
      </c>
      <c r="I1019" s="11">
        <v>1007</v>
      </c>
    </row>
    <row r="1020" spans="1:9" x14ac:dyDescent="0.2">
      <c r="A1020" s="10">
        <v>6712</v>
      </c>
      <c r="B1020" s="10">
        <v>41</v>
      </c>
      <c r="C1020" s="10" t="s">
        <v>1339</v>
      </c>
      <c r="D1020" s="10">
        <v>4171</v>
      </c>
      <c r="E1020" s="10" t="s">
        <v>1372</v>
      </c>
      <c r="F1020" s="11">
        <v>1292</v>
      </c>
      <c r="G1020" s="11">
        <v>1340</v>
      </c>
      <c r="H1020" s="11">
        <v>2632</v>
      </c>
      <c r="I1020" s="11">
        <v>1674</v>
      </c>
    </row>
    <row r="1021" spans="1:9" x14ac:dyDescent="0.2">
      <c r="A1021" s="10">
        <v>6712</v>
      </c>
      <c r="B1021" s="10">
        <v>41</v>
      </c>
      <c r="C1021" s="10" t="s">
        <v>1339</v>
      </c>
      <c r="D1021" s="10">
        <v>4172</v>
      </c>
      <c r="E1021" s="10" t="s">
        <v>1373</v>
      </c>
      <c r="F1021" s="11">
        <v>4198</v>
      </c>
      <c r="G1021" s="11">
        <v>4406</v>
      </c>
      <c r="H1021" s="11">
        <v>8604</v>
      </c>
      <c r="I1021" s="11">
        <v>2673</v>
      </c>
    </row>
    <row r="1022" spans="1:9" x14ac:dyDescent="0.2">
      <c r="A1022" s="10">
        <v>6712</v>
      </c>
      <c r="B1022" s="10">
        <v>41</v>
      </c>
      <c r="C1022" s="10" t="s">
        <v>1339</v>
      </c>
      <c r="D1022" s="10">
        <v>4173</v>
      </c>
      <c r="E1022" s="10" t="s">
        <v>1374</v>
      </c>
      <c r="F1022" s="11">
        <v>4338</v>
      </c>
      <c r="G1022" s="11">
        <v>4415</v>
      </c>
      <c r="H1022" s="11">
        <v>8753</v>
      </c>
      <c r="I1022" s="11">
        <v>3569</v>
      </c>
    </row>
    <row r="1023" spans="1:9" x14ac:dyDescent="0.2">
      <c r="A1023" s="10">
        <v>6712</v>
      </c>
      <c r="B1023" s="10">
        <v>41</v>
      </c>
      <c r="C1023" s="10" t="s">
        <v>1339</v>
      </c>
      <c r="D1023" s="10">
        <v>4174</v>
      </c>
      <c r="E1023" s="10" t="s">
        <v>1375</v>
      </c>
      <c r="F1023" s="11">
        <v>3615</v>
      </c>
      <c r="G1023" s="11">
        <v>3910</v>
      </c>
      <c r="H1023" s="11">
        <v>7525</v>
      </c>
      <c r="I1023" s="11">
        <v>4343</v>
      </c>
    </row>
    <row r="1024" spans="1:9" x14ac:dyDescent="0.2">
      <c r="A1024" s="10">
        <v>6712</v>
      </c>
      <c r="B1024" s="10">
        <v>41</v>
      </c>
      <c r="C1024" s="10" t="s">
        <v>1339</v>
      </c>
      <c r="D1024" s="10">
        <v>4175</v>
      </c>
      <c r="E1024" s="10" t="s">
        <v>1376</v>
      </c>
      <c r="F1024" s="11">
        <v>7114</v>
      </c>
      <c r="G1024" s="11">
        <v>7678</v>
      </c>
      <c r="H1024" s="11">
        <v>14792</v>
      </c>
      <c r="I1024" s="11">
        <v>6671</v>
      </c>
    </row>
    <row r="1025" spans="1:9" x14ac:dyDescent="0.2">
      <c r="A1025" s="10">
        <v>6712</v>
      </c>
      <c r="B1025" s="10">
        <v>41</v>
      </c>
      <c r="C1025" s="10" t="s">
        <v>1339</v>
      </c>
      <c r="D1025" s="10">
        <v>4176</v>
      </c>
      <c r="E1025" s="10" t="s">
        <v>1377</v>
      </c>
      <c r="F1025" s="11">
        <v>2814</v>
      </c>
      <c r="G1025" s="11">
        <v>2993</v>
      </c>
      <c r="H1025" s="11">
        <v>5807</v>
      </c>
      <c r="I1025" s="11">
        <v>2958</v>
      </c>
    </row>
    <row r="1026" spans="1:9" x14ac:dyDescent="0.2">
      <c r="A1026" s="10">
        <v>6712</v>
      </c>
      <c r="B1026" s="10">
        <v>41</v>
      </c>
      <c r="C1026" s="10" t="s">
        <v>1339</v>
      </c>
      <c r="D1026" s="10">
        <v>4177</v>
      </c>
      <c r="E1026" s="10" t="s">
        <v>1378</v>
      </c>
      <c r="F1026" s="11">
        <v>2624</v>
      </c>
      <c r="G1026" s="11">
        <v>2711</v>
      </c>
      <c r="H1026" s="11">
        <v>5335</v>
      </c>
      <c r="I1026" s="11">
        <v>1970</v>
      </c>
    </row>
    <row r="1027" spans="1:9" x14ac:dyDescent="0.2">
      <c r="A1027" s="10">
        <v>6712</v>
      </c>
      <c r="B1027" s="10">
        <v>41</v>
      </c>
      <c r="C1027" s="10" t="s">
        <v>1339</v>
      </c>
      <c r="D1027" s="10">
        <v>4178</v>
      </c>
      <c r="E1027" s="10" t="s">
        <v>1379</v>
      </c>
      <c r="F1027" s="11">
        <v>3913</v>
      </c>
      <c r="G1027" s="11">
        <v>4146</v>
      </c>
      <c r="H1027" s="11">
        <v>8059</v>
      </c>
      <c r="I1027" s="11">
        <v>2575</v>
      </c>
    </row>
    <row r="1028" spans="1:9" x14ac:dyDescent="0.2">
      <c r="A1028" s="10">
        <v>6712</v>
      </c>
      <c r="B1028" s="10">
        <v>41</v>
      </c>
      <c r="C1028" s="10" t="s">
        <v>1339</v>
      </c>
      <c r="D1028" s="10">
        <v>4179</v>
      </c>
      <c r="E1028" s="10" t="s">
        <v>1380</v>
      </c>
      <c r="F1028" s="11">
        <v>3332</v>
      </c>
      <c r="G1028" s="11">
        <v>3628</v>
      </c>
      <c r="H1028" s="11">
        <v>6960</v>
      </c>
      <c r="I1028" s="11">
        <v>2308</v>
      </c>
    </row>
    <row r="1029" spans="1:9" x14ac:dyDescent="0.2">
      <c r="A1029" s="10">
        <v>6712</v>
      </c>
      <c r="B1029" s="10">
        <v>41</v>
      </c>
      <c r="C1029" s="10" t="s">
        <v>1339</v>
      </c>
      <c r="D1029" s="10">
        <v>4180</v>
      </c>
      <c r="E1029" s="10" t="s">
        <v>1381</v>
      </c>
      <c r="F1029" s="11">
        <v>1888</v>
      </c>
      <c r="G1029" s="11">
        <v>2108</v>
      </c>
      <c r="H1029" s="11">
        <v>3996</v>
      </c>
      <c r="I1029" s="11">
        <v>1926</v>
      </c>
    </row>
    <row r="1030" spans="1:9" x14ac:dyDescent="0.2">
      <c r="A1030" s="10">
        <v>6712</v>
      </c>
      <c r="B1030" s="10">
        <v>41</v>
      </c>
      <c r="C1030" s="10" t="s">
        <v>1339</v>
      </c>
      <c r="D1030" s="10">
        <v>4181</v>
      </c>
      <c r="E1030" s="10" t="s">
        <v>1382</v>
      </c>
      <c r="F1030" s="11">
        <v>4010</v>
      </c>
      <c r="G1030" s="11">
        <v>4020</v>
      </c>
      <c r="H1030" s="11">
        <v>8030</v>
      </c>
      <c r="I1030" s="11">
        <v>2371</v>
      </c>
    </row>
    <row r="1031" spans="1:9" x14ac:dyDescent="0.2">
      <c r="A1031" s="10">
        <v>6712</v>
      </c>
      <c r="B1031" s="10">
        <v>41</v>
      </c>
      <c r="C1031" s="10" t="s">
        <v>1339</v>
      </c>
      <c r="D1031" s="10">
        <v>4182</v>
      </c>
      <c r="E1031" s="10" t="s">
        <v>1383</v>
      </c>
      <c r="F1031" s="11">
        <v>2779</v>
      </c>
      <c r="G1031" s="11">
        <v>2823</v>
      </c>
      <c r="H1031" s="11">
        <v>5602</v>
      </c>
      <c r="I1031" s="11">
        <v>2047</v>
      </c>
    </row>
    <row r="1032" spans="1:9" x14ac:dyDescent="0.2">
      <c r="A1032" s="10">
        <v>6712</v>
      </c>
      <c r="B1032" s="10">
        <v>41</v>
      </c>
      <c r="C1032" s="10" t="s">
        <v>1339</v>
      </c>
      <c r="D1032" s="10">
        <v>4183</v>
      </c>
      <c r="E1032" s="10" t="s">
        <v>1384</v>
      </c>
      <c r="F1032" s="11">
        <v>2065</v>
      </c>
      <c r="G1032" s="11">
        <v>2198</v>
      </c>
      <c r="H1032" s="11">
        <v>4263</v>
      </c>
      <c r="I1032" s="11">
        <v>1801</v>
      </c>
    </row>
    <row r="1033" spans="1:9" x14ac:dyDescent="0.2">
      <c r="A1033" s="10">
        <v>6712</v>
      </c>
      <c r="B1033" s="10">
        <v>41</v>
      </c>
      <c r="C1033" s="10" t="s">
        <v>1339</v>
      </c>
      <c r="D1033" s="10">
        <v>4184</v>
      </c>
      <c r="E1033" s="10" t="s">
        <v>1385</v>
      </c>
      <c r="F1033" s="11">
        <v>2468</v>
      </c>
      <c r="G1033" s="11">
        <v>2578</v>
      </c>
      <c r="H1033" s="11">
        <v>5046</v>
      </c>
      <c r="I1033" s="11">
        <v>1760</v>
      </c>
    </row>
    <row r="1034" spans="1:9" x14ac:dyDescent="0.2">
      <c r="A1034" s="10">
        <v>6712</v>
      </c>
      <c r="B1034" s="10">
        <v>41</v>
      </c>
      <c r="C1034" s="10" t="s">
        <v>1339</v>
      </c>
      <c r="D1034" s="10">
        <v>4185</v>
      </c>
      <c r="E1034" s="10" t="s">
        <v>1386</v>
      </c>
      <c r="F1034" s="11">
        <v>2517</v>
      </c>
      <c r="G1034" s="11">
        <v>2787</v>
      </c>
      <c r="H1034" s="11">
        <v>5304</v>
      </c>
      <c r="I1034" s="11">
        <v>2752</v>
      </c>
    </row>
    <row r="1035" spans="1:9" x14ac:dyDescent="0.2">
      <c r="A1035" s="10">
        <v>6712</v>
      </c>
      <c r="B1035" s="10">
        <v>41</v>
      </c>
      <c r="C1035" s="10" t="s">
        <v>1339</v>
      </c>
      <c r="D1035" s="10">
        <v>4186</v>
      </c>
      <c r="E1035" s="10" t="s">
        <v>1387</v>
      </c>
      <c r="F1035" s="11">
        <v>3703</v>
      </c>
      <c r="G1035" s="11">
        <v>4026</v>
      </c>
      <c r="H1035" s="11">
        <v>7729</v>
      </c>
      <c r="I1035" s="11">
        <v>4609</v>
      </c>
    </row>
    <row r="1036" spans="1:9" x14ac:dyDescent="0.2">
      <c r="A1036" s="10">
        <v>6712</v>
      </c>
      <c r="B1036" s="10">
        <v>41</v>
      </c>
      <c r="C1036" s="10" t="s">
        <v>1339</v>
      </c>
      <c r="D1036" s="10">
        <v>4187</v>
      </c>
      <c r="E1036" s="10" t="s">
        <v>1388</v>
      </c>
      <c r="F1036" s="11">
        <v>3713</v>
      </c>
      <c r="G1036" s="11">
        <v>3942</v>
      </c>
      <c r="H1036" s="11">
        <v>7655</v>
      </c>
      <c r="I1036" s="11">
        <v>2421</v>
      </c>
    </row>
    <row r="1037" spans="1:9" x14ac:dyDescent="0.2">
      <c r="A1037" s="10">
        <v>6712</v>
      </c>
      <c r="B1037" s="10">
        <v>41</v>
      </c>
      <c r="C1037" s="10" t="s">
        <v>1339</v>
      </c>
      <c r="D1037" s="10">
        <v>4188</v>
      </c>
      <c r="E1037" s="10" t="s">
        <v>1389</v>
      </c>
      <c r="F1037" s="11">
        <v>4569</v>
      </c>
      <c r="G1037" s="11">
        <v>4803</v>
      </c>
      <c r="H1037" s="11">
        <v>9372</v>
      </c>
      <c r="I1037" s="11">
        <v>3045</v>
      </c>
    </row>
    <row r="1038" spans="1:9" x14ac:dyDescent="0.2">
      <c r="A1038" s="10">
        <v>6712</v>
      </c>
      <c r="B1038" s="10">
        <v>41</v>
      </c>
      <c r="C1038" s="10" t="s">
        <v>1339</v>
      </c>
      <c r="D1038" s="10">
        <v>4189</v>
      </c>
      <c r="E1038" s="10" t="s">
        <v>1390</v>
      </c>
      <c r="F1038" s="11">
        <v>1918</v>
      </c>
      <c r="G1038" s="11">
        <v>1944</v>
      </c>
      <c r="H1038" s="11">
        <v>3862</v>
      </c>
      <c r="I1038" s="11">
        <v>1121</v>
      </c>
    </row>
    <row r="1039" spans="1:9" x14ac:dyDescent="0.2">
      <c r="A1039" s="10">
        <v>6712</v>
      </c>
      <c r="B1039" s="10">
        <v>41</v>
      </c>
      <c r="C1039" s="10" t="s">
        <v>1339</v>
      </c>
      <c r="D1039" s="10">
        <v>4190</v>
      </c>
      <c r="E1039" s="10" t="s">
        <v>1391</v>
      </c>
      <c r="F1039" s="11">
        <v>1819</v>
      </c>
      <c r="G1039" s="11">
        <v>1843</v>
      </c>
      <c r="H1039" s="11">
        <v>3662</v>
      </c>
      <c r="I1039" s="10">
        <v>917</v>
      </c>
    </row>
    <row r="1040" spans="1:9" x14ac:dyDescent="0.2">
      <c r="A1040" s="10">
        <v>6712</v>
      </c>
      <c r="B1040" s="10">
        <v>41</v>
      </c>
      <c r="C1040" s="10" t="s">
        <v>1339</v>
      </c>
      <c r="D1040" s="10">
        <v>4191</v>
      </c>
      <c r="E1040" s="10" t="s">
        <v>1392</v>
      </c>
      <c r="F1040" s="11">
        <v>1968</v>
      </c>
      <c r="G1040" s="11">
        <v>2013</v>
      </c>
      <c r="H1040" s="11">
        <v>3981</v>
      </c>
      <c r="I1040" s="11">
        <v>1235</v>
      </c>
    </row>
    <row r="1041" spans="1:9" x14ac:dyDescent="0.2">
      <c r="A1041" s="10">
        <v>6712</v>
      </c>
      <c r="B1041" s="10">
        <v>41</v>
      </c>
      <c r="C1041" s="10" t="s">
        <v>1339</v>
      </c>
      <c r="D1041" s="10">
        <v>4192</v>
      </c>
      <c r="E1041" s="10" t="s">
        <v>1393</v>
      </c>
      <c r="F1041" s="11">
        <v>4797</v>
      </c>
      <c r="G1041" s="11">
        <v>5135</v>
      </c>
      <c r="H1041" s="11">
        <v>9932</v>
      </c>
      <c r="I1041" s="11">
        <v>4132</v>
      </c>
    </row>
    <row r="1042" spans="1:9" x14ac:dyDescent="0.2">
      <c r="A1042" s="10">
        <v>6712</v>
      </c>
      <c r="B1042" s="10">
        <v>41</v>
      </c>
      <c r="C1042" s="10" t="s">
        <v>1339</v>
      </c>
      <c r="D1042" s="10">
        <v>4193</v>
      </c>
      <c r="E1042" s="10" t="s">
        <v>754</v>
      </c>
      <c r="F1042" s="11">
        <v>15766</v>
      </c>
      <c r="G1042" s="11">
        <v>17646</v>
      </c>
      <c r="H1042" s="11">
        <v>33412</v>
      </c>
      <c r="I1042" s="11">
        <v>17663</v>
      </c>
    </row>
    <row r="1043" spans="1:9" x14ac:dyDescent="0.2">
      <c r="A1043" s="10">
        <v>6712</v>
      </c>
      <c r="B1043" s="10">
        <v>41</v>
      </c>
      <c r="C1043" s="10" t="s">
        <v>1339</v>
      </c>
      <c r="D1043" s="10">
        <v>4194</v>
      </c>
      <c r="E1043" s="10" t="s">
        <v>1394</v>
      </c>
      <c r="F1043" s="11">
        <v>14551</v>
      </c>
      <c r="G1043" s="11">
        <v>15928</v>
      </c>
      <c r="H1043" s="11">
        <v>30479</v>
      </c>
      <c r="I1043" s="11">
        <v>16400</v>
      </c>
    </row>
    <row r="1044" spans="1:9" x14ac:dyDescent="0.2">
      <c r="A1044" s="10">
        <v>6712</v>
      </c>
      <c r="B1044" s="10">
        <v>41</v>
      </c>
      <c r="C1044" s="10" t="s">
        <v>1339</v>
      </c>
      <c r="D1044" s="10">
        <v>4195</v>
      </c>
      <c r="E1044" s="10" t="s">
        <v>1395</v>
      </c>
      <c r="F1044" s="11">
        <v>3245</v>
      </c>
      <c r="G1044" s="11">
        <v>3901</v>
      </c>
      <c r="H1044" s="11">
        <v>7146</v>
      </c>
      <c r="I1044" s="11">
        <v>3719</v>
      </c>
    </row>
    <row r="1045" spans="1:9" x14ac:dyDescent="0.2">
      <c r="A1045" s="10">
        <v>6712</v>
      </c>
      <c r="B1045" s="10">
        <v>41</v>
      </c>
      <c r="C1045" s="10" t="s">
        <v>1339</v>
      </c>
      <c r="D1045" s="10">
        <v>4196</v>
      </c>
      <c r="E1045" s="10" t="s">
        <v>1396</v>
      </c>
      <c r="F1045" s="11">
        <v>4521</v>
      </c>
      <c r="G1045" s="11">
        <v>3866</v>
      </c>
      <c r="H1045" s="11">
        <v>8387</v>
      </c>
      <c r="I1045" s="11">
        <v>3678</v>
      </c>
    </row>
    <row r="1046" spans="1:9" x14ac:dyDescent="0.2">
      <c r="A1046" s="10">
        <v>6712</v>
      </c>
      <c r="B1046" s="10">
        <v>41</v>
      </c>
      <c r="C1046" s="10" t="s">
        <v>1339</v>
      </c>
      <c r="D1046" s="10">
        <v>4197</v>
      </c>
      <c r="E1046" s="10" t="s">
        <v>1397</v>
      </c>
      <c r="F1046" s="11">
        <v>1762</v>
      </c>
      <c r="G1046" s="11">
        <v>1895</v>
      </c>
      <c r="H1046" s="11">
        <v>3657</v>
      </c>
      <c r="I1046" s="11">
        <v>1382</v>
      </c>
    </row>
    <row r="1047" spans="1:9" x14ac:dyDescent="0.2">
      <c r="A1047" s="10">
        <v>6712</v>
      </c>
      <c r="B1047" s="10">
        <v>41</v>
      </c>
      <c r="C1047" s="10" t="s">
        <v>1339</v>
      </c>
      <c r="D1047" s="10">
        <v>4198</v>
      </c>
      <c r="E1047" s="10" t="s">
        <v>1398</v>
      </c>
      <c r="F1047" s="11">
        <v>3055</v>
      </c>
      <c r="G1047" s="11">
        <v>3271</v>
      </c>
      <c r="H1047" s="11">
        <v>6326</v>
      </c>
      <c r="I1047" s="11">
        <v>2759</v>
      </c>
    </row>
    <row r="1048" spans="1:9" x14ac:dyDescent="0.2">
      <c r="A1048" s="10">
        <v>6712</v>
      </c>
      <c r="B1048" s="10">
        <v>41</v>
      </c>
      <c r="C1048" s="10" t="s">
        <v>1339</v>
      </c>
      <c r="D1048" s="10">
        <v>4199</v>
      </c>
      <c r="E1048" s="10" t="s">
        <v>1399</v>
      </c>
      <c r="F1048" s="11">
        <v>54099</v>
      </c>
      <c r="G1048" s="11">
        <v>59861</v>
      </c>
      <c r="H1048" s="11">
        <v>113960</v>
      </c>
      <c r="I1048" s="11">
        <v>63163</v>
      </c>
    </row>
    <row r="1049" spans="1:9" x14ac:dyDescent="0.2">
      <c r="A1049" s="10">
        <v>6712</v>
      </c>
      <c r="B1049" s="10">
        <v>42</v>
      </c>
      <c r="C1049" s="10" t="s">
        <v>1400</v>
      </c>
      <c r="D1049" s="10">
        <v>4201</v>
      </c>
      <c r="E1049" s="10" t="s">
        <v>1401</v>
      </c>
      <c r="F1049" s="11">
        <v>29973</v>
      </c>
      <c r="G1049" s="11">
        <v>29366</v>
      </c>
      <c r="H1049" s="11">
        <v>59339</v>
      </c>
      <c r="I1049" s="11">
        <v>25177</v>
      </c>
    </row>
    <row r="1050" spans="1:9" x14ac:dyDescent="0.2">
      <c r="A1050" s="10">
        <v>6712</v>
      </c>
      <c r="B1050" s="10">
        <v>42</v>
      </c>
      <c r="C1050" s="10" t="s">
        <v>1400</v>
      </c>
      <c r="D1050" s="10">
        <v>4202</v>
      </c>
      <c r="E1050" s="10" t="s">
        <v>1402</v>
      </c>
      <c r="F1050" s="11">
        <v>4940</v>
      </c>
      <c r="G1050" s="11">
        <v>4864</v>
      </c>
      <c r="H1050" s="11">
        <v>9804</v>
      </c>
      <c r="I1050" s="11">
        <v>3846</v>
      </c>
    </row>
    <row r="1051" spans="1:9" x14ac:dyDescent="0.2">
      <c r="A1051" s="10">
        <v>6712</v>
      </c>
      <c r="B1051" s="10">
        <v>42</v>
      </c>
      <c r="C1051" s="10" t="s">
        <v>1400</v>
      </c>
      <c r="D1051" s="10">
        <v>4203</v>
      </c>
      <c r="E1051" s="10" t="s">
        <v>1403</v>
      </c>
      <c r="F1051" s="11">
        <v>18803</v>
      </c>
      <c r="G1051" s="11">
        <v>19059</v>
      </c>
      <c r="H1051" s="11">
        <v>37862</v>
      </c>
      <c r="I1051" s="11">
        <v>14890</v>
      </c>
    </row>
    <row r="1052" spans="1:9" x14ac:dyDescent="0.2">
      <c r="A1052" s="10">
        <v>6712</v>
      </c>
      <c r="B1052" s="10">
        <v>42</v>
      </c>
      <c r="C1052" s="10" t="s">
        <v>1400</v>
      </c>
      <c r="D1052" s="10">
        <v>4204</v>
      </c>
      <c r="E1052" s="10" t="s">
        <v>1404</v>
      </c>
      <c r="F1052" s="11">
        <v>17023</v>
      </c>
      <c r="G1052" s="11">
        <v>16527</v>
      </c>
      <c r="H1052" s="11">
        <v>33550</v>
      </c>
      <c r="I1052" s="11">
        <v>11815</v>
      </c>
    </row>
    <row r="1053" spans="1:9" x14ac:dyDescent="0.2">
      <c r="A1053" s="10">
        <v>6712</v>
      </c>
      <c r="B1053" s="10">
        <v>42</v>
      </c>
      <c r="C1053" s="10" t="s">
        <v>1400</v>
      </c>
      <c r="D1053" s="10">
        <v>4205</v>
      </c>
      <c r="E1053" s="10" t="s">
        <v>1405</v>
      </c>
      <c r="F1053" s="11">
        <v>24326</v>
      </c>
      <c r="G1053" s="11">
        <v>23797</v>
      </c>
      <c r="H1053" s="11">
        <v>48123</v>
      </c>
      <c r="I1053" s="11">
        <v>16959</v>
      </c>
    </row>
    <row r="1054" spans="1:9" x14ac:dyDescent="0.2">
      <c r="A1054" s="10">
        <v>6712</v>
      </c>
      <c r="B1054" s="10">
        <v>42</v>
      </c>
      <c r="C1054" s="10" t="s">
        <v>1400</v>
      </c>
      <c r="D1054" s="10">
        <v>4206</v>
      </c>
      <c r="E1054" s="10" t="s">
        <v>1406</v>
      </c>
      <c r="F1054" s="11">
        <v>4847</v>
      </c>
      <c r="G1054" s="11">
        <v>4802</v>
      </c>
      <c r="H1054" s="11">
        <v>9649</v>
      </c>
      <c r="I1054" s="11">
        <v>3255</v>
      </c>
    </row>
    <row r="1055" spans="1:9" x14ac:dyDescent="0.2">
      <c r="A1055" s="10">
        <v>6712</v>
      </c>
      <c r="B1055" s="10">
        <v>42</v>
      </c>
      <c r="C1055" s="10" t="s">
        <v>1400</v>
      </c>
      <c r="D1055" s="10">
        <v>4207</v>
      </c>
      <c r="E1055" s="10" t="s">
        <v>1407</v>
      </c>
      <c r="F1055" s="11">
        <v>10028</v>
      </c>
      <c r="G1055" s="11">
        <v>9674</v>
      </c>
      <c r="H1055" s="11">
        <v>19702</v>
      </c>
      <c r="I1055" s="11">
        <v>7713</v>
      </c>
    </row>
    <row r="1056" spans="1:9" x14ac:dyDescent="0.2">
      <c r="A1056" s="10">
        <v>6712</v>
      </c>
      <c r="B1056" s="10">
        <v>42</v>
      </c>
      <c r="C1056" s="10" t="s">
        <v>1400</v>
      </c>
      <c r="D1056" s="10">
        <v>4208</v>
      </c>
      <c r="E1056" s="10" t="s">
        <v>1408</v>
      </c>
      <c r="F1056" s="11">
        <v>12829</v>
      </c>
      <c r="G1056" s="11">
        <v>12861</v>
      </c>
      <c r="H1056" s="11">
        <v>25690</v>
      </c>
      <c r="I1056" s="11">
        <v>10443</v>
      </c>
    </row>
    <row r="1057" spans="1:9" x14ac:dyDescent="0.2">
      <c r="A1057" s="10">
        <v>6712</v>
      </c>
      <c r="B1057" s="10">
        <v>42</v>
      </c>
      <c r="C1057" s="10" t="s">
        <v>1400</v>
      </c>
      <c r="D1057" s="10">
        <v>4209</v>
      </c>
      <c r="E1057" s="10" t="s">
        <v>1409</v>
      </c>
      <c r="F1057" s="11">
        <v>49244</v>
      </c>
      <c r="G1057" s="11">
        <v>49928</v>
      </c>
      <c r="H1057" s="11">
        <v>99172</v>
      </c>
      <c r="I1057" s="11">
        <v>35939</v>
      </c>
    </row>
    <row r="1058" spans="1:9" x14ac:dyDescent="0.2">
      <c r="A1058" s="10">
        <v>6712</v>
      </c>
      <c r="B1058" s="10">
        <v>42</v>
      </c>
      <c r="C1058" s="10" t="s">
        <v>1400</v>
      </c>
      <c r="D1058" s="10">
        <v>4210</v>
      </c>
      <c r="E1058" s="10" t="s">
        <v>1410</v>
      </c>
      <c r="F1058" s="11">
        <v>13638</v>
      </c>
      <c r="G1058" s="11">
        <v>13526</v>
      </c>
      <c r="H1058" s="11">
        <v>27164</v>
      </c>
      <c r="I1058" s="11">
        <v>9273</v>
      </c>
    </row>
    <row r="1059" spans="1:9" x14ac:dyDescent="0.2">
      <c r="A1059" s="10">
        <v>6712</v>
      </c>
      <c r="B1059" s="10">
        <v>42</v>
      </c>
      <c r="C1059" s="10" t="s">
        <v>1400</v>
      </c>
      <c r="D1059" s="10">
        <v>4211</v>
      </c>
      <c r="E1059" s="10" t="s">
        <v>1411</v>
      </c>
      <c r="F1059" s="11">
        <v>12513</v>
      </c>
      <c r="G1059" s="11">
        <v>12285</v>
      </c>
      <c r="H1059" s="11">
        <v>24798</v>
      </c>
      <c r="I1059" s="11">
        <v>8147</v>
      </c>
    </row>
    <row r="1060" spans="1:9" x14ac:dyDescent="0.2">
      <c r="A1060" s="10">
        <v>6712</v>
      </c>
      <c r="B1060" s="10">
        <v>42</v>
      </c>
      <c r="C1060" s="10" t="s">
        <v>1400</v>
      </c>
      <c r="D1060" s="10">
        <v>4212</v>
      </c>
      <c r="E1060" s="10" t="s">
        <v>1412</v>
      </c>
      <c r="F1060" s="11">
        <v>15313</v>
      </c>
      <c r="G1060" s="11">
        <v>15285</v>
      </c>
      <c r="H1060" s="11">
        <v>30598</v>
      </c>
      <c r="I1060" s="11">
        <v>8801</v>
      </c>
    </row>
    <row r="1061" spans="1:9" x14ac:dyDescent="0.2">
      <c r="A1061" s="10">
        <v>6712</v>
      </c>
      <c r="B1061" s="10">
        <v>42</v>
      </c>
      <c r="C1061" s="10" t="s">
        <v>1400</v>
      </c>
      <c r="D1061" s="10">
        <v>4213</v>
      </c>
      <c r="E1061" s="10" t="s">
        <v>1413</v>
      </c>
      <c r="F1061" s="11">
        <v>16771</v>
      </c>
      <c r="G1061" s="11">
        <v>16881</v>
      </c>
      <c r="H1061" s="11">
        <v>33652</v>
      </c>
      <c r="I1061" s="11">
        <v>11926</v>
      </c>
    </row>
    <row r="1062" spans="1:9" x14ac:dyDescent="0.2">
      <c r="A1062" s="10">
        <v>6712</v>
      </c>
      <c r="B1062" s="10">
        <v>42</v>
      </c>
      <c r="C1062" s="10" t="s">
        <v>1400</v>
      </c>
      <c r="D1062" s="10">
        <v>4214</v>
      </c>
      <c r="E1062" s="10" t="s">
        <v>1414</v>
      </c>
      <c r="F1062" s="11">
        <v>10352</v>
      </c>
      <c r="G1062" s="11">
        <v>10192</v>
      </c>
      <c r="H1062" s="11">
        <v>20544</v>
      </c>
      <c r="I1062" s="11">
        <v>6434</v>
      </c>
    </row>
    <row r="1063" spans="1:9" x14ac:dyDescent="0.2">
      <c r="A1063" s="10">
        <v>6712</v>
      </c>
      <c r="B1063" s="10">
        <v>42</v>
      </c>
      <c r="C1063" s="10" t="s">
        <v>1400</v>
      </c>
      <c r="D1063" s="10">
        <v>4279</v>
      </c>
      <c r="E1063" s="10" t="s">
        <v>1415</v>
      </c>
      <c r="F1063" s="11">
        <v>5495</v>
      </c>
      <c r="G1063" s="11">
        <v>5486</v>
      </c>
      <c r="H1063" s="11">
        <v>10981</v>
      </c>
      <c r="I1063" s="11">
        <v>3630</v>
      </c>
    </row>
    <row r="1064" spans="1:9" x14ac:dyDescent="0.2">
      <c r="A1064" s="10">
        <v>6712</v>
      </c>
      <c r="B1064" s="10">
        <v>42</v>
      </c>
      <c r="C1064" s="10" t="s">
        <v>1400</v>
      </c>
      <c r="D1064" s="10">
        <v>4280</v>
      </c>
      <c r="E1064" s="10" t="s">
        <v>1416</v>
      </c>
      <c r="F1064" s="11">
        <v>4976</v>
      </c>
      <c r="G1064" s="11">
        <v>4841</v>
      </c>
      <c r="H1064" s="11">
        <v>9817</v>
      </c>
      <c r="I1064" s="11">
        <v>3041</v>
      </c>
    </row>
    <row r="1065" spans="1:9" x14ac:dyDescent="0.2">
      <c r="A1065" s="10">
        <v>6712</v>
      </c>
      <c r="B1065" s="10">
        <v>42</v>
      </c>
      <c r="C1065" s="10" t="s">
        <v>1400</v>
      </c>
      <c r="D1065" s="10">
        <v>4281</v>
      </c>
      <c r="E1065" s="10" t="s">
        <v>1417</v>
      </c>
      <c r="F1065" s="11">
        <v>4723</v>
      </c>
      <c r="G1065" s="11">
        <v>4830</v>
      </c>
      <c r="H1065" s="11">
        <v>9553</v>
      </c>
      <c r="I1065" s="11">
        <v>3557</v>
      </c>
    </row>
    <row r="1066" spans="1:9" x14ac:dyDescent="0.2">
      <c r="A1066" s="10">
        <v>6712</v>
      </c>
      <c r="B1066" s="10">
        <v>42</v>
      </c>
      <c r="C1066" s="10" t="s">
        <v>1400</v>
      </c>
      <c r="D1066" s="10">
        <v>4282</v>
      </c>
      <c r="E1066" s="10" t="s">
        <v>1418</v>
      </c>
      <c r="F1066" s="11">
        <v>5346</v>
      </c>
      <c r="G1066" s="11">
        <v>5312</v>
      </c>
      <c r="H1066" s="11">
        <v>10658</v>
      </c>
      <c r="I1066" s="11">
        <v>3846</v>
      </c>
    </row>
    <row r="1067" spans="1:9" x14ac:dyDescent="0.2">
      <c r="A1067" s="10">
        <v>6712</v>
      </c>
      <c r="B1067" s="10">
        <v>42</v>
      </c>
      <c r="C1067" s="10" t="s">
        <v>1400</v>
      </c>
      <c r="D1067" s="10">
        <v>4283</v>
      </c>
      <c r="E1067" s="10" t="s">
        <v>1419</v>
      </c>
      <c r="F1067" s="11">
        <v>5107</v>
      </c>
      <c r="G1067" s="11">
        <v>5185</v>
      </c>
      <c r="H1067" s="11">
        <v>10292</v>
      </c>
      <c r="I1067" s="11">
        <v>3679</v>
      </c>
    </row>
    <row r="1068" spans="1:9" x14ac:dyDescent="0.2">
      <c r="A1068" s="10">
        <v>6712</v>
      </c>
      <c r="B1068" s="10">
        <v>42</v>
      </c>
      <c r="C1068" s="10" t="s">
        <v>1400</v>
      </c>
      <c r="D1068" s="10">
        <v>4284</v>
      </c>
      <c r="E1068" s="10" t="s">
        <v>1420</v>
      </c>
      <c r="F1068" s="11">
        <v>6494</v>
      </c>
      <c r="G1068" s="11">
        <v>6787</v>
      </c>
      <c r="H1068" s="11">
        <v>13281</v>
      </c>
      <c r="I1068" s="11">
        <v>6516</v>
      </c>
    </row>
    <row r="1069" spans="1:9" x14ac:dyDescent="0.2">
      <c r="A1069" s="10">
        <v>6712</v>
      </c>
      <c r="B1069" s="10">
        <v>42</v>
      </c>
      <c r="C1069" s="10" t="s">
        <v>1400</v>
      </c>
      <c r="D1069" s="10">
        <v>4285</v>
      </c>
      <c r="E1069" s="10" t="s">
        <v>1421</v>
      </c>
      <c r="F1069" s="11">
        <v>3859</v>
      </c>
      <c r="G1069" s="11">
        <v>3835</v>
      </c>
      <c r="H1069" s="11">
        <v>7694</v>
      </c>
      <c r="I1069" s="11">
        <v>2250</v>
      </c>
    </row>
    <row r="1070" spans="1:9" x14ac:dyDescent="0.2">
      <c r="A1070" s="10">
        <v>6712</v>
      </c>
      <c r="B1070" s="10">
        <v>42</v>
      </c>
      <c r="C1070" s="10" t="s">
        <v>1400</v>
      </c>
      <c r="D1070" s="10">
        <v>4286</v>
      </c>
      <c r="E1070" s="10" t="s">
        <v>1422</v>
      </c>
      <c r="F1070" s="11">
        <v>2099</v>
      </c>
      <c r="G1070" s="11">
        <v>2229</v>
      </c>
      <c r="H1070" s="11">
        <v>4328</v>
      </c>
      <c r="I1070" s="11">
        <v>2163</v>
      </c>
    </row>
    <row r="1071" spans="1:9" x14ac:dyDescent="0.2">
      <c r="A1071" s="10">
        <v>6712</v>
      </c>
      <c r="B1071" s="10">
        <v>42</v>
      </c>
      <c r="C1071" s="10" t="s">
        <v>1400</v>
      </c>
      <c r="D1071" s="10">
        <v>4287</v>
      </c>
      <c r="E1071" s="10" t="s">
        <v>1423</v>
      </c>
      <c r="F1071" s="11">
        <v>3416</v>
      </c>
      <c r="G1071" s="11">
        <v>3508</v>
      </c>
      <c r="H1071" s="11">
        <v>6924</v>
      </c>
      <c r="I1071" s="11">
        <v>2834</v>
      </c>
    </row>
    <row r="1072" spans="1:9" x14ac:dyDescent="0.2">
      <c r="A1072" s="10">
        <v>6712</v>
      </c>
      <c r="B1072" s="10">
        <v>42</v>
      </c>
      <c r="C1072" s="10" t="s">
        <v>1400</v>
      </c>
      <c r="D1072" s="10">
        <v>4288</v>
      </c>
      <c r="E1072" s="10" t="s">
        <v>1424</v>
      </c>
      <c r="F1072" s="11">
        <v>4937</v>
      </c>
      <c r="G1072" s="11">
        <v>5401</v>
      </c>
      <c r="H1072" s="11">
        <v>10338</v>
      </c>
      <c r="I1072" s="11">
        <v>4736</v>
      </c>
    </row>
    <row r="1073" spans="1:9" x14ac:dyDescent="0.2">
      <c r="A1073" s="10">
        <v>6712</v>
      </c>
      <c r="B1073" s="10">
        <v>42</v>
      </c>
      <c r="C1073" s="10" t="s">
        <v>1400</v>
      </c>
      <c r="D1073" s="10">
        <v>4289</v>
      </c>
      <c r="E1073" s="10" t="s">
        <v>1425</v>
      </c>
      <c r="F1073" s="10">
        <v>825</v>
      </c>
      <c r="G1073" s="10">
        <v>901</v>
      </c>
      <c r="H1073" s="11">
        <v>1726</v>
      </c>
      <c r="I1073" s="10">
        <v>836</v>
      </c>
    </row>
    <row r="1074" spans="1:9" x14ac:dyDescent="0.2">
      <c r="A1074" s="10">
        <v>6712</v>
      </c>
      <c r="B1074" s="10">
        <v>42</v>
      </c>
      <c r="C1074" s="10" t="s">
        <v>1400</v>
      </c>
      <c r="D1074" s="10">
        <v>4290</v>
      </c>
      <c r="E1074" s="10" t="s">
        <v>1426</v>
      </c>
      <c r="F1074" s="11">
        <v>1337</v>
      </c>
      <c r="G1074" s="11">
        <v>1377</v>
      </c>
      <c r="H1074" s="11">
        <v>2714</v>
      </c>
      <c r="I1074" s="11">
        <v>1627</v>
      </c>
    </row>
    <row r="1075" spans="1:9" x14ac:dyDescent="0.2">
      <c r="A1075" s="10">
        <v>6712</v>
      </c>
      <c r="B1075" s="10">
        <v>42</v>
      </c>
      <c r="C1075" s="10" t="s">
        <v>1400</v>
      </c>
      <c r="D1075" s="10">
        <v>4291</v>
      </c>
      <c r="E1075" s="10" t="s">
        <v>1427</v>
      </c>
      <c r="F1075" s="11">
        <v>1035</v>
      </c>
      <c r="G1075" s="11">
        <v>1002</v>
      </c>
      <c r="H1075" s="11">
        <v>2037</v>
      </c>
      <c r="I1075" s="10">
        <v>965</v>
      </c>
    </row>
    <row r="1076" spans="1:9" x14ac:dyDescent="0.2">
      <c r="A1076" s="10">
        <v>6712</v>
      </c>
      <c r="B1076" s="10">
        <v>42</v>
      </c>
      <c r="C1076" s="10" t="s">
        <v>1400</v>
      </c>
      <c r="D1076" s="10">
        <v>4292</v>
      </c>
      <c r="E1076" s="10" t="s">
        <v>1428</v>
      </c>
      <c r="F1076" s="11">
        <v>1569</v>
      </c>
      <c r="G1076" s="11">
        <v>1657</v>
      </c>
      <c r="H1076" s="11">
        <v>3226</v>
      </c>
      <c r="I1076" s="11">
        <v>2048</v>
      </c>
    </row>
    <row r="1077" spans="1:9" x14ac:dyDescent="0.2">
      <c r="A1077" s="10">
        <v>6712</v>
      </c>
      <c r="B1077" s="10">
        <v>42</v>
      </c>
      <c r="C1077" s="10" t="s">
        <v>1400</v>
      </c>
      <c r="D1077" s="10">
        <v>4293</v>
      </c>
      <c r="E1077" s="10" t="s">
        <v>1429</v>
      </c>
      <c r="F1077" s="11">
        <v>1637</v>
      </c>
      <c r="G1077" s="11">
        <v>1729</v>
      </c>
      <c r="H1077" s="11">
        <v>3366</v>
      </c>
      <c r="I1077" s="11">
        <v>1637</v>
      </c>
    </row>
    <row r="1078" spans="1:9" x14ac:dyDescent="0.2">
      <c r="A1078" s="10">
        <v>6712</v>
      </c>
      <c r="B1078" s="10">
        <v>42</v>
      </c>
      <c r="C1078" s="10" t="s">
        <v>1400</v>
      </c>
      <c r="D1078" s="10">
        <v>4294</v>
      </c>
      <c r="E1078" s="10" t="s">
        <v>1430</v>
      </c>
      <c r="F1078" s="11">
        <v>2525</v>
      </c>
      <c r="G1078" s="11">
        <v>2584</v>
      </c>
      <c r="H1078" s="11">
        <v>5109</v>
      </c>
      <c r="I1078" s="11">
        <v>1715</v>
      </c>
    </row>
    <row r="1079" spans="1:9" x14ac:dyDescent="0.2">
      <c r="A1079" s="10">
        <v>6712</v>
      </c>
      <c r="B1079" s="10">
        <v>42</v>
      </c>
      <c r="C1079" s="10" t="s">
        <v>1400</v>
      </c>
      <c r="D1079" s="10">
        <v>4295</v>
      </c>
      <c r="E1079" s="10" t="s">
        <v>1431</v>
      </c>
      <c r="F1079" s="11">
        <v>2360</v>
      </c>
      <c r="G1079" s="11">
        <v>2559</v>
      </c>
      <c r="H1079" s="11">
        <v>4919</v>
      </c>
      <c r="I1079" s="11">
        <v>2895</v>
      </c>
    </row>
    <row r="1080" spans="1:9" x14ac:dyDescent="0.2">
      <c r="A1080" s="10">
        <v>6712</v>
      </c>
      <c r="B1080" s="10">
        <v>42</v>
      </c>
      <c r="C1080" s="10" t="s">
        <v>1400</v>
      </c>
      <c r="D1080" s="10">
        <v>4296</v>
      </c>
      <c r="E1080" s="10" t="s">
        <v>1432</v>
      </c>
      <c r="F1080" s="11">
        <v>3188</v>
      </c>
      <c r="G1080" s="11">
        <v>3228</v>
      </c>
      <c r="H1080" s="11">
        <v>6416</v>
      </c>
      <c r="I1080" s="11">
        <v>2461</v>
      </c>
    </row>
    <row r="1081" spans="1:9" x14ac:dyDescent="0.2">
      <c r="A1081" s="10">
        <v>6712</v>
      </c>
      <c r="B1081" s="10">
        <v>42</v>
      </c>
      <c r="C1081" s="10" t="s">
        <v>1400</v>
      </c>
      <c r="D1081" s="10">
        <v>4297</v>
      </c>
      <c r="E1081" s="10" t="s">
        <v>1433</v>
      </c>
      <c r="F1081" s="11">
        <v>1746</v>
      </c>
      <c r="G1081" s="11">
        <v>1804</v>
      </c>
      <c r="H1081" s="11">
        <v>3550</v>
      </c>
      <c r="I1081" s="11">
        <v>1274</v>
      </c>
    </row>
    <row r="1082" spans="1:9" x14ac:dyDescent="0.2">
      <c r="A1082" s="10">
        <v>6712</v>
      </c>
      <c r="B1082" s="10">
        <v>42</v>
      </c>
      <c r="C1082" s="10" t="s">
        <v>1400</v>
      </c>
      <c r="D1082" s="10">
        <v>4298</v>
      </c>
      <c r="E1082" s="10" t="s">
        <v>1434</v>
      </c>
      <c r="F1082" s="11">
        <v>2938</v>
      </c>
      <c r="G1082" s="11">
        <v>3054</v>
      </c>
      <c r="H1082" s="11">
        <v>5992</v>
      </c>
      <c r="I1082" s="11">
        <v>2416</v>
      </c>
    </row>
    <row r="1083" spans="1:9" x14ac:dyDescent="0.2">
      <c r="A1083" s="10">
        <v>6712</v>
      </c>
      <c r="B1083" s="10">
        <v>42</v>
      </c>
      <c r="C1083" s="10" t="s">
        <v>1400</v>
      </c>
      <c r="D1083" s="10">
        <v>4299</v>
      </c>
      <c r="E1083" s="10" t="s">
        <v>1435</v>
      </c>
      <c r="F1083" s="11">
        <v>9659</v>
      </c>
      <c r="G1083" s="11">
        <v>9960</v>
      </c>
      <c r="H1083" s="11">
        <v>19619</v>
      </c>
      <c r="I1083" s="11">
        <v>11638</v>
      </c>
    </row>
    <row r="1084" spans="1:9" x14ac:dyDescent="0.2">
      <c r="A1084" s="10">
        <v>6712</v>
      </c>
      <c r="B1084" s="10">
        <v>43</v>
      </c>
      <c r="C1084" s="10" t="s">
        <v>1436</v>
      </c>
      <c r="D1084" s="10">
        <v>4301</v>
      </c>
      <c r="E1084" s="10" t="s">
        <v>1437</v>
      </c>
      <c r="F1084" s="11">
        <v>37043</v>
      </c>
      <c r="G1084" s="11">
        <v>37750</v>
      </c>
      <c r="H1084" s="11">
        <v>74793</v>
      </c>
      <c r="I1084" s="11">
        <v>26094</v>
      </c>
    </row>
    <row r="1085" spans="1:9" x14ac:dyDescent="0.2">
      <c r="A1085" s="10">
        <v>6712</v>
      </c>
      <c r="B1085" s="10">
        <v>43</v>
      </c>
      <c r="C1085" s="10" t="s">
        <v>1436</v>
      </c>
      <c r="D1085" s="10">
        <v>4302</v>
      </c>
      <c r="E1085" s="10" t="s">
        <v>1438</v>
      </c>
      <c r="F1085" s="11">
        <v>29989</v>
      </c>
      <c r="G1085" s="11">
        <v>30856</v>
      </c>
      <c r="H1085" s="11">
        <v>60845</v>
      </c>
      <c r="I1085" s="11">
        <v>19666</v>
      </c>
    </row>
    <row r="1086" spans="1:9" x14ac:dyDescent="0.2">
      <c r="A1086" s="10">
        <v>6712</v>
      </c>
      <c r="B1086" s="10">
        <v>43</v>
      </c>
      <c r="C1086" s="10" t="s">
        <v>1436</v>
      </c>
      <c r="D1086" s="10">
        <v>4305</v>
      </c>
      <c r="E1086" s="10" t="s">
        <v>1439</v>
      </c>
      <c r="F1086" s="11">
        <v>47087</v>
      </c>
      <c r="G1086" s="11">
        <v>47704</v>
      </c>
      <c r="H1086" s="11">
        <v>94791</v>
      </c>
      <c r="I1086" s="11">
        <v>33367</v>
      </c>
    </row>
    <row r="1087" spans="1:9" x14ac:dyDescent="0.2">
      <c r="A1087" s="10">
        <v>6712</v>
      </c>
      <c r="B1087" s="10">
        <v>43</v>
      </c>
      <c r="C1087" s="10" t="s">
        <v>1436</v>
      </c>
      <c r="D1087" s="10">
        <v>4307</v>
      </c>
      <c r="E1087" s="10" t="s">
        <v>1440</v>
      </c>
      <c r="F1087" s="11">
        <v>11402</v>
      </c>
      <c r="G1087" s="11">
        <v>11770</v>
      </c>
      <c r="H1087" s="11">
        <v>23172</v>
      </c>
      <c r="I1087" s="11">
        <v>7800</v>
      </c>
    </row>
    <row r="1088" spans="1:9" x14ac:dyDescent="0.2">
      <c r="A1088" s="10">
        <v>6712</v>
      </c>
      <c r="B1088" s="10">
        <v>43</v>
      </c>
      <c r="C1088" s="10" t="s">
        <v>1436</v>
      </c>
      <c r="D1088" s="10">
        <v>4308</v>
      </c>
      <c r="E1088" s="10" t="s">
        <v>1441</v>
      </c>
      <c r="F1088" s="11">
        <v>11212</v>
      </c>
      <c r="G1088" s="11">
        <v>10995</v>
      </c>
      <c r="H1088" s="11">
        <v>22207</v>
      </c>
      <c r="I1088" s="11">
        <v>7631</v>
      </c>
    </row>
    <row r="1089" spans="1:9" x14ac:dyDescent="0.2">
      <c r="A1089" s="10">
        <v>6712</v>
      </c>
      <c r="B1089" s="10">
        <v>43</v>
      </c>
      <c r="C1089" s="10" t="s">
        <v>1436</v>
      </c>
      <c r="D1089" s="10">
        <v>4314</v>
      </c>
      <c r="E1089" s="10" t="s">
        <v>1442</v>
      </c>
      <c r="F1089" s="11">
        <v>13296</v>
      </c>
      <c r="G1089" s="11">
        <v>13192</v>
      </c>
      <c r="H1089" s="11">
        <v>26488</v>
      </c>
      <c r="I1089" s="11">
        <v>8997</v>
      </c>
    </row>
    <row r="1090" spans="1:9" x14ac:dyDescent="0.2">
      <c r="A1090" s="10">
        <v>6712</v>
      </c>
      <c r="B1090" s="10">
        <v>43</v>
      </c>
      <c r="C1090" s="10" t="s">
        <v>1436</v>
      </c>
      <c r="D1090" s="10">
        <v>4315</v>
      </c>
      <c r="E1090" s="10" t="s">
        <v>1443</v>
      </c>
      <c r="F1090" s="11">
        <v>19768</v>
      </c>
      <c r="G1090" s="11">
        <v>19801</v>
      </c>
      <c r="H1090" s="11">
        <v>39569</v>
      </c>
      <c r="I1090" s="11">
        <v>11852</v>
      </c>
    </row>
    <row r="1091" spans="1:9" x14ac:dyDescent="0.2">
      <c r="A1091" s="10">
        <v>6712</v>
      </c>
      <c r="B1091" s="10">
        <v>43</v>
      </c>
      <c r="C1091" s="10" t="s">
        <v>1436</v>
      </c>
      <c r="D1091" s="10">
        <v>4316</v>
      </c>
      <c r="E1091" s="10" t="s">
        <v>1444</v>
      </c>
      <c r="F1091" s="11">
        <v>18767</v>
      </c>
      <c r="G1091" s="11">
        <v>18760</v>
      </c>
      <c r="H1091" s="11">
        <v>37527</v>
      </c>
      <c r="I1091" s="11">
        <v>13604</v>
      </c>
    </row>
    <row r="1092" spans="1:9" x14ac:dyDescent="0.2">
      <c r="A1092" s="10">
        <v>6712</v>
      </c>
      <c r="B1092" s="10">
        <v>43</v>
      </c>
      <c r="C1092" s="10" t="s">
        <v>1436</v>
      </c>
      <c r="D1092" s="10">
        <v>4317</v>
      </c>
      <c r="E1092" s="10" t="s">
        <v>1445</v>
      </c>
      <c r="F1092" s="11">
        <v>7503</v>
      </c>
      <c r="G1092" s="11">
        <v>7572</v>
      </c>
      <c r="H1092" s="11">
        <v>15075</v>
      </c>
      <c r="I1092" s="11">
        <v>5369</v>
      </c>
    </row>
    <row r="1093" spans="1:9" x14ac:dyDescent="0.2">
      <c r="A1093" s="10">
        <v>6712</v>
      </c>
      <c r="B1093" s="10">
        <v>43</v>
      </c>
      <c r="C1093" s="10" t="s">
        <v>1436</v>
      </c>
      <c r="D1093" s="10">
        <v>4378</v>
      </c>
      <c r="E1093" s="10" t="s">
        <v>1446</v>
      </c>
      <c r="F1093" s="11">
        <v>5437</v>
      </c>
      <c r="G1093" s="11">
        <v>5500</v>
      </c>
      <c r="H1093" s="11">
        <v>10937</v>
      </c>
      <c r="I1093" s="11">
        <v>4222</v>
      </c>
    </row>
    <row r="1094" spans="1:9" x14ac:dyDescent="0.2">
      <c r="A1094" s="10">
        <v>6712</v>
      </c>
      <c r="B1094" s="10">
        <v>43</v>
      </c>
      <c r="C1094" s="10" t="s">
        <v>1436</v>
      </c>
      <c r="D1094" s="10">
        <v>4381</v>
      </c>
      <c r="E1094" s="10" t="s">
        <v>1447</v>
      </c>
      <c r="F1094" s="11">
        <v>3959</v>
      </c>
      <c r="G1094" s="11">
        <v>4229</v>
      </c>
      <c r="H1094" s="11">
        <v>8188</v>
      </c>
      <c r="I1094" s="11">
        <v>4106</v>
      </c>
    </row>
    <row r="1095" spans="1:9" x14ac:dyDescent="0.2">
      <c r="A1095" s="10">
        <v>6712</v>
      </c>
      <c r="B1095" s="10">
        <v>43</v>
      </c>
      <c r="C1095" s="10" t="s">
        <v>1436</v>
      </c>
      <c r="D1095" s="10">
        <v>4382</v>
      </c>
      <c r="E1095" s="10" t="s">
        <v>1448</v>
      </c>
      <c r="F1095" s="11">
        <v>4691</v>
      </c>
      <c r="G1095" s="11">
        <v>4883</v>
      </c>
      <c r="H1095" s="11">
        <v>9574</v>
      </c>
      <c r="I1095" s="11">
        <v>3177</v>
      </c>
    </row>
    <row r="1096" spans="1:9" x14ac:dyDescent="0.2">
      <c r="A1096" s="10">
        <v>6712</v>
      </c>
      <c r="B1096" s="10">
        <v>43</v>
      </c>
      <c r="C1096" s="10" t="s">
        <v>1436</v>
      </c>
      <c r="D1096" s="10">
        <v>4388</v>
      </c>
      <c r="E1096" s="10" t="s">
        <v>1449</v>
      </c>
      <c r="F1096" s="11">
        <v>1581</v>
      </c>
      <c r="G1096" s="11">
        <v>1661</v>
      </c>
      <c r="H1096" s="11">
        <v>3242</v>
      </c>
      <c r="I1096" s="11">
        <v>1531</v>
      </c>
    </row>
    <row r="1097" spans="1:9" x14ac:dyDescent="0.2">
      <c r="A1097" s="10">
        <v>6712</v>
      </c>
      <c r="B1097" s="10">
        <v>43</v>
      </c>
      <c r="C1097" s="10" t="s">
        <v>1436</v>
      </c>
      <c r="D1097" s="10">
        <v>4389</v>
      </c>
      <c r="E1097" s="10" t="s">
        <v>1450</v>
      </c>
      <c r="F1097" s="11">
        <v>2961</v>
      </c>
      <c r="G1097" s="11">
        <v>3110</v>
      </c>
      <c r="H1097" s="11">
        <v>6071</v>
      </c>
      <c r="I1097" s="11">
        <v>2964</v>
      </c>
    </row>
    <row r="1098" spans="1:9" x14ac:dyDescent="0.2">
      <c r="A1098" s="10">
        <v>6712</v>
      </c>
      <c r="B1098" s="10">
        <v>43</v>
      </c>
      <c r="C1098" s="10" t="s">
        <v>1436</v>
      </c>
      <c r="D1098" s="10">
        <v>4391</v>
      </c>
      <c r="E1098" s="10" t="s">
        <v>1451</v>
      </c>
      <c r="F1098" s="11">
        <v>1260</v>
      </c>
      <c r="G1098" s="11">
        <v>1246</v>
      </c>
      <c r="H1098" s="11">
        <v>2506</v>
      </c>
      <c r="I1098" s="11">
        <v>1258</v>
      </c>
    </row>
    <row r="1099" spans="1:9" x14ac:dyDescent="0.2">
      <c r="A1099" s="10">
        <v>6712</v>
      </c>
      <c r="B1099" s="10">
        <v>43</v>
      </c>
      <c r="C1099" s="10" t="s">
        <v>1436</v>
      </c>
      <c r="D1099" s="10">
        <v>4395</v>
      </c>
      <c r="E1099" s="10" t="s">
        <v>1452</v>
      </c>
      <c r="F1099" s="11">
        <v>1702</v>
      </c>
      <c r="G1099" s="11">
        <v>1933</v>
      </c>
      <c r="H1099" s="11">
        <v>3635</v>
      </c>
      <c r="I1099" s="11">
        <v>1178</v>
      </c>
    </row>
    <row r="1100" spans="1:9" x14ac:dyDescent="0.2">
      <c r="A1100" s="10">
        <v>6712</v>
      </c>
      <c r="B1100" s="10">
        <v>43</v>
      </c>
      <c r="C1100" s="10" t="s">
        <v>1436</v>
      </c>
      <c r="D1100" s="10">
        <v>4396</v>
      </c>
      <c r="E1100" s="10" t="s">
        <v>1453</v>
      </c>
      <c r="F1100" s="11">
        <v>8168</v>
      </c>
      <c r="G1100" s="11">
        <v>8626</v>
      </c>
      <c r="H1100" s="11">
        <v>16794</v>
      </c>
      <c r="I1100" s="11">
        <v>7626</v>
      </c>
    </row>
    <row r="1101" spans="1:9" x14ac:dyDescent="0.2">
      <c r="A1101" s="10">
        <v>6712</v>
      </c>
      <c r="B1101" s="10">
        <v>43</v>
      </c>
      <c r="C1101" s="10" t="s">
        <v>1436</v>
      </c>
      <c r="D1101" s="10">
        <v>4397</v>
      </c>
      <c r="E1101" s="10" t="s">
        <v>1317</v>
      </c>
      <c r="F1101" s="11">
        <v>2531</v>
      </c>
      <c r="G1101" s="11">
        <v>2573</v>
      </c>
      <c r="H1101" s="11">
        <v>5104</v>
      </c>
      <c r="I1101" s="11">
        <v>2168</v>
      </c>
    </row>
    <row r="1102" spans="1:9" x14ac:dyDescent="0.2">
      <c r="A1102" s="10">
        <v>6712</v>
      </c>
      <c r="B1102" s="10">
        <v>43</v>
      </c>
      <c r="C1102" s="10" t="s">
        <v>1436</v>
      </c>
      <c r="D1102" s="10">
        <v>4398</v>
      </c>
      <c r="E1102" s="10" t="s">
        <v>1454</v>
      </c>
      <c r="F1102" s="11">
        <v>2737</v>
      </c>
      <c r="G1102" s="11">
        <v>3011</v>
      </c>
      <c r="H1102" s="11">
        <v>5748</v>
      </c>
      <c r="I1102" s="11">
        <v>1960</v>
      </c>
    </row>
    <row r="1103" spans="1:9" x14ac:dyDescent="0.2">
      <c r="A1103" s="10">
        <v>6712</v>
      </c>
      <c r="B1103" s="10">
        <v>43</v>
      </c>
      <c r="C1103" s="10" t="s">
        <v>1436</v>
      </c>
      <c r="D1103" s="10">
        <v>4399</v>
      </c>
      <c r="E1103" s="10" t="s">
        <v>1455</v>
      </c>
      <c r="F1103" s="11">
        <v>22100</v>
      </c>
      <c r="G1103" s="11">
        <v>23340</v>
      </c>
      <c r="H1103" s="11">
        <v>45440</v>
      </c>
      <c r="I1103" s="11">
        <v>25455</v>
      </c>
    </row>
    <row r="1104" spans="1:9" x14ac:dyDescent="0.2">
      <c r="A1104" s="10">
        <v>6712</v>
      </c>
      <c r="B1104" s="10">
        <v>44</v>
      </c>
      <c r="C1104" s="10" t="s">
        <v>1456</v>
      </c>
      <c r="D1104" s="10">
        <v>4401</v>
      </c>
      <c r="E1104" s="10" t="s">
        <v>1457</v>
      </c>
      <c r="F1104" s="11">
        <v>49819</v>
      </c>
      <c r="G1104" s="11">
        <v>52236</v>
      </c>
      <c r="H1104" s="11">
        <v>102055</v>
      </c>
      <c r="I1104" s="11">
        <v>38380</v>
      </c>
    </row>
    <row r="1105" spans="1:9" x14ac:dyDescent="0.2">
      <c r="A1105" s="10">
        <v>6712</v>
      </c>
      <c r="B1105" s="10">
        <v>44</v>
      </c>
      <c r="C1105" s="10" t="s">
        <v>1456</v>
      </c>
      <c r="D1105" s="10">
        <v>4402</v>
      </c>
      <c r="E1105" s="10" t="s">
        <v>1458</v>
      </c>
      <c r="F1105" s="11">
        <v>12138</v>
      </c>
      <c r="G1105" s="11">
        <v>12101</v>
      </c>
      <c r="H1105" s="11">
        <v>24239</v>
      </c>
      <c r="I1105" s="11">
        <v>6792</v>
      </c>
    </row>
    <row r="1106" spans="1:9" x14ac:dyDescent="0.2">
      <c r="A1106" s="10">
        <v>6712</v>
      </c>
      <c r="B1106" s="10">
        <v>44</v>
      </c>
      <c r="C1106" s="10" t="s">
        <v>1456</v>
      </c>
      <c r="D1106" s="10">
        <v>4403</v>
      </c>
      <c r="E1106" s="10" t="s">
        <v>1459</v>
      </c>
      <c r="F1106" s="11">
        <v>53150</v>
      </c>
      <c r="G1106" s="11">
        <v>54933</v>
      </c>
      <c r="H1106" s="11">
        <v>108083</v>
      </c>
      <c r="I1106" s="11">
        <v>32897</v>
      </c>
    </row>
    <row r="1107" spans="1:9" x14ac:dyDescent="0.2">
      <c r="A1107" s="10">
        <v>6712</v>
      </c>
      <c r="B1107" s="10">
        <v>44</v>
      </c>
      <c r="C1107" s="10" t="s">
        <v>1456</v>
      </c>
      <c r="D1107" s="10">
        <v>4404</v>
      </c>
      <c r="E1107" s="10" t="s">
        <v>1460</v>
      </c>
      <c r="F1107" s="11">
        <v>26783</v>
      </c>
      <c r="G1107" s="11">
        <v>27982</v>
      </c>
      <c r="H1107" s="11">
        <v>54765</v>
      </c>
      <c r="I1107" s="11">
        <v>17194</v>
      </c>
    </row>
    <row r="1108" spans="1:9" x14ac:dyDescent="0.2">
      <c r="A1108" s="10">
        <v>6712</v>
      </c>
      <c r="B1108" s="10">
        <v>44</v>
      </c>
      <c r="C1108" s="10" t="s">
        <v>1456</v>
      </c>
      <c r="D1108" s="10">
        <v>4405</v>
      </c>
      <c r="E1108" s="10" t="s">
        <v>1461</v>
      </c>
      <c r="F1108" s="11">
        <v>26966</v>
      </c>
      <c r="G1108" s="11">
        <v>28004</v>
      </c>
      <c r="H1108" s="11">
        <v>54970</v>
      </c>
      <c r="I1108" s="11">
        <v>18898</v>
      </c>
    </row>
    <row r="1109" spans="1:9" x14ac:dyDescent="0.2">
      <c r="A1109" s="10">
        <v>6712</v>
      </c>
      <c r="B1109" s="10">
        <v>44</v>
      </c>
      <c r="C1109" s="10" t="s">
        <v>1456</v>
      </c>
      <c r="D1109" s="10">
        <v>4406</v>
      </c>
      <c r="E1109" s="10" t="s">
        <v>1462</v>
      </c>
      <c r="F1109" s="11">
        <v>49969</v>
      </c>
      <c r="G1109" s="11">
        <v>50334</v>
      </c>
      <c r="H1109" s="11">
        <v>100303</v>
      </c>
      <c r="I1109" s="11">
        <v>35471</v>
      </c>
    </row>
    <row r="1110" spans="1:9" x14ac:dyDescent="0.2">
      <c r="A1110" s="10">
        <v>6712</v>
      </c>
      <c r="B1110" s="10">
        <v>44</v>
      </c>
      <c r="C1110" s="10" t="s">
        <v>1456</v>
      </c>
      <c r="D1110" s="10">
        <v>4407</v>
      </c>
      <c r="E1110" s="10" t="s">
        <v>1463</v>
      </c>
      <c r="F1110" s="11">
        <v>28114</v>
      </c>
      <c r="G1110" s="11">
        <v>28508</v>
      </c>
      <c r="H1110" s="11">
        <v>56622</v>
      </c>
      <c r="I1110" s="11">
        <v>18164</v>
      </c>
    </row>
    <row r="1111" spans="1:9" x14ac:dyDescent="0.2">
      <c r="A1111" s="10">
        <v>6712</v>
      </c>
      <c r="B1111" s="10">
        <v>44</v>
      </c>
      <c r="C1111" s="10" t="s">
        <v>1456</v>
      </c>
      <c r="D1111" s="10">
        <v>4408</v>
      </c>
      <c r="E1111" s="10" t="s">
        <v>1464</v>
      </c>
      <c r="F1111" s="11">
        <v>39005</v>
      </c>
      <c r="G1111" s="11">
        <v>39632</v>
      </c>
      <c r="H1111" s="11">
        <v>78637</v>
      </c>
      <c r="I1111" s="11">
        <v>23095</v>
      </c>
    </row>
    <row r="1112" spans="1:9" x14ac:dyDescent="0.2">
      <c r="A1112" s="10">
        <v>6712</v>
      </c>
      <c r="B1112" s="10">
        <v>44</v>
      </c>
      <c r="C1112" s="10" t="s">
        <v>1456</v>
      </c>
      <c r="D1112" s="10">
        <v>4409</v>
      </c>
      <c r="E1112" s="10" t="s">
        <v>1465</v>
      </c>
      <c r="F1112" s="11">
        <v>52713</v>
      </c>
      <c r="G1112" s="11">
        <v>53615</v>
      </c>
      <c r="H1112" s="11">
        <v>106328</v>
      </c>
      <c r="I1112" s="11">
        <v>31602</v>
      </c>
    </row>
    <row r="1113" spans="1:9" x14ac:dyDescent="0.2">
      <c r="A1113" s="10">
        <v>6712</v>
      </c>
      <c r="B1113" s="10">
        <v>44</v>
      </c>
      <c r="C1113" s="10" t="s">
        <v>1456</v>
      </c>
      <c r="D1113" s="10">
        <v>4410</v>
      </c>
      <c r="E1113" s="10" t="s">
        <v>1466</v>
      </c>
      <c r="F1113" s="11">
        <v>16036</v>
      </c>
      <c r="G1113" s="11">
        <v>16271</v>
      </c>
      <c r="H1113" s="11">
        <v>32307</v>
      </c>
      <c r="I1113" s="11">
        <v>8999</v>
      </c>
    </row>
    <row r="1114" spans="1:9" x14ac:dyDescent="0.2">
      <c r="A1114" s="10">
        <v>6712</v>
      </c>
      <c r="B1114" s="10">
        <v>44</v>
      </c>
      <c r="C1114" s="10" t="s">
        <v>1456</v>
      </c>
      <c r="D1114" s="10">
        <v>4411</v>
      </c>
      <c r="E1114" s="10" t="s">
        <v>1467</v>
      </c>
      <c r="F1114" s="11">
        <v>17114</v>
      </c>
      <c r="G1114" s="11">
        <v>17301</v>
      </c>
      <c r="H1114" s="11">
        <v>34415</v>
      </c>
      <c r="I1114" s="11">
        <v>10234</v>
      </c>
    </row>
    <row r="1115" spans="1:9" x14ac:dyDescent="0.2">
      <c r="A1115" s="10">
        <v>6712</v>
      </c>
      <c r="B1115" s="10">
        <v>44</v>
      </c>
      <c r="C1115" s="10" t="s">
        <v>1456</v>
      </c>
      <c r="D1115" s="10">
        <v>4412</v>
      </c>
      <c r="E1115" s="10" t="s">
        <v>1468</v>
      </c>
      <c r="F1115" s="11">
        <v>18434</v>
      </c>
      <c r="G1115" s="11">
        <v>18291</v>
      </c>
      <c r="H1115" s="11">
        <v>36725</v>
      </c>
      <c r="I1115" s="11">
        <v>11062</v>
      </c>
    </row>
    <row r="1116" spans="1:9" x14ac:dyDescent="0.2">
      <c r="A1116" s="10">
        <v>6712</v>
      </c>
      <c r="B1116" s="10">
        <v>44</v>
      </c>
      <c r="C1116" s="10" t="s">
        <v>1456</v>
      </c>
      <c r="D1116" s="10">
        <v>4413</v>
      </c>
      <c r="E1116" s="10" t="s">
        <v>1469</v>
      </c>
      <c r="F1116" s="11">
        <v>11903</v>
      </c>
      <c r="G1116" s="11">
        <v>12394</v>
      </c>
      <c r="H1116" s="11">
        <v>24297</v>
      </c>
      <c r="I1116" s="11">
        <v>7263</v>
      </c>
    </row>
    <row r="1117" spans="1:9" x14ac:dyDescent="0.2">
      <c r="A1117" s="10">
        <v>6712</v>
      </c>
      <c r="B1117" s="10">
        <v>44</v>
      </c>
      <c r="C1117" s="10" t="s">
        <v>1456</v>
      </c>
      <c r="D1117" s="10">
        <v>4487</v>
      </c>
      <c r="E1117" s="10" t="s">
        <v>1470</v>
      </c>
      <c r="F1117" s="11">
        <v>5185</v>
      </c>
      <c r="G1117" s="11">
        <v>6473</v>
      </c>
      <c r="H1117" s="11">
        <v>11658</v>
      </c>
      <c r="I1117" s="11">
        <v>6032</v>
      </c>
    </row>
    <row r="1118" spans="1:9" x14ac:dyDescent="0.2">
      <c r="A1118" s="10">
        <v>6712</v>
      </c>
      <c r="B1118" s="10">
        <v>44</v>
      </c>
      <c r="C1118" s="10" t="s">
        <v>1456</v>
      </c>
      <c r="D1118" s="10">
        <v>4488</v>
      </c>
      <c r="E1118" s="10" t="s">
        <v>1471</v>
      </c>
      <c r="F1118" s="11">
        <v>4277</v>
      </c>
      <c r="G1118" s="11">
        <v>4595</v>
      </c>
      <c r="H1118" s="11">
        <v>8872</v>
      </c>
      <c r="I1118" s="11">
        <v>6995</v>
      </c>
    </row>
    <row r="1119" spans="1:9" x14ac:dyDescent="0.2">
      <c r="A1119" s="10">
        <v>6712</v>
      </c>
      <c r="B1119" s="10">
        <v>44</v>
      </c>
      <c r="C1119" s="10" t="s">
        <v>1456</v>
      </c>
      <c r="D1119" s="10">
        <v>4489</v>
      </c>
      <c r="E1119" s="10" t="s">
        <v>1472</v>
      </c>
      <c r="F1119" s="11">
        <v>2358</v>
      </c>
      <c r="G1119" s="11">
        <v>2319</v>
      </c>
      <c r="H1119" s="11">
        <v>4677</v>
      </c>
      <c r="I1119" s="11">
        <v>1932</v>
      </c>
    </row>
    <row r="1120" spans="1:9" x14ac:dyDescent="0.2">
      <c r="A1120" s="10">
        <v>6712</v>
      </c>
      <c r="B1120" s="10">
        <v>44</v>
      </c>
      <c r="C1120" s="10" t="s">
        <v>1456</v>
      </c>
      <c r="D1120" s="10">
        <v>4490</v>
      </c>
      <c r="E1120" s="10" t="s">
        <v>1473</v>
      </c>
      <c r="F1120" s="11">
        <v>2142</v>
      </c>
      <c r="G1120" s="11">
        <v>2375</v>
      </c>
      <c r="H1120" s="11">
        <v>4517</v>
      </c>
      <c r="I1120" s="11">
        <v>2474</v>
      </c>
    </row>
    <row r="1121" spans="1:9" x14ac:dyDescent="0.2">
      <c r="A1121" s="10">
        <v>6712</v>
      </c>
      <c r="B1121" s="10">
        <v>44</v>
      </c>
      <c r="C1121" s="10" t="s">
        <v>1456</v>
      </c>
      <c r="D1121" s="10">
        <v>4491</v>
      </c>
      <c r="E1121" s="10" t="s">
        <v>1474</v>
      </c>
      <c r="F1121" s="11">
        <v>3748</v>
      </c>
      <c r="G1121" s="11">
        <v>4187</v>
      </c>
      <c r="H1121" s="11">
        <v>7935</v>
      </c>
      <c r="I1121" s="11">
        <v>4471</v>
      </c>
    </row>
    <row r="1122" spans="1:9" x14ac:dyDescent="0.2">
      <c r="A1122" s="10">
        <v>6712</v>
      </c>
      <c r="B1122" s="10">
        <v>44</v>
      </c>
      <c r="C1122" s="10" t="s">
        <v>1456</v>
      </c>
      <c r="D1122" s="10">
        <v>4492</v>
      </c>
      <c r="E1122" s="10" t="s">
        <v>1475</v>
      </c>
      <c r="F1122" s="11">
        <v>1771</v>
      </c>
      <c r="G1122" s="11">
        <v>1893</v>
      </c>
      <c r="H1122" s="11">
        <v>3664</v>
      </c>
      <c r="I1122" s="11">
        <v>2210</v>
      </c>
    </row>
    <row r="1123" spans="1:9" x14ac:dyDescent="0.2">
      <c r="A1123" s="10">
        <v>6712</v>
      </c>
      <c r="B1123" s="10">
        <v>44</v>
      </c>
      <c r="C1123" s="10" t="s">
        <v>1456</v>
      </c>
      <c r="D1123" s="10">
        <v>4493</v>
      </c>
      <c r="E1123" s="10" t="s">
        <v>1476</v>
      </c>
      <c r="F1123" s="11">
        <v>2389</v>
      </c>
      <c r="G1123" s="11">
        <v>2890</v>
      </c>
      <c r="H1123" s="11">
        <v>5279</v>
      </c>
      <c r="I1123" s="11">
        <v>2431</v>
      </c>
    </row>
    <row r="1124" spans="1:9" x14ac:dyDescent="0.2">
      <c r="A1124" s="10">
        <v>6712</v>
      </c>
      <c r="B1124" s="10">
        <v>44</v>
      </c>
      <c r="C1124" s="10" t="s">
        <v>1456</v>
      </c>
      <c r="D1124" s="10">
        <v>4494</v>
      </c>
      <c r="E1124" s="10" t="s">
        <v>1477</v>
      </c>
      <c r="F1124" s="11">
        <v>2152</v>
      </c>
      <c r="G1124" s="11">
        <v>2329</v>
      </c>
      <c r="H1124" s="11">
        <v>4481</v>
      </c>
      <c r="I1124" s="11">
        <v>2483</v>
      </c>
    </row>
    <row r="1125" spans="1:9" x14ac:dyDescent="0.2">
      <c r="A1125" s="10">
        <v>6712</v>
      </c>
      <c r="B1125" s="10">
        <v>44</v>
      </c>
      <c r="C1125" s="10" t="s">
        <v>1456</v>
      </c>
      <c r="D1125" s="10">
        <v>4495</v>
      </c>
      <c r="E1125" s="10" t="s">
        <v>1478</v>
      </c>
      <c r="F1125" s="11">
        <v>1525</v>
      </c>
      <c r="G1125" s="11">
        <v>1753</v>
      </c>
      <c r="H1125" s="11">
        <v>3278</v>
      </c>
      <c r="I1125" s="11">
        <v>1551</v>
      </c>
    </row>
    <row r="1126" spans="1:9" x14ac:dyDescent="0.2">
      <c r="A1126" s="10">
        <v>6712</v>
      </c>
      <c r="B1126" s="10">
        <v>44</v>
      </c>
      <c r="C1126" s="10" t="s">
        <v>1456</v>
      </c>
      <c r="D1126" s="10">
        <v>4496</v>
      </c>
      <c r="E1126" s="10" t="s">
        <v>1479</v>
      </c>
      <c r="F1126" s="11">
        <v>4210</v>
      </c>
      <c r="G1126" s="11">
        <v>4624</v>
      </c>
      <c r="H1126" s="11">
        <v>8834</v>
      </c>
      <c r="I1126" s="11">
        <v>4491</v>
      </c>
    </row>
    <row r="1127" spans="1:9" x14ac:dyDescent="0.2">
      <c r="A1127" s="10">
        <v>6712</v>
      </c>
      <c r="B1127" s="10">
        <v>44</v>
      </c>
      <c r="C1127" s="10" t="s">
        <v>1456</v>
      </c>
      <c r="D1127" s="10">
        <v>4497</v>
      </c>
      <c r="E1127" s="10" t="s">
        <v>1480</v>
      </c>
      <c r="F1127" s="11">
        <v>2621</v>
      </c>
      <c r="G1127" s="11">
        <v>2621</v>
      </c>
      <c r="H1127" s="11">
        <v>5242</v>
      </c>
      <c r="I1127" s="11">
        <v>1751</v>
      </c>
    </row>
    <row r="1128" spans="1:9" x14ac:dyDescent="0.2">
      <c r="A1128" s="10">
        <v>6712</v>
      </c>
      <c r="B1128" s="10">
        <v>44</v>
      </c>
      <c r="C1128" s="10" t="s">
        <v>1456</v>
      </c>
      <c r="D1128" s="10">
        <v>4498</v>
      </c>
      <c r="E1128" s="10" t="s">
        <v>1481</v>
      </c>
      <c r="F1128" s="11">
        <v>2738</v>
      </c>
      <c r="G1128" s="11">
        <v>2917</v>
      </c>
      <c r="H1128" s="11">
        <v>5655</v>
      </c>
      <c r="I1128" s="11">
        <v>2350</v>
      </c>
    </row>
    <row r="1129" spans="1:9" x14ac:dyDescent="0.2">
      <c r="A1129" s="10">
        <v>6712</v>
      </c>
      <c r="B1129" s="10">
        <v>44</v>
      </c>
      <c r="C1129" s="10" t="s">
        <v>1456</v>
      </c>
      <c r="D1129" s="10">
        <v>4499</v>
      </c>
      <c r="E1129" s="10" t="s">
        <v>1482</v>
      </c>
      <c r="F1129" s="11">
        <v>18986</v>
      </c>
      <c r="G1129" s="11">
        <v>23128</v>
      </c>
      <c r="H1129" s="11">
        <v>42114</v>
      </c>
      <c r="I1129" s="11">
        <v>22144</v>
      </c>
    </row>
    <row r="1130" spans="1:9" x14ac:dyDescent="0.2">
      <c r="A1130" s="10">
        <v>6712</v>
      </c>
      <c r="B1130" s="10">
        <v>45</v>
      </c>
      <c r="C1130" s="10" t="s">
        <v>1483</v>
      </c>
      <c r="D1130" s="10">
        <v>4501</v>
      </c>
      <c r="E1130" s="10" t="s">
        <v>1484</v>
      </c>
      <c r="F1130" s="11">
        <v>53908</v>
      </c>
      <c r="G1130" s="11">
        <v>56696</v>
      </c>
      <c r="H1130" s="11">
        <v>110604</v>
      </c>
      <c r="I1130" s="11">
        <v>44294</v>
      </c>
    </row>
    <row r="1131" spans="1:9" x14ac:dyDescent="0.2">
      <c r="A1131" s="10">
        <v>6712</v>
      </c>
      <c r="B1131" s="10">
        <v>45</v>
      </c>
      <c r="C1131" s="10" t="s">
        <v>1483</v>
      </c>
      <c r="D1131" s="10">
        <v>4502</v>
      </c>
      <c r="E1131" s="10" t="s">
        <v>1485</v>
      </c>
      <c r="F1131" s="11">
        <v>36269</v>
      </c>
      <c r="G1131" s="11">
        <v>36362</v>
      </c>
      <c r="H1131" s="11">
        <v>72631</v>
      </c>
      <c r="I1131" s="11">
        <v>21979</v>
      </c>
    </row>
    <row r="1132" spans="1:9" x14ac:dyDescent="0.2">
      <c r="A1132" s="10">
        <v>6712</v>
      </c>
      <c r="B1132" s="10">
        <v>45</v>
      </c>
      <c r="C1132" s="10" t="s">
        <v>1483</v>
      </c>
      <c r="D1132" s="10">
        <v>4503</v>
      </c>
      <c r="E1132" s="10" t="s">
        <v>1486</v>
      </c>
      <c r="F1132" s="11">
        <v>23097</v>
      </c>
      <c r="G1132" s="11">
        <v>23642</v>
      </c>
      <c r="H1132" s="11">
        <v>46739</v>
      </c>
      <c r="I1132" s="11">
        <v>13458</v>
      </c>
    </row>
    <row r="1133" spans="1:9" x14ac:dyDescent="0.2">
      <c r="A1133" s="10">
        <v>6712</v>
      </c>
      <c r="B1133" s="10">
        <v>45</v>
      </c>
      <c r="C1133" s="10" t="s">
        <v>1483</v>
      </c>
      <c r="D1133" s="10">
        <v>4504</v>
      </c>
      <c r="E1133" s="10" t="s">
        <v>1487</v>
      </c>
      <c r="F1133" s="11">
        <v>24867</v>
      </c>
      <c r="G1133" s="11">
        <v>25302</v>
      </c>
      <c r="H1133" s="11">
        <v>50169</v>
      </c>
      <c r="I1133" s="11">
        <v>14400</v>
      </c>
    </row>
    <row r="1134" spans="1:9" x14ac:dyDescent="0.2">
      <c r="A1134" s="10">
        <v>6712</v>
      </c>
      <c r="B1134" s="10">
        <v>45</v>
      </c>
      <c r="C1134" s="10" t="s">
        <v>1483</v>
      </c>
      <c r="D1134" s="10">
        <v>4505</v>
      </c>
      <c r="E1134" s="10" t="s">
        <v>1488</v>
      </c>
      <c r="F1134" s="11">
        <v>18446</v>
      </c>
      <c r="G1134" s="11">
        <v>18495</v>
      </c>
      <c r="H1134" s="11">
        <v>36941</v>
      </c>
      <c r="I1134" s="11">
        <v>11878</v>
      </c>
    </row>
    <row r="1135" spans="1:9" x14ac:dyDescent="0.2">
      <c r="A1135" s="10">
        <v>6712</v>
      </c>
      <c r="B1135" s="10">
        <v>45</v>
      </c>
      <c r="C1135" s="10" t="s">
        <v>1483</v>
      </c>
      <c r="D1135" s="10">
        <v>4506</v>
      </c>
      <c r="E1135" s="10" t="s">
        <v>1489</v>
      </c>
      <c r="F1135" s="11">
        <v>29234</v>
      </c>
      <c r="G1135" s="11">
        <v>29554</v>
      </c>
      <c r="H1135" s="11">
        <v>58788</v>
      </c>
      <c r="I1135" s="11">
        <v>18626</v>
      </c>
    </row>
    <row r="1136" spans="1:9" x14ac:dyDescent="0.2">
      <c r="A1136" s="10">
        <v>6712</v>
      </c>
      <c r="B1136" s="10">
        <v>45</v>
      </c>
      <c r="C1136" s="10" t="s">
        <v>1483</v>
      </c>
      <c r="D1136" s="10">
        <v>4507</v>
      </c>
      <c r="E1136" s="10" t="s">
        <v>1490</v>
      </c>
      <c r="F1136" s="11">
        <v>47594</v>
      </c>
      <c r="G1136" s="11">
        <v>48209</v>
      </c>
      <c r="H1136" s="11">
        <v>95803</v>
      </c>
      <c r="I1136" s="11">
        <v>30249</v>
      </c>
    </row>
    <row r="1137" spans="1:9" x14ac:dyDescent="0.2">
      <c r="A1137" s="10">
        <v>6712</v>
      </c>
      <c r="B1137" s="10">
        <v>45</v>
      </c>
      <c r="C1137" s="10" t="s">
        <v>1483</v>
      </c>
      <c r="D1137" s="10">
        <v>4508</v>
      </c>
      <c r="E1137" s="10" t="s">
        <v>1491</v>
      </c>
      <c r="F1137" s="11">
        <v>13319</v>
      </c>
      <c r="G1137" s="11">
        <v>13555</v>
      </c>
      <c r="H1137" s="11">
        <v>26874</v>
      </c>
      <c r="I1137" s="11">
        <v>8007</v>
      </c>
    </row>
    <row r="1138" spans="1:9" x14ac:dyDescent="0.2">
      <c r="A1138" s="10">
        <v>6712</v>
      </c>
      <c r="B1138" s="10">
        <v>45</v>
      </c>
      <c r="C1138" s="10" t="s">
        <v>1483</v>
      </c>
      <c r="D1138" s="10">
        <v>4509</v>
      </c>
      <c r="E1138" s="10" t="s">
        <v>1492</v>
      </c>
      <c r="F1138" s="11">
        <v>29781</v>
      </c>
      <c r="G1138" s="11">
        <v>29705</v>
      </c>
      <c r="H1138" s="11">
        <v>59486</v>
      </c>
      <c r="I1138" s="11">
        <v>17321</v>
      </c>
    </row>
    <row r="1139" spans="1:9" x14ac:dyDescent="0.2">
      <c r="A1139" s="10">
        <v>6712</v>
      </c>
      <c r="B1139" s="10">
        <v>45</v>
      </c>
      <c r="C1139" s="10" t="s">
        <v>1483</v>
      </c>
      <c r="D1139" s="10">
        <v>4510</v>
      </c>
      <c r="E1139" s="10" t="s">
        <v>1493</v>
      </c>
      <c r="F1139" s="11">
        <v>43910</v>
      </c>
      <c r="G1139" s="11">
        <v>44789</v>
      </c>
      <c r="H1139" s="11">
        <v>88699</v>
      </c>
      <c r="I1139" s="11">
        <v>26076</v>
      </c>
    </row>
    <row r="1140" spans="1:9" x14ac:dyDescent="0.2">
      <c r="A1140" s="10">
        <v>6712</v>
      </c>
      <c r="B1140" s="10">
        <v>45</v>
      </c>
      <c r="C1140" s="10" t="s">
        <v>1483</v>
      </c>
      <c r="D1140" s="10">
        <v>4511</v>
      </c>
      <c r="E1140" s="10" t="s">
        <v>1494</v>
      </c>
      <c r="F1140" s="11">
        <v>51319</v>
      </c>
      <c r="G1140" s="11">
        <v>52259</v>
      </c>
      <c r="H1140" s="11">
        <v>103578</v>
      </c>
      <c r="I1140" s="11">
        <v>31239</v>
      </c>
    </row>
    <row r="1141" spans="1:9" x14ac:dyDescent="0.2">
      <c r="A1141" s="10">
        <v>6712</v>
      </c>
      <c r="B1141" s="10">
        <v>45</v>
      </c>
      <c r="C1141" s="10" t="s">
        <v>1483</v>
      </c>
      <c r="D1141" s="10">
        <v>4512</v>
      </c>
      <c r="E1141" s="10" t="s">
        <v>1495</v>
      </c>
      <c r="F1141" s="11">
        <v>6686</v>
      </c>
      <c r="G1141" s="11">
        <v>6755</v>
      </c>
      <c r="H1141" s="11">
        <v>13441</v>
      </c>
      <c r="I1141" s="11">
        <v>3927</v>
      </c>
    </row>
    <row r="1142" spans="1:9" x14ac:dyDescent="0.2">
      <c r="A1142" s="10">
        <v>6712</v>
      </c>
      <c r="B1142" s="10">
        <v>45</v>
      </c>
      <c r="C1142" s="10" t="s">
        <v>1483</v>
      </c>
      <c r="D1142" s="10">
        <v>4513</v>
      </c>
      <c r="E1142" s="10" t="s">
        <v>1496</v>
      </c>
      <c r="F1142" s="11">
        <v>10938</v>
      </c>
      <c r="G1142" s="11">
        <v>11037</v>
      </c>
      <c r="H1142" s="11">
        <v>21975</v>
      </c>
      <c r="I1142" s="11">
        <v>5374</v>
      </c>
    </row>
    <row r="1143" spans="1:9" x14ac:dyDescent="0.2">
      <c r="A1143" s="10">
        <v>6712</v>
      </c>
      <c r="B1143" s="10">
        <v>45</v>
      </c>
      <c r="C1143" s="10" t="s">
        <v>1483</v>
      </c>
      <c r="D1143" s="10">
        <v>4514</v>
      </c>
      <c r="E1143" s="10" t="s">
        <v>1497</v>
      </c>
      <c r="F1143" s="11">
        <v>34157</v>
      </c>
      <c r="G1143" s="11">
        <v>34400</v>
      </c>
      <c r="H1143" s="11">
        <v>68557</v>
      </c>
      <c r="I1143" s="11">
        <v>19783</v>
      </c>
    </row>
    <row r="1144" spans="1:9" x14ac:dyDescent="0.2">
      <c r="A1144" s="10">
        <v>6712</v>
      </c>
      <c r="B1144" s="10">
        <v>45</v>
      </c>
      <c r="C1144" s="10" t="s">
        <v>1483</v>
      </c>
      <c r="D1144" s="10">
        <v>4515</v>
      </c>
      <c r="E1144" s="10" t="s">
        <v>1498</v>
      </c>
      <c r="F1144" s="11">
        <v>11254</v>
      </c>
      <c r="G1144" s="11">
        <v>11550</v>
      </c>
      <c r="H1144" s="11">
        <v>22804</v>
      </c>
      <c r="I1144" s="11">
        <v>7235</v>
      </c>
    </row>
    <row r="1145" spans="1:9" x14ac:dyDescent="0.2">
      <c r="A1145" s="10">
        <v>6712</v>
      </c>
      <c r="B1145" s="10">
        <v>45</v>
      </c>
      <c r="C1145" s="10" t="s">
        <v>1483</v>
      </c>
      <c r="D1145" s="10">
        <v>4516</v>
      </c>
      <c r="E1145" s="10" t="s">
        <v>1499</v>
      </c>
      <c r="F1145" s="11">
        <v>18110</v>
      </c>
      <c r="G1145" s="11">
        <v>17255</v>
      </c>
      <c r="H1145" s="11">
        <v>35365</v>
      </c>
      <c r="I1145" s="11">
        <v>11609</v>
      </c>
    </row>
    <row r="1146" spans="1:9" x14ac:dyDescent="0.2">
      <c r="A1146" s="10">
        <v>6712</v>
      </c>
      <c r="B1146" s="10">
        <v>45</v>
      </c>
      <c r="C1146" s="10" t="s">
        <v>1483</v>
      </c>
      <c r="D1146" s="10">
        <v>4517</v>
      </c>
      <c r="E1146" s="10" t="s">
        <v>1500</v>
      </c>
      <c r="F1146" s="11">
        <v>18647</v>
      </c>
      <c r="G1146" s="11">
        <v>19432</v>
      </c>
      <c r="H1146" s="11">
        <v>38079</v>
      </c>
      <c r="I1146" s="11">
        <v>12698</v>
      </c>
    </row>
    <row r="1147" spans="1:9" x14ac:dyDescent="0.2">
      <c r="A1147" s="10">
        <v>6712</v>
      </c>
      <c r="B1147" s="10">
        <v>45</v>
      </c>
      <c r="C1147" s="10" t="s">
        <v>1483</v>
      </c>
      <c r="D1147" s="10">
        <v>4518</v>
      </c>
      <c r="E1147" s="10" t="s">
        <v>1501</v>
      </c>
      <c r="F1147" s="11">
        <v>13133</v>
      </c>
      <c r="G1147" s="11">
        <v>13678</v>
      </c>
      <c r="H1147" s="11">
        <v>26811</v>
      </c>
      <c r="I1147" s="11">
        <v>8624</v>
      </c>
    </row>
    <row r="1148" spans="1:9" x14ac:dyDescent="0.2">
      <c r="A1148" s="10">
        <v>6712</v>
      </c>
      <c r="B1148" s="10">
        <v>45</v>
      </c>
      <c r="C1148" s="10" t="s">
        <v>1483</v>
      </c>
      <c r="D1148" s="10">
        <v>4519</v>
      </c>
      <c r="E1148" s="10" t="s">
        <v>1502</v>
      </c>
      <c r="F1148" s="11">
        <v>11825</v>
      </c>
      <c r="G1148" s="11">
        <v>11983</v>
      </c>
      <c r="H1148" s="11">
        <v>23808</v>
      </c>
      <c r="I1148" s="11">
        <v>6788</v>
      </c>
    </row>
    <row r="1149" spans="1:9" x14ac:dyDescent="0.2">
      <c r="A1149" s="10">
        <v>6712</v>
      </c>
      <c r="B1149" s="10">
        <v>45</v>
      </c>
      <c r="C1149" s="10" t="s">
        <v>1483</v>
      </c>
      <c r="D1149" s="10">
        <v>4520</v>
      </c>
      <c r="E1149" s="10" t="s">
        <v>1503</v>
      </c>
      <c r="F1149" s="11">
        <v>11253</v>
      </c>
      <c r="G1149" s="11">
        <v>11537</v>
      </c>
      <c r="H1149" s="11">
        <v>22790</v>
      </c>
      <c r="I1149" s="11">
        <v>6745</v>
      </c>
    </row>
    <row r="1150" spans="1:9" x14ac:dyDescent="0.2">
      <c r="A1150" s="10">
        <v>6712</v>
      </c>
      <c r="B1150" s="10">
        <v>45</v>
      </c>
      <c r="C1150" s="10" t="s">
        <v>1483</v>
      </c>
      <c r="D1150" s="10">
        <v>4565</v>
      </c>
      <c r="E1150" s="10" t="s">
        <v>1504</v>
      </c>
      <c r="F1150" s="11">
        <v>3384</v>
      </c>
      <c r="G1150" s="11">
        <v>3443</v>
      </c>
      <c r="H1150" s="11">
        <v>6827</v>
      </c>
      <c r="I1150" s="11">
        <v>3349</v>
      </c>
    </row>
    <row r="1151" spans="1:9" x14ac:dyDescent="0.2">
      <c r="A1151" s="10">
        <v>6712</v>
      </c>
      <c r="B1151" s="10">
        <v>45</v>
      </c>
      <c r="C1151" s="10" t="s">
        <v>1483</v>
      </c>
      <c r="D1151" s="10">
        <v>4566</v>
      </c>
      <c r="E1151" s="10" t="s">
        <v>1505</v>
      </c>
      <c r="F1151" s="11">
        <v>2578</v>
      </c>
      <c r="G1151" s="11">
        <v>2740</v>
      </c>
      <c r="H1151" s="11">
        <v>5318</v>
      </c>
      <c r="I1151" s="11">
        <v>2223</v>
      </c>
    </row>
    <row r="1152" spans="1:9" x14ac:dyDescent="0.2">
      <c r="A1152" s="10">
        <v>6712</v>
      </c>
      <c r="B1152" s="10">
        <v>45</v>
      </c>
      <c r="C1152" s="10" t="s">
        <v>1483</v>
      </c>
      <c r="D1152" s="10">
        <v>4569</v>
      </c>
      <c r="E1152" s="10" t="s">
        <v>1447</v>
      </c>
      <c r="F1152" s="11">
        <v>3225</v>
      </c>
      <c r="G1152" s="11">
        <v>3270</v>
      </c>
      <c r="H1152" s="11">
        <v>6495</v>
      </c>
      <c r="I1152" s="11">
        <v>1815</v>
      </c>
    </row>
    <row r="1153" spans="1:9" x14ac:dyDescent="0.2">
      <c r="A1153" s="10">
        <v>6712</v>
      </c>
      <c r="B1153" s="10">
        <v>45</v>
      </c>
      <c r="C1153" s="10" t="s">
        <v>1483</v>
      </c>
      <c r="D1153" s="10">
        <v>4570</v>
      </c>
      <c r="E1153" s="10" t="s">
        <v>1506</v>
      </c>
      <c r="F1153" s="11">
        <v>3266</v>
      </c>
      <c r="G1153" s="11">
        <v>3414</v>
      </c>
      <c r="H1153" s="11">
        <v>6680</v>
      </c>
      <c r="I1153" s="11">
        <v>2073</v>
      </c>
    </row>
    <row r="1154" spans="1:9" x14ac:dyDescent="0.2">
      <c r="A1154" s="10">
        <v>6712</v>
      </c>
      <c r="B1154" s="10">
        <v>45</v>
      </c>
      <c r="C1154" s="10" t="s">
        <v>1483</v>
      </c>
      <c r="D1154" s="10">
        <v>4571</v>
      </c>
      <c r="E1154" s="10" t="s">
        <v>1507</v>
      </c>
      <c r="F1154" s="11">
        <v>3134</v>
      </c>
      <c r="G1154" s="11">
        <v>3031</v>
      </c>
      <c r="H1154" s="11">
        <v>6165</v>
      </c>
      <c r="I1154" s="11">
        <v>1659</v>
      </c>
    </row>
    <row r="1155" spans="1:9" x14ac:dyDescent="0.2">
      <c r="A1155" s="10">
        <v>6712</v>
      </c>
      <c r="B1155" s="10">
        <v>45</v>
      </c>
      <c r="C1155" s="10" t="s">
        <v>1483</v>
      </c>
      <c r="D1155" s="10">
        <v>4572</v>
      </c>
      <c r="E1155" s="10" t="s">
        <v>1508</v>
      </c>
      <c r="F1155" s="11">
        <v>4222</v>
      </c>
      <c r="G1155" s="11">
        <v>4463</v>
      </c>
      <c r="H1155" s="11">
        <v>8685</v>
      </c>
      <c r="I1155" s="11">
        <v>2269</v>
      </c>
    </row>
    <row r="1156" spans="1:9" x14ac:dyDescent="0.2">
      <c r="A1156" s="10">
        <v>6712</v>
      </c>
      <c r="B1156" s="10">
        <v>45</v>
      </c>
      <c r="C1156" s="10" t="s">
        <v>1483</v>
      </c>
      <c r="D1156" s="10">
        <v>4573</v>
      </c>
      <c r="E1156" s="10" t="s">
        <v>1509</v>
      </c>
      <c r="F1156" s="11">
        <v>4208</v>
      </c>
      <c r="G1156" s="11">
        <v>4419</v>
      </c>
      <c r="H1156" s="11">
        <v>8627</v>
      </c>
      <c r="I1156" s="11">
        <v>2515</v>
      </c>
    </row>
    <row r="1157" spans="1:9" x14ac:dyDescent="0.2">
      <c r="A1157" s="10">
        <v>6712</v>
      </c>
      <c r="B1157" s="10">
        <v>45</v>
      </c>
      <c r="C1157" s="10" t="s">
        <v>1483</v>
      </c>
      <c r="D1157" s="10">
        <v>4574</v>
      </c>
      <c r="E1157" s="10" t="s">
        <v>1510</v>
      </c>
      <c r="F1157" s="11">
        <v>3566</v>
      </c>
      <c r="G1157" s="11">
        <v>3682</v>
      </c>
      <c r="H1157" s="11">
        <v>7248</v>
      </c>
      <c r="I1157" s="11">
        <v>2178</v>
      </c>
    </row>
    <row r="1158" spans="1:9" x14ac:dyDescent="0.2">
      <c r="A1158" s="10">
        <v>6712</v>
      </c>
      <c r="B1158" s="10">
        <v>45</v>
      </c>
      <c r="C1158" s="10" t="s">
        <v>1483</v>
      </c>
      <c r="D1158" s="10">
        <v>4575</v>
      </c>
      <c r="E1158" s="10" t="s">
        <v>1511</v>
      </c>
      <c r="F1158" s="11">
        <v>3935</v>
      </c>
      <c r="G1158" s="11">
        <v>4182</v>
      </c>
      <c r="H1158" s="11">
        <v>8117</v>
      </c>
      <c r="I1158" s="11">
        <v>2842</v>
      </c>
    </row>
    <row r="1159" spans="1:9" x14ac:dyDescent="0.2">
      <c r="A1159" s="10">
        <v>6712</v>
      </c>
      <c r="B1159" s="10">
        <v>45</v>
      </c>
      <c r="C1159" s="10" t="s">
        <v>1483</v>
      </c>
      <c r="D1159" s="10">
        <v>4576</v>
      </c>
      <c r="E1159" s="10" t="s">
        <v>1512</v>
      </c>
      <c r="F1159" s="11">
        <v>3528</v>
      </c>
      <c r="G1159" s="11">
        <v>3664</v>
      </c>
      <c r="H1159" s="11">
        <v>7192</v>
      </c>
      <c r="I1159" s="11">
        <v>2124</v>
      </c>
    </row>
    <row r="1160" spans="1:9" x14ac:dyDescent="0.2">
      <c r="A1160" s="10">
        <v>6712</v>
      </c>
      <c r="B1160" s="10">
        <v>45</v>
      </c>
      <c r="C1160" s="10" t="s">
        <v>1483</v>
      </c>
      <c r="D1160" s="10">
        <v>4577</v>
      </c>
      <c r="E1160" s="10" t="s">
        <v>1513</v>
      </c>
      <c r="F1160" s="11">
        <v>3426</v>
      </c>
      <c r="G1160" s="11">
        <v>3758</v>
      </c>
      <c r="H1160" s="11">
        <v>7184</v>
      </c>
      <c r="I1160" s="11">
        <v>2547</v>
      </c>
    </row>
    <row r="1161" spans="1:9" x14ac:dyDescent="0.2">
      <c r="A1161" s="10">
        <v>6712</v>
      </c>
      <c r="B1161" s="10">
        <v>45</v>
      </c>
      <c r="C1161" s="10" t="s">
        <v>1483</v>
      </c>
      <c r="D1161" s="10">
        <v>4578</v>
      </c>
      <c r="E1161" s="10" t="s">
        <v>1514</v>
      </c>
      <c r="F1161" s="11">
        <v>4048</v>
      </c>
      <c r="G1161" s="11">
        <v>4225</v>
      </c>
      <c r="H1161" s="11">
        <v>8273</v>
      </c>
      <c r="I1161" s="11">
        <v>2917</v>
      </c>
    </row>
    <row r="1162" spans="1:9" x14ac:dyDescent="0.2">
      <c r="A1162" s="10">
        <v>6712</v>
      </c>
      <c r="B1162" s="10">
        <v>45</v>
      </c>
      <c r="C1162" s="10" t="s">
        <v>1483</v>
      </c>
      <c r="D1162" s="10">
        <v>4579</v>
      </c>
      <c r="E1162" s="10" t="s">
        <v>1515</v>
      </c>
      <c r="F1162" s="11">
        <v>4625</v>
      </c>
      <c r="G1162" s="11">
        <v>4521</v>
      </c>
      <c r="H1162" s="11">
        <v>9146</v>
      </c>
      <c r="I1162" s="11">
        <v>2770</v>
      </c>
    </row>
    <row r="1163" spans="1:9" x14ac:dyDescent="0.2">
      <c r="A1163" s="10">
        <v>6712</v>
      </c>
      <c r="B1163" s="10">
        <v>45</v>
      </c>
      <c r="C1163" s="10" t="s">
        <v>1483</v>
      </c>
      <c r="D1163" s="10">
        <v>4580</v>
      </c>
      <c r="E1163" s="10" t="s">
        <v>1516</v>
      </c>
      <c r="F1163" s="11">
        <v>4067</v>
      </c>
      <c r="G1163" s="11">
        <v>4076</v>
      </c>
      <c r="H1163" s="11">
        <v>8143</v>
      </c>
      <c r="I1163" s="11">
        <v>2209</v>
      </c>
    </row>
    <row r="1164" spans="1:9" x14ac:dyDescent="0.2">
      <c r="A1164" s="10">
        <v>6712</v>
      </c>
      <c r="B1164" s="10">
        <v>45</v>
      </c>
      <c r="C1164" s="10" t="s">
        <v>1483</v>
      </c>
      <c r="D1164" s="10">
        <v>4581</v>
      </c>
      <c r="E1164" s="10" t="s">
        <v>1517</v>
      </c>
      <c r="F1164" s="11">
        <v>2633</v>
      </c>
      <c r="G1164" s="11">
        <v>2660</v>
      </c>
      <c r="H1164" s="11">
        <v>5293</v>
      </c>
      <c r="I1164" s="11">
        <v>1553</v>
      </c>
    </row>
    <row r="1165" spans="1:9" x14ac:dyDescent="0.2">
      <c r="A1165" s="10">
        <v>6712</v>
      </c>
      <c r="B1165" s="10">
        <v>45</v>
      </c>
      <c r="C1165" s="10" t="s">
        <v>1483</v>
      </c>
      <c r="D1165" s="10">
        <v>4583</v>
      </c>
      <c r="E1165" s="10" t="s">
        <v>1518</v>
      </c>
      <c r="F1165" s="11">
        <v>1893</v>
      </c>
      <c r="G1165" s="11">
        <v>2020</v>
      </c>
      <c r="H1165" s="11">
        <v>3913</v>
      </c>
      <c r="I1165" s="11">
        <v>1868</v>
      </c>
    </row>
    <row r="1166" spans="1:9" x14ac:dyDescent="0.2">
      <c r="A1166" s="10">
        <v>6712</v>
      </c>
      <c r="B1166" s="10">
        <v>45</v>
      </c>
      <c r="C1166" s="10" t="s">
        <v>1483</v>
      </c>
      <c r="D1166" s="10">
        <v>4584</v>
      </c>
      <c r="E1166" s="10" t="s">
        <v>1519</v>
      </c>
      <c r="F1166" s="11">
        <v>2727</v>
      </c>
      <c r="G1166" s="11">
        <v>2819</v>
      </c>
      <c r="H1166" s="11">
        <v>5546</v>
      </c>
      <c r="I1166" s="11">
        <v>2159</v>
      </c>
    </row>
    <row r="1167" spans="1:9" x14ac:dyDescent="0.2">
      <c r="A1167" s="10">
        <v>6712</v>
      </c>
      <c r="B1167" s="10">
        <v>45</v>
      </c>
      <c r="C1167" s="10" t="s">
        <v>1483</v>
      </c>
      <c r="D1167" s="10">
        <v>4585</v>
      </c>
      <c r="E1167" s="10" t="s">
        <v>1520</v>
      </c>
      <c r="F1167" s="11">
        <v>4633</v>
      </c>
      <c r="G1167" s="11">
        <v>4787</v>
      </c>
      <c r="H1167" s="11">
        <v>9420</v>
      </c>
      <c r="I1167" s="11">
        <v>3049</v>
      </c>
    </row>
    <row r="1168" spans="1:9" x14ac:dyDescent="0.2">
      <c r="A1168" s="10">
        <v>6712</v>
      </c>
      <c r="B1168" s="10">
        <v>45</v>
      </c>
      <c r="C1168" s="10" t="s">
        <v>1483</v>
      </c>
      <c r="D1168" s="10">
        <v>4586</v>
      </c>
      <c r="E1168" s="10" t="s">
        <v>1521</v>
      </c>
      <c r="F1168" s="11">
        <v>4091</v>
      </c>
      <c r="G1168" s="11">
        <v>4605</v>
      </c>
      <c r="H1168" s="11">
        <v>8696</v>
      </c>
      <c r="I1168" s="11">
        <v>4399</v>
      </c>
    </row>
    <row r="1169" spans="1:9" x14ac:dyDescent="0.2">
      <c r="A1169" s="10">
        <v>6712</v>
      </c>
      <c r="B1169" s="10">
        <v>45</v>
      </c>
      <c r="C1169" s="10" t="s">
        <v>1483</v>
      </c>
      <c r="D1169" s="10">
        <v>4587</v>
      </c>
      <c r="E1169" s="10" t="s">
        <v>1522</v>
      </c>
      <c r="F1169" s="11">
        <v>6113</v>
      </c>
      <c r="G1169" s="11">
        <v>6569</v>
      </c>
      <c r="H1169" s="11">
        <v>12682</v>
      </c>
      <c r="I1169" s="11">
        <v>5289</v>
      </c>
    </row>
    <row r="1170" spans="1:9" x14ac:dyDescent="0.2">
      <c r="A1170" s="10">
        <v>6712</v>
      </c>
      <c r="B1170" s="10">
        <v>45</v>
      </c>
      <c r="C1170" s="10" t="s">
        <v>1483</v>
      </c>
      <c r="D1170" s="10">
        <v>4588</v>
      </c>
      <c r="E1170" s="10" t="s">
        <v>1523</v>
      </c>
      <c r="F1170" s="11">
        <v>3064</v>
      </c>
      <c r="G1170" s="11">
        <v>3221</v>
      </c>
      <c r="H1170" s="11">
        <v>6285</v>
      </c>
      <c r="I1170" s="11">
        <v>2841</v>
      </c>
    </row>
    <row r="1171" spans="1:9" x14ac:dyDescent="0.2">
      <c r="A1171" s="10">
        <v>6712</v>
      </c>
      <c r="B1171" s="10">
        <v>45</v>
      </c>
      <c r="C1171" s="10" t="s">
        <v>1483</v>
      </c>
      <c r="D1171" s="10">
        <v>4589</v>
      </c>
      <c r="E1171" s="10" t="s">
        <v>1524</v>
      </c>
      <c r="F1171" s="11">
        <v>3980</v>
      </c>
      <c r="G1171" s="11">
        <v>4141</v>
      </c>
      <c r="H1171" s="11">
        <v>8121</v>
      </c>
      <c r="I1171" s="11">
        <v>2587</v>
      </c>
    </row>
    <row r="1172" spans="1:9" x14ac:dyDescent="0.2">
      <c r="A1172" s="10">
        <v>6712</v>
      </c>
      <c r="B1172" s="10">
        <v>45</v>
      </c>
      <c r="C1172" s="10" t="s">
        <v>1483</v>
      </c>
      <c r="D1172" s="10">
        <v>4590</v>
      </c>
      <c r="E1172" s="10" t="s">
        <v>1525</v>
      </c>
      <c r="F1172" s="11">
        <v>2541</v>
      </c>
      <c r="G1172" s="11">
        <v>2640</v>
      </c>
      <c r="H1172" s="11">
        <v>5181</v>
      </c>
      <c r="I1172" s="11">
        <v>1634</v>
      </c>
    </row>
    <row r="1173" spans="1:9" x14ac:dyDescent="0.2">
      <c r="A1173" s="10">
        <v>6712</v>
      </c>
      <c r="B1173" s="10">
        <v>45</v>
      </c>
      <c r="C1173" s="10" t="s">
        <v>1483</v>
      </c>
      <c r="D1173" s="10">
        <v>4591</v>
      </c>
      <c r="E1173" s="10" t="s">
        <v>1526</v>
      </c>
      <c r="F1173" s="11">
        <v>5427</v>
      </c>
      <c r="G1173" s="11">
        <v>5688</v>
      </c>
      <c r="H1173" s="11">
        <v>11115</v>
      </c>
      <c r="I1173" s="11">
        <v>5430</v>
      </c>
    </row>
    <row r="1174" spans="1:9" x14ac:dyDescent="0.2">
      <c r="A1174" s="10">
        <v>6712</v>
      </c>
      <c r="B1174" s="10">
        <v>45</v>
      </c>
      <c r="C1174" s="10" t="s">
        <v>1483</v>
      </c>
      <c r="D1174" s="10">
        <v>4592</v>
      </c>
      <c r="E1174" s="10" t="s">
        <v>1527</v>
      </c>
      <c r="F1174" s="11">
        <v>1905</v>
      </c>
      <c r="G1174" s="11">
        <v>2055</v>
      </c>
      <c r="H1174" s="11">
        <v>3960</v>
      </c>
      <c r="I1174" s="11">
        <v>1851</v>
      </c>
    </row>
    <row r="1175" spans="1:9" x14ac:dyDescent="0.2">
      <c r="A1175" s="10">
        <v>6712</v>
      </c>
      <c r="B1175" s="10">
        <v>45</v>
      </c>
      <c r="C1175" s="10" t="s">
        <v>1483</v>
      </c>
      <c r="D1175" s="10">
        <v>4593</v>
      </c>
      <c r="E1175" s="10" t="s">
        <v>1528</v>
      </c>
      <c r="F1175" s="11">
        <v>1164</v>
      </c>
      <c r="G1175" s="11">
        <v>1310</v>
      </c>
      <c r="H1175" s="11">
        <v>2474</v>
      </c>
      <c r="I1175" s="11">
        <v>1215</v>
      </c>
    </row>
    <row r="1176" spans="1:9" x14ac:dyDescent="0.2">
      <c r="A1176" s="10">
        <v>6712</v>
      </c>
      <c r="B1176" s="10">
        <v>45</v>
      </c>
      <c r="C1176" s="10" t="s">
        <v>1483</v>
      </c>
      <c r="D1176" s="10">
        <v>4594</v>
      </c>
      <c r="E1176" s="10" t="s">
        <v>1529</v>
      </c>
      <c r="F1176" s="11">
        <v>3652</v>
      </c>
      <c r="G1176" s="11">
        <v>3916</v>
      </c>
      <c r="H1176" s="11">
        <v>7568</v>
      </c>
      <c r="I1176" s="11">
        <v>2652</v>
      </c>
    </row>
    <row r="1177" spans="1:9" x14ac:dyDescent="0.2">
      <c r="A1177" s="10">
        <v>6712</v>
      </c>
      <c r="B1177" s="10">
        <v>45</v>
      </c>
      <c r="C1177" s="10" t="s">
        <v>1483</v>
      </c>
      <c r="D1177" s="10">
        <v>4595</v>
      </c>
      <c r="E1177" s="10" t="s">
        <v>1530</v>
      </c>
      <c r="F1177" s="11">
        <v>1752</v>
      </c>
      <c r="G1177" s="11">
        <v>1973</v>
      </c>
      <c r="H1177" s="11">
        <v>3725</v>
      </c>
      <c r="I1177" s="11">
        <v>1654</v>
      </c>
    </row>
    <row r="1178" spans="1:9" x14ac:dyDescent="0.2">
      <c r="A1178" s="10">
        <v>6712</v>
      </c>
      <c r="B1178" s="10">
        <v>45</v>
      </c>
      <c r="C1178" s="10" t="s">
        <v>1483</v>
      </c>
      <c r="D1178" s="10">
        <v>4596</v>
      </c>
      <c r="E1178" s="10" t="s">
        <v>1531</v>
      </c>
      <c r="F1178" s="11">
        <v>3040</v>
      </c>
      <c r="G1178" s="11">
        <v>3221</v>
      </c>
      <c r="H1178" s="11">
        <v>6261</v>
      </c>
      <c r="I1178" s="11">
        <v>2230</v>
      </c>
    </row>
    <row r="1179" spans="1:9" x14ac:dyDescent="0.2">
      <c r="A1179" s="10">
        <v>6712</v>
      </c>
      <c r="B1179" s="10">
        <v>45</v>
      </c>
      <c r="C1179" s="10" t="s">
        <v>1483</v>
      </c>
      <c r="D1179" s="10">
        <v>4597</v>
      </c>
      <c r="E1179" s="10" t="s">
        <v>1532</v>
      </c>
      <c r="F1179" s="11">
        <v>5039</v>
      </c>
      <c r="G1179" s="11">
        <v>5481</v>
      </c>
      <c r="H1179" s="11">
        <v>10520</v>
      </c>
      <c r="I1179" s="11">
        <v>5011</v>
      </c>
    </row>
    <row r="1180" spans="1:9" x14ac:dyDescent="0.2">
      <c r="A1180" s="10">
        <v>6712</v>
      </c>
      <c r="B1180" s="10">
        <v>45</v>
      </c>
      <c r="C1180" s="10" t="s">
        <v>1483</v>
      </c>
      <c r="D1180" s="10">
        <v>4598</v>
      </c>
      <c r="E1180" s="10" t="s">
        <v>1533</v>
      </c>
      <c r="F1180" s="11">
        <v>2174</v>
      </c>
      <c r="G1180" s="11">
        <v>2289</v>
      </c>
      <c r="H1180" s="11">
        <v>4463</v>
      </c>
      <c r="I1180" s="11">
        <v>1666</v>
      </c>
    </row>
    <row r="1181" spans="1:9" x14ac:dyDescent="0.2">
      <c r="A1181" s="10">
        <v>6712</v>
      </c>
      <c r="B1181" s="10">
        <v>45</v>
      </c>
      <c r="C1181" s="10" t="s">
        <v>1483</v>
      </c>
      <c r="D1181" s="10">
        <v>4599</v>
      </c>
      <c r="E1181" s="10" t="s">
        <v>1534</v>
      </c>
      <c r="F1181" s="11">
        <v>15038</v>
      </c>
      <c r="G1181" s="11">
        <v>17216</v>
      </c>
      <c r="H1181" s="11">
        <v>32254</v>
      </c>
      <c r="I1181" s="11">
        <v>16977</v>
      </c>
    </row>
    <row r="1182" spans="1:9" x14ac:dyDescent="0.2">
      <c r="A1182" s="10">
        <v>6712</v>
      </c>
      <c r="B1182" s="10">
        <v>46</v>
      </c>
      <c r="C1182" s="10" t="s">
        <v>1535</v>
      </c>
      <c r="D1182" s="10">
        <v>4601</v>
      </c>
      <c r="E1182" s="10" t="s">
        <v>1536</v>
      </c>
      <c r="F1182" s="11">
        <v>39537</v>
      </c>
      <c r="G1182" s="11">
        <v>41042</v>
      </c>
      <c r="H1182" s="11">
        <v>80579</v>
      </c>
      <c r="I1182" s="11">
        <v>27572</v>
      </c>
    </row>
    <row r="1183" spans="1:9" x14ac:dyDescent="0.2">
      <c r="A1183" s="10">
        <v>6712</v>
      </c>
      <c r="B1183" s="10">
        <v>46</v>
      </c>
      <c r="C1183" s="10" t="s">
        <v>1535</v>
      </c>
      <c r="D1183" s="10">
        <v>4602</v>
      </c>
      <c r="E1183" s="10" t="s">
        <v>1537</v>
      </c>
      <c r="F1183" s="11">
        <v>14490</v>
      </c>
      <c r="G1183" s="11">
        <v>14768</v>
      </c>
      <c r="H1183" s="11">
        <v>29258</v>
      </c>
      <c r="I1183" s="11">
        <v>9963</v>
      </c>
    </row>
    <row r="1184" spans="1:9" x14ac:dyDescent="0.2">
      <c r="A1184" s="10">
        <v>6712</v>
      </c>
      <c r="B1184" s="10">
        <v>46</v>
      </c>
      <c r="C1184" s="10" t="s">
        <v>1535</v>
      </c>
      <c r="D1184" s="10">
        <v>4603</v>
      </c>
      <c r="E1184" s="10" t="s">
        <v>1538</v>
      </c>
      <c r="F1184" s="11">
        <v>21825</v>
      </c>
      <c r="G1184" s="11">
        <v>22899</v>
      </c>
      <c r="H1184" s="11">
        <v>44724</v>
      </c>
      <c r="I1184" s="11">
        <v>12994</v>
      </c>
    </row>
    <row r="1185" spans="1:9" x14ac:dyDescent="0.2">
      <c r="A1185" s="10">
        <v>6712</v>
      </c>
      <c r="B1185" s="10">
        <v>46</v>
      </c>
      <c r="C1185" s="10" t="s">
        <v>1535</v>
      </c>
      <c r="D1185" s="10">
        <v>4604</v>
      </c>
      <c r="E1185" s="10" t="s">
        <v>1539</v>
      </c>
      <c r="F1185" s="11">
        <v>5089</v>
      </c>
      <c r="G1185" s="11">
        <v>5258</v>
      </c>
      <c r="H1185" s="11">
        <v>10347</v>
      </c>
      <c r="I1185" s="11">
        <v>3432</v>
      </c>
    </row>
    <row r="1186" spans="1:9" x14ac:dyDescent="0.2">
      <c r="A1186" s="10">
        <v>6712</v>
      </c>
      <c r="B1186" s="10">
        <v>46</v>
      </c>
      <c r="C1186" s="10" t="s">
        <v>1535</v>
      </c>
      <c r="D1186" s="10">
        <v>4605</v>
      </c>
      <c r="E1186" s="10" t="s">
        <v>1540</v>
      </c>
      <c r="F1186" s="11">
        <v>30590</v>
      </c>
      <c r="G1186" s="11">
        <v>30623</v>
      </c>
      <c r="H1186" s="11">
        <v>61213</v>
      </c>
      <c r="I1186" s="11">
        <v>22454</v>
      </c>
    </row>
    <row r="1187" spans="1:9" x14ac:dyDescent="0.2">
      <c r="A1187" s="10">
        <v>6712</v>
      </c>
      <c r="B1187" s="10">
        <v>46</v>
      </c>
      <c r="C1187" s="10" t="s">
        <v>1535</v>
      </c>
      <c r="D1187" s="10">
        <v>4606</v>
      </c>
      <c r="E1187" s="10" t="s">
        <v>1541</v>
      </c>
      <c r="F1187" s="11">
        <v>10265</v>
      </c>
      <c r="G1187" s="11">
        <v>10490</v>
      </c>
      <c r="H1187" s="11">
        <v>20755</v>
      </c>
      <c r="I1187" s="11">
        <v>9138</v>
      </c>
    </row>
    <row r="1188" spans="1:9" x14ac:dyDescent="0.2">
      <c r="A1188" s="10">
        <v>6712</v>
      </c>
      <c r="B1188" s="10">
        <v>46</v>
      </c>
      <c r="C1188" s="10" t="s">
        <v>1535</v>
      </c>
      <c r="D1188" s="10">
        <v>4607</v>
      </c>
      <c r="E1188" s="10" t="s">
        <v>1542</v>
      </c>
      <c r="F1188" s="11">
        <v>39400</v>
      </c>
      <c r="G1188" s="11">
        <v>41087</v>
      </c>
      <c r="H1188" s="11">
        <v>80487</v>
      </c>
      <c r="I1188" s="11">
        <v>25343</v>
      </c>
    </row>
    <row r="1189" spans="1:9" x14ac:dyDescent="0.2">
      <c r="A1189" s="10">
        <v>6712</v>
      </c>
      <c r="B1189" s="10">
        <v>46</v>
      </c>
      <c r="C1189" s="10" t="s">
        <v>1535</v>
      </c>
      <c r="D1189" s="10">
        <v>4608</v>
      </c>
      <c r="E1189" s="10" t="s">
        <v>1543</v>
      </c>
      <c r="F1189" s="11">
        <v>19955</v>
      </c>
      <c r="G1189" s="11">
        <v>19845</v>
      </c>
      <c r="H1189" s="11">
        <v>39800</v>
      </c>
      <c r="I1189" s="11">
        <v>12831</v>
      </c>
    </row>
    <row r="1190" spans="1:9" x14ac:dyDescent="0.2">
      <c r="A1190" s="10">
        <v>6712</v>
      </c>
      <c r="B1190" s="10">
        <v>46</v>
      </c>
      <c r="C1190" s="10" t="s">
        <v>1535</v>
      </c>
      <c r="D1190" s="10">
        <v>4609</v>
      </c>
      <c r="E1190" s="10" t="s">
        <v>1544</v>
      </c>
      <c r="F1190" s="11">
        <v>18506</v>
      </c>
      <c r="G1190" s="11">
        <v>18584</v>
      </c>
      <c r="H1190" s="11">
        <v>37090</v>
      </c>
      <c r="I1190" s="11">
        <v>11850</v>
      </c>
    </row>
    <row r="1191" spans="1:9" x14ac:dyDescent="0.2">
      <c r="A1191" s="10">
        <v>6712</v>
      </c>
      <c r="B1191" s="10">
        <v>46</v>
      </c>
      <c r="C1191" s="10" t="s">
        <v>1535</v>
      </c>
      <c r="D1191" s="10">
        <v>4610</v>
      </c>
      <c r="E1191" s="10" t="s">
        <v>1545</v>
      </c>
      <c r="F1191" s="11">
        <v>13287</v>
      </c>
      <c r="G1191" s="11">
        <v>13314</v>
      </c>
      <c r="H1191" s="11">
        <v>26601</v>
      </c>
      <c r="I1191" s="11">
        <v>7737</v>
      </c>
    </row>
    <row r="1192" spans="1:9" x14ac:dyDescent="0.2">
      <c r="A1192" s="10">
        <v>6712</v>
      </c>
      <c r="B1192" s="10">
        <v>46</v>
      </c>
      <c r="C1192" s="10" t="s">
        <v>1535</v>
      </c>
      <c r="D1192" s="10">
        <v>4611</v>
      </c>
      <c r="E1192" s="10" t="s">
        <v>1546</v>
      </c>
      <c r="F1192" s="11">
        <v>14181</v>
      </c>
      <c r="G1192" s="11">
        <v>14311</v>
      </c>
      <c r="H1192" s="11">
        <v>28492</v>
      </c>
      <c r="I1192" s="11">
        <v>8493</v>
      </c>
    </row>
    <row r="1193" spans="1:9" x14ac:dyDescent="0.2">
      <c r="A1193" s="10">
        <v>6712</v>
      </c>
      <c r="B1193" s="10">
        <v>46</v>
      </c>
      <c r="C1193" s="10" t="s">
        <v>1535</v>
      </c>
      <c r="D1193" s="10">
        <v>4612</v>
      </c>
      <c r="E1193" s="10" t="s">
        <v>1547</v>
      </c>
      <c r="F1193" s="11">
        <v>25391</v>
      </c>
      <c r="G1193" s="11">
        <v>25520</v>
      </c>
      <c r="H1193" s="11">
        <v>50911</v>
      </c>
      <c r="I1193" s="11">
        <v>16104</v>
      </c>
    </row>
    <row r="1194" spans="1:9" x14ac:dyDescent="0.2">
      <c r="A1194" s="10">
        <v>6712</v>
      </c>
      <c r="B1194" s="10">
        <v>46</v>
      </c>
      <c r="C1194" s="10" t="s">
        <v>1535</v>
      </c>
      <c r="D1194" s="10">
        <v>4613</v>
      </c>
      <c r="E1194" s="10" t="s">
        <v>1548</v>
      </c>
      <c r="F1194" s="11">
        <v>26992</v>
      </c>
      <c r="G1194" s="11">
        <v>27629</v>
      </c>
      <c r="H1194" s="11">
        <v>54621</v>
      </c>
      <c r="I1194" s="11">
        <v>19156</v>
      </c>
    </row>
    <row r="1195" spans="1:9" x14ac:dyDescent="0.2">
      <c r="A1195" s="10">
        <v>6712</v>
      </c>
      <c r="B1195" s="10">
        <v>46</v>
      </c>
      <c r="C1195" s="10" t="s">
        <v>1535</v>
      </c>
      <c r="D1195" s="10">
        <v>4614</v>
      </c>
      <c r="E1195" s="10" t="s">
        <v>1549</v>
      </c>
      <c r="F1195" s="11">
        <v>6853</v>
      </c>
      <c r="G1195" s="11">
        <v>7048</v>
      </c>
      <c r="H1195" s="11">
        <v>13901</v>
      </c>
      <c r="I1195" s="11">
        <v>4189</v>
      </c>
    </row>
    <row r="1196" spans="1:9" x14ac:dyDescent="0.2">
      <c r="A1196" s="10">
        <v>6712</v>
      </c>
      <c r="B1196" s="10">
        <v>46</v>
      </c>
      <c r="C1196" s="10" t="s">
        <v>1535</v>
      </c>
      <c r="D1196" s="10">
        <v>4615</v>
      </c>
      <c r="E1196" s="10" t="s">
        <v>1550</v>
      </c>
      <c r="F1196" s="11">
        <v>12711</v>
      </c>
      <c r="G1196" s="11">
        <v>12387</v>
      </c>
      <c r="H1196" s="11">
        <v>25098</v>
      </c>
      <c r="I1196" s="11">
        <v>8084</v>
      </c>
    </row>
    <row r="1197" spans="1:9" x14ac:dyDescent="0.2">
      <c r="A1197" s="10">
        <v>6712</v>
      </c>
      <c r="B1197" s="10">
        <v>46</v>
      </c>
      <c r="C1197" s="10" t="s">
        <v>1535</v>
      </c>
      <c r="D1197" s="10">
        <v>4616</v>
      </c>
      <c r="E1197" s="10" t="s">
        <v>1551</v>
      </c>
      <c r="F1197" s="11">
        <v>12647</v>
      </c>
      <c r="G1197" s="11">
        <v>12621</v>
      </c>
      <c r="H1197" s="11">
        <v>25268</v>
      </c>
      <c r="I1197" s="11">
        <v>8694</v>
      </c>
    </row>
    <row r="1198" spans="1:9" x14ac:dyDescent="0.2">
      <c r="A1198" s="10">
        <v>6712</v>
      </c>
      <c r="B1198" s="10">
        <v>46</v>
      </c>
      <c r="C1198" s="10" t="s">
        <v>1535</v>
      </c>
      <c r="D1198" s="10">
        <v>4617</v>
      </c>
      <c r="E1198" s="10" t="s">
        <v>1552</v>
      </c>
      <c r="F1198" s="11">
        <v>12832</v>
      </c>
      <c r="G1198" s="11">
        <v>13054</v>
      </c>
      <c r="H1198" s="11">
        <v>25886</v>
      </c>
      <c r="I1198" s="11">
        <v>8587</v>
      </c>
    </row>
    <row r="1199" spans="1:9" x14ac:dyDescent="0.2">
      <c r="A1199" s="10">
        <v>6712</v>
      </c>
      <c r="B1199" s="10">
        <v>46</v>
      </c>
      <c r="C1199" s="10" t="s">
        <v>1535</v>
      </c>
      <c r="D1199" s="10">
        <v>4618</v>
      </c>
      <c r="E1199" s="10" t="s">
        <v>1553</v>
      </c>
      <c r="F1199" s="11">
        <v>12962</v>
      </c>
      <c r="G1199" s="11">
        <v>13270</v>
      </c>
      <c r="H1199" s="11">
        <v>26232</v>
      </c>
      <c r="I1199" s="11">
        <v>7936</v>
      </c>
    </row>
    <row r="1200" spans="1:9" x14ac:dyDescent="0.2">
      <c r="A1200" s="10">
        <v>6712</v>
      </c>
      <c r="B1200" s="10">
        <v>46</v>
      </c>
      <c r="C1200" s="10" t="s">
        <v>1535</v>
      </c>
      <c r="D1200" s="10">
        <v>4665</v>
      </c>
      <c r="E1200" s="10" t="s">
        <v>1554</v>
      </c>
      <c r="F1200" s="11">
        <v>4715</v>
      </c>
      <c r="G1200" s="11">
        <v>4747</v>
      </c>
      <c r="H1200" s="11">
        <v>9462</v>
      </c>
      <c r="I1200" s="11">
        <v>2628</v>
      </c>
    </row>
    <row r="1201" spans="1:9" x14ac:dyDescent="0.2">
      <c r="A1201" s="10">
        <v>6712</v>
      </c>
      <c r="B1201" s="10">
        <v>46</v>
      </c>
      <c r="C1201" s="10" t="s">
        <v>1535</v>
      </c>
      <c r="D1201" s="10">
        <v>4666</v>
      </c>
      <c r="E1201" s="10" t="s">
        <v>1555</v>
      </c>
      <c r="F1201" s="11">
        <v>7138</v>
      </c>
      <c r="G1201" s="11">
        <v>6992</v>
      </c>
      <c r="H1201" s="11">
        <v>14130</v>
      </c>
      <c r="I1201" s="11">
        <v>3851</v>
      </c>
    </row>
    <row r="1202" spans="1:9" x14ac:dyDescent="0.2">
      <c r="A1202" s="10">
        <v>6712</v>
      </c>
      <c r="B1202" s="10">
        <v>46</v>
      </c>
      <c r="C1202" s="10" t="s">
        <v>1535</v>
      </c>
      <c r="D1202" s="10">
        <v>4667</v>
      </c>
      <c r="E1202" s="10" t="s">
        <v>1556</v>
      </c>
      <c r="F1202" s="11">
        <v>4162</v>
      </c>
      <c r="G1202" s="11">
        <v>4374</v>
      </c>
      <c r="H1202" s="11">
        <v>8536</v>
      </c>
      <c r="I1202" s="11">
        <v>2606</v>
      </c>
    </row>
    <row r="1203" spans="1:9" x14ac:dyDescent="0.2">
      <c r="A1203" s="10">
        <v>6712</v>
      </c>
      <c r="B1203" s="10">
        <v>46</v>
      </c>
      <c r="C1203" s="10" t="s">
        <v>1535</v>
      </c>
      <c r="D1203" s="10">
        <v>4669</v>
      </c>
      <c r="E1203" s="10" t="s">
        <v>1361</v>
      </c>
      <c r="F1203" s="11">
        <v>5966</v>
      </c>
      <c r="G1203" s="11">
        <v>6272</v>
      </c>
      <c r="H1203" s="11">
        <v>12238</v>
      </c>
      <c r="I1203" s="11">
        <v>3899</v>
      </c>
    </row>
    <row r="1204" spans="1:9" x14ac:dyDescent="0.2">
      <c r="A1204" s="10">
        <v>6712</v>
      </c>
      <c r="B1204" s="10">
        <v>46</v>
      </c>
      <c r="C1204" s="10" t="s">
        <v>1535</v>
      </c>
      <c r="D1204" s="10">
        <v>4670</v>
      </c>
      <c r="E1204" s="10" t="s">
        <v>1557</v>
      </c>
      <c r="F1204" s="11">
        <v>6182</v>
      </c>
      <c r="G1204" s="11">
        <v>6546</v>
      </c>
      <c r="H1204" s="11">
        <v>12728</v>
      </c>
      <c r="I1204" s="11">
        <v>4621</v>
      </c>
    </row>
    <row r="1205" spans="1:9" x14ac:dyDescent="0.2">
      <c r="A1205" s="10">
        <v>6712</v>
      </c>
      <c r="B1205" s="10">
        <v>46</v>
      </c>
      <c r="C1205" s="10" t="s">
        <v>1535</v>
      </c>
      <c r="D1205" s="10">
        <v>4671</v>
      </c>
      <c r="E1205" s="10" t="s">
        <v>1558</v>
      </c>
      <c r="F1205" s="11">
        <v>6413</v>
      </c>
      <c r="G1205" s="11">
        <v>6523</v>
      </c>
      <c r="H1205" s="11">
        <v>12936</v>
      </c>
      <c r="I1205" s="11">
        <v>3554</v>
      </c>
    </row>
    <row r="1206" spans="1:9" x14ac:dyDescent="0.2">
      <c r="A1206" s="10">
        <v>6712</v>
      </c>
      <c r="B1206" s="10">
        <v>46</v>
      </c>
      <c r="C1206" s="10" t="s">
        <v>1535</v>
      </c>
      <c r="D1206" s="10">
        <v>4672</v>
      </c>
      <c r="E1206" s="10" t="s">
        <v>1559</v>
      </c>
      <c r="F1206" s="11">
        <v>2040</v>
      </c>
      <c r="G1206" s="11">
        <v>2190</v>
      </c>
      <c r="H1206" s="11">
        <v>4230</v>
      </c>
      <c r="I1206" s="11">
        <v>1388</v>
      </c>
    </row>
    <row r="1207" spans="1:9" x14ac:dyDescent="0.2">
      <c r="A1207" s="10">
        <v>6712</v>
      </c>
      <c r="B1207" s="10">
        <v>46</v>
      </c>
      <c r="C1207" s="10" t="s">
        <v>1535</v>
      </c>
      <c r="D1207" s="10">
        <v>4673</v>
      </c>
      <c r="E1207" s="10" t="s">
        <v>1560</v>
      </c>
      <c r="F1207" s="11">
        <v>5151</v>
      </c>
      <c r="G1207" s="11">
        <v>5132</v>
      </c>
      <c r="H1207" s="11">
        <v>10283</v>
      </c>
      <c r="I1207" s="11">
        <v>3131</v>
      </c>
    </row>
    <row r="1208" spans="1:9" x14ac:dyDescent="0.2">
      <c r="A1208" s="10">
        <v>6712</v>
      </c>
      <c r="B1208" s="10">
        <v>46</v>
      </c>
      <c r="C1208" s="10" t="s">
        <v>1535</v>
      </c>
      <c r="D1208" s="10">
        <v>4674</v>
      </c>
      <c r="E1208" s="10" t="s">
        <v>1561</v>
      </c>
      <c r="F1208" s="11">
        <v>1350</v>
      </c>
      <c r="G1208" s="11">
        <v>1359</v>
      </c>
      <c r="H1208" s="11">
        <v>2709</v>
      </c>
      <c r="I1208" s="11">
        <v>1043</v>
      </c>
    </row>
    <row r="1209" spans="1:9" x14ac:dyDescent="0.2">
      <c r="A1209" s="10">
        <v>6712</v>
      </c>
      <c r="B1209" s="10">
        <v>46</v>
      </c>
      <c r="C1209" s="10" t="s">
        <v>1535</v>
      </c>
      <c r="D1209" s="10">
        <v>4675</v>
      </c>
      <c r="E1209" s="10" t="s">
        <v>1562</v>
      </c>
      <c r="F1209" s="11">
        <v>5730</v>
      </c>
      <c r="G1209" s="11">
        <v>5895</v>
      </c>
      <c r="H1209" s="11">
        <v>11625</v>
      </c>
      <c r="I1209" s="11">
        <v>3554</v>
      </c>
    </row>
    <row r="1210" spans="1:9" x14ac:dyDescent="0.2">
      <c r="A1210" s="10">
        <v>6712</v>
      </c>
      <c r="B1210" s="10">
        <v>46</v>
      </c>
      <c r="C1210" s="10" t="s">
        <v>1535</v>
      </c>
      <c r="D1210" s="10">
        <v>4676</v>
      </c>
      <c r="E1210" s="10" t="s">
        <v>1563</v>
      </c>
      <c r="F1210" s="11">
        <v>2430</v>
      </c>
      <c r="G1210" s="11">
        <v>2675</v>
      </c>
      <c r="H1210" s="11">
        <v>5105</v>
      </c>
      <c r="I1210" s="11">
        <v>1995</v>
      </c>
    </row>
    <row r="1211" spans="1:9" x14ac:dyDescent="0.2">
      <c r="A1211" s="10">
        <v>6712</v>
      </c>
      <c r="B1211" s="10">
        <v>46</v>
      </c>
      <c r="C1211" s="10" t="s">
        <v>1535</v>
      </c>
      <c r="D1211" s="10">
        <v>4677</v>
      </c>
      <c r="E1211" s="10" t="s">
        <v>1564</v>
      </c>
      <c r="F1211" s="11">
        <v>2716</v>
      </c>
      <c r="G1211" s="11">
        <v>2862</v>
      </c>
      <c r="H1211" s="11">
        <v>5578</v>
      </c>
      <c r="I1211" s="11">
        <v>2352</v>
      </c>
    </row>
    <row r="1212" spans="1:9" x14ac:dyDescent="0.2">
      <c r="A1212" s="10">
        <v>6712</v>
      </c>
      <c r="B1212" s="10">
        <v>46</v>
      </c>
      <c r="C1212" s="10" t="s">
        <v>1535</v>
      </c>
      <c r="D1212" s="10">
        <v>4678</v>
      </c>
      <c r="E1212" s="10" t="s">
        <v>1565</v>
      </c>
      <c r="F1212" s="11">
        <v>3138</v>
      </c>
      <c r="G1212" s="11">
        <v>3393</v>
      </c>
      <c r="H1212" s="11">
        <v>6531</v>
      </c>
      <c r="I1212" s="11">
        <v>3490</v>
      </c>
    </row>
    <row r="1213" spans="1:9" x14ac:dyDescent="0.2">
      <c r="A1213" s="10">
        <v>6712</v>
      </c>
      <c r="B1213" s="10">
        <v>46</v>
      </c>
      <c r="C1213" s="10" t="s">
        <v>1535</v>
      </c>
      <c r="D1213" s="10">
        <v>4679</v>
      </c>
      <c r="E1213" s="10" t="s">
        <v>1422</v>
      </c>
      <c r="F1213" s="11">
        <v>2607</v>
      </c>
      <c r="G1213" s="11">
        <v>2666</v>
      </c>
      <c r="H1213" s="11">
        <v>5273</v>
      </c>
      <c r="I1213" s="11">
        <v>1697</v>
      </c>
    </row>
    <row r="1214" spans="1:9" x14ac:dyDescent="0.2">
      <c r="A1214" s="10">
        <v>6712</v>
      </c>
      <c r="B1214" s="10">
        <v>46</v>
      </c>
      <c r="C1214" s="10" t="s">
        <v>1535</v>
      </c>
      <c r="D1214" s="10">
        <v>4680</v>
      </c>
      <c r="E1214" s="10" t="s">
        <v>1566</v>
      </c>
      <c r="F1214" s="11">
        <v>4288</v>
      </c>
      <c r="G1214" s="11">
        <v>4449</v>
      </c>
      <c r="H1214" s="11">
        <v>8737</v>
      </c>
      <c r="I1214" s="11">
        <v>3586</v>
      </c>
    </row>
    <row r="1215" spans="1:9" x14ac:dyDescent="0.2">
      <c r="A1215" s="10">
        <v>6712</v>
      </c>
      <c r="B1215" s="10">
        <v>46</v>
      </c>
      <c r="C1215" s="10" t="s">
        <v>1535</v>
      </c>
      <c r="D1215" s="10">
        <v>4681</v>
      </c>
      <c r="E1215" s="10" t="s">
        <v>1567</v>
      </c>
      <c r="F1215" s="11">
        <v>4414</v>
      </c>
      <c r="G1215" s="11">
        <v>4586</v>
      </c>
      <c r="H1215" s="11">
        <v>9000</v>
      </c>
      <c r="I1215" s="11">
        <v>3096</v>
      </c>
    </row>
    <row r="1216" spans="1:9" x14ac:dyDescent="0.2">
      <c r="A1216" s="10">
        <v>6712</v>
      </c>
      <c r="B1216" s="10">
        <v>46</v>
      </c>
      <c r="C1216" s="10" t="s">
        <v>1535</v>
      </c>
      <c r="D1216" s="10">
        <v>4682</v>
      </c>
      <c r="E1216" s="10" t="s">
        <v>1568</v>
      </c>
      <c r="F1216" s="11">
        <v>1847</v>
      </c>
      <c r="G1216" s="11">
        <v>1875</v>
      </c>
      <c r="H1216" s="11">
        <v>3722</v>
      </c>
      <c r="I1216" s="11">
        <v>1145</v>
      </c>
    </row>
    <row r="1217" spans="1:9" x14ac:dyDescent="0.2">
      <c r="A1217" s="10">
        <v>6712</v>
      </c>
      <c r="B1217" s="10">
        <v>46</v>
      </c>
      <c r="C1217" s="10" t="s">
        <v>1535</v>
      </c>
      <c r="D1217" s="10">
        <v>4683</v>
      </c>
      <c r="E1217" s="10" t="s">
        <v>1569</v>
      </c>
      <c r="F1217" s="11">
        <v>1915</v>
      </c>
      <c r="G1217" s="11">
        <v>1962</v>
      </c>
      <c r="H1217" s="11">
        <v>3877</v>
      </c>
      <c r="I1217" s="11">
        <v>1798</v>
      </c>
    </row>
    <row r="1218" spans="1:9" x14ac:dyDescent="0.2">
      <c r="A1218" s="10">
        <v>6712</v>
      </c>
      <c r="B1218" s="10">
        <v>46</v>
      </c>
      <c r="C1218" s="10" t="s">
        <v>1535</v>
      </c>
      <c r="D1218" s="10">
        <v>4684</v>
      </c>
      <c r="E1218" s="10" t="s">
        <v>1570</v>
      </c>
      <c r="F1218" s="11">
        <v>2401</v>
      </c>
      <c r="G1218" s="11">
        <v>2652</v>
      </c>
      <c r="H1218" s="11">
        <v>5053</v>
      </c>
      <c r="I1218" s="11">
        <v>2130</v>
      </c>
    </row>
    <row r="1219" spans="1:9" x14ac:dyDescent="0.2">
      <c r="A1219" s="10">
        <v>6712</v>
      </c>
      <c r="B1219" s="10">
        <v>46</v>
      </c>
      <c r="C1219" s="10" t="s">
        <v>1535</v>
      </c>
      <c r="D1219" s="10">
        <v>4685</v>
      </c>
      <c r="E1219" s="10" t="s">
        <v>1571</v>
      </c>
      <c r="F1219" s="11">
        <v>2711</v>
      </c>
      <c r="G1219" s="11">
        <v>2852</v>
      </c>
      <c r="H1219" s="11">
        <v>5563</v>
      </c>
      <c r="I1219" s="11">
        <v>2352</v>
      </c>
    </row>
    <row r="1220" spans="1:9" x14ac:dyDescent="0.2">
      <c r="A1220" s="10">
        <v>6712</v>
      </c>
      <c r="B1220" s="10">
        <v>46</v>
      </c>
      <c r="C1220" s="10" t="s">
        <v>1535</v>
      </c>
      <c r="D1220" s="10">
        <v>4686</v>
      </c>
      <c r="E1220" s="10" t="s">
        <v>1572</v>
      </c>
      <c r="F1220" s="11">
        <v>2426</v>
      </c>
      <c r="G1220" s="11">
        <v>2491</v>
      </c>
      <c r="H1220" s="11">
        <v>4917</v>
      </c>
      <c r="I1220" s="11">
        <v>1695</v>
      </c>
    </row>
    <row r="1221" spans="1:9" x14ac:dyDescent="0.2">
      <c r="A1221" s="10">
        <v>6712</v>
      </c>
      <c r="B1221" s="10">
        <v>46</v>
      </c>
      <c r="C1221" s="10" t="s">
        <v>1535</v>
      </c>
      <c r="D1221" s="10">
        <v>4687</v>
      </c>
      <c r="E1221" s="10" t="s">
        <v>1573</v>
      </c>
      <c r="F1221" s="11">
        <v>3800</v>
      </c>
      <c r="G1221" s="11">
        <v>4311</v>
      </c>
      <c r="H1221" s="11">
        <v>8111</v>
      </c>
      <c r="I1221" s="11">
        <v>3962</v>
      </c>
    </row>
    <row r="1222" spans="1:9" x14ac:dyDescent="0.2">
      <c r="A1222" s="10">
        <v>6712</v>
      </c>
      <c r="B1222" s="10">
        <v>46</v>
      </c>
      <c r="C1222" s="10" t="s">
        <v>1535</v>
      </c>
      <c r="D1222" s="10">
        <v>4688</v>
      </c>
      <c r="E1222" s="10" t="s">
        <v>1574</v>
      </c>
      <c r="F1222" s="11">
        <v>1509</v>
      </c>
      <c r="G1222" s="11">
        <v>1624</v>
      </c>
      <c r="H1222" s="11">
        <v>3133</v>
      </c>
      <c r="I1222" s="11">
        <v>1341</v>
      </c>
    </row>
    <row r="1223" spans="1:9" x14ac:dyDescent="0.2">
      <c r="A1223" s="10">
        <v>6712</v>
      </c>
      <c r="B1223" s="10">
        <v>46</v>
      </c>
      <c r="C1223" s="10" t="s">
        <v>1535</v>
      </c>
      <c r="D1223" s="10">
        <v>4689</v>
      </c>
      <c r="E1223" s="10" t="s">
        <v>1575</v>
      </c>
      <c r="F1223" s="11">
        <v>4768</v>
      </c>
      <c r="G1223" s="11">
        <v>4998</v>
      </c>
      <c r="H1223" s="11">
        <v>9766</v>
      </c>
      <c r="I1223" s="11">
        <v>4661</v>
      </c>
    </row>
    <row r="1224" spans="1:9" x14ac:dyDescent="0.2">
      <c r="A1224" s="10">
        <v>6712</v>
      </c>
      <c r="B1224" s="10">
        <v>46</v>
      </c>
      <c r="C1224" s="10" t="s">
        <v>1535</v>
      </c>
      <c r="D1224" s="10">
        <v>4690</v>
      </c>
      <c r="E1224" s="10" t="s">
        <v>1576</v>
      </c>
      <c r="F1224" s="11">
        <v>5407</v>
      </c>
      <c r="G1224" s="11">
        <v>5662</v>
      </c>
      <c r="H1224" s="11">
        <v>11069</v>
      </c>
      <c r="I1224" s="11">
        <v>5147</v>
      </c>
    </row>
    <row r="1225" spans="1:9" x14ac:dyDescent="0.2">
      <c r="A1225" s="10">
        <v>6712</v>
      </c>
      <c r="B1225" s="10">
        <v>46</v>
      </c>
      <c r="C1225" s="10" t="s">
        <v>1535</v>
      </c>
      <c r="D1225" s="10">
        <v>4691</v>
      </c>
      <c r="E1225" s="10" t="s">
        <v>1577</v>
      </c>
      <c r="F1225" s="11">
        <v>2457</v>
      </c>
      <c r="G1225" s="11">
        <v>2686</v>
      </c>
      <c r="H1225" s="11">
        <v>5143</v>
      </c>
      <c r="I1225" s="11">
        <v>2132</v>
      </c>
    </row>
    <row r="1226" spans="1:9" x14ac:dyDescent="0.2">
      <c r="A1226" s="10">
        <v>6712</v>
      </c>
      <c r="B1226" s="10">
        <v>46</v>
      </c>
      <c r="C1226" s="10" t="s">
        <v>1535</v>
      </c>
      <c r="D1226" s="10">
        <v>4692</v>
      </c>
      <c r="E1226" s="10" t="s">
        <v>1578</v>
      </c>
      <c r="F1226" s="11">
        <v>2893</v>
      </c>
      <c r="G1226" s="11">
        <v>3059</v>
      </c>
      <c r="H1226" s="11">
        <v>5952</v>
      </c>
      <c r="I1226" s="11">
        <v>2340</v>
      </c>
    </row>
    <row r="1227" spans="1:9" x14ac:dyDescent="0.2">
      <c r="A1227" s="10">
        <v>6712</v>
      </c>
      <c r="B1227" s="10">
        <v>46</v>
      </c>
      <c r="C1227" s="10" t="s">
        <v>1535</v>
      </c>
      <c r="D1227" s="10">
        <v>4693</v>
      </c>
      <c r="E1227" s="10" t="s">
        <v>1579</v>
      </c>
      <c r="F1227" s="11">
        <v>3212</v>
      </c>
      <c r="G1227" s="11">
        <v>3518</v>
      </c>
      <c r="H1227" s="11">
        <v>6730</v>
      </c>
      <c r="I1227" s="11">
        <v>2294</v>
      </c>
    </row>
    <row r="1228" spans="1:9" x14ac:dyDescent="0.2">
      <c r="A1228" s="10">
        <v>6712</v>
      </c>
      <c r="B1228" s="10">
        <v>46</v>
      </c>
      <c r="C1228" s="10" t="s">
        <v>1535</v>
      </c>
      <c r="D1228" s="10">
        <v>4694</v>
      </c>
      <c r="E1228" s="10" t="s">
        <v>1580</v>
      </c>
      <c r="F1228" s="11">
        <v>3059</v>
      </c>
      <c r="G1228" s="11">
        <v>3155</v>
      </c>
      <c r="H1228" s="11">
        <v>6214</v>
      </c>
      <c r="I1228" s="11">
        <v>1767</v>
      </c>
    </row>
    <row r="1229" spans="1:9" x14ac:dyDescent="0.2">
      <c r="A1229" s="10">
        <v>6712</v>
      </c>
      <c r="B1229" s="10">
        <v>46</v>
      </c>
      <c r="C1229" s="10" t="s">
        <v>1535</v>
      </c>
      <c r="D1229" s="10">
        <v>4695</v>
      </c>
      <c r="E1229" s="10" t="s">
        <v>1581</v>
      </c>
      <c r="F1229" s="11">
        <v>4496</v>
      </c>
      <c r="G1229" s="11">
        <v>5049</v>
      </c>
      <c r="H1229" s="11">
        <v>9545</v>
      </c>
      <c r="I1229" s="11">
        <v>3826</v>
      </c>
    </row>
    <row r="1230" spans="1:9" x14ac:dyDescent="0.2">
      <c r="A1230" s="10">
        <v>6712</v>
      </c>
      <c r="B1230" s="10">
        <v>46</v>
      </c>
      <c r="C1230" s="10" t="s">
        <v>1535</v>
      </c>
      <c r="D1230" s="10">
        <v>4696</v>
      </c>
      <c r="E1230" s="10" t="s">
        <v>1582</v>
      </c>
      <c r="F1230" s="11">
        <v>3366</v>
      </c>
      <c r="G1230" s="11">
        <v>3414</v>
      </c>
      <c r="H1230" s="11">
        <v>6780</v>
      </c>
      <c r="I1230" s="11">
        <v>2473</v>
      </c>
    </row>
    <row r="1231" spans="1:9" x14ac:dyDescent="0.2">
      <c r="A1231" s="10">
        <v>6712</v>
      </c>
      <c r="B1231" s="10">
        <v>46</v>
      </c>
      <c r="C1231" s="10" t="s">
        <v>1535</v>
      </c>
      <c r="D1231" s="10">
        <v>4697</v>
      </c>
      <c r="E1231" s="10" t="s">
        <v>1583</v>
      </c>
      <c r="F1231" s="11">
        <v>3459</v>
      </c>
      <c r="G1231" s="11">
        <v>3756</v>
      </c>
      <c r="H1231" s="11">
        <v>7215</v>
      </c>
      <c r="I1231" s="11">
        <v>2412</v>
      </c>
    </row>
    <row r="1232" spans="1:9" x14ac:dyDescent="0.2">
      <c r="A1232" s="10">
        <v>6712</v>
      </c>
      <c r="B1232" s="10">
        <v>46</v>
      </c>
      <c r="C1232" s="10" t="s">
        <v>1535</v>
      </c>
      <c r="D1232" s="10">
        <v>4698</v>
      </c>
      <c r="E1232" s="10" t="s">
        <v>1584</v>
      </c>
      <c r="F1232" s="11">
        <v>4160</v>
      </c>
      <c r="G1232" s="11">
        <v>4170</v>
      </c>
      <c r="H1232" s="11">
        <v>8330</v>
      </c>
      <c r="I1232" s="11">
        <v>2626</v>
      </c>
    </row>
    <row r="1233" spans="1:9" x14ac:dyDescent="0.2">
      <c r="A1233" s="10">
        <v>6712</v>
      </c>
      <c r="B1233" s="10">
        <v>46</v>
      </c>
      <c r="C1233" s="10" t="s">
        <v>1535</v>
      </c>
      <c r="D1233" s="10">
        <v>4699</v>
      </c>
      <c r="E1233" s="10" t="s">
        <v>1585</v>
      </c>
      <c r="F1233" s="11">
        <v>14694</v>
      </c>
      <c r="G1233" s="11">
        <v>16266</v>
      </c>
      <c r="H1233" s="11">
        <v>30960</v>
      </c>
      <c r="I1233" s="11">
        <v>16742</v>
      </c>
    </row>
    <row r="1234" spans="1:9" x14ac:dyDescent="0.2">
      <c r="A1234" s="10">
        <v>6712</v>
      </c>
      <c r="B1234" s="10">
        <v>47</v>
      </c>
      <c r="C1234" s="10" t="s">
        <v>1586</v>
      </c>
      <c r="D1234" s="10">
        <v>4701</v>
      </c>
      <c r="E1234" s="10" t="s">
        <v>1587</v>
      </c>
      <c r="F1234" s="11">
        <v>56605</v>
      </c>
      <c r="G1234" s="11">
        <v>58341</v>
      </c>
      <c r="H1234" s="11">
        <v>114946</v>
      </c>
      <c r="I1234" s="11">
        <v>45179</v>
      </c>
    </row>
    <row r="1235" spans="1:9" x14ac:dyDescent="0.2">
      <c r="A1235" s="10">
        <v>6712</v>
      </c>
      <c r="B1235" s="10">
        <v>47</v>
      </c>
      <c r="C1235" s="10" t="s">
        <v>1586</v>
      </c>
      <c r="D1235" s="10">
        <v>4702</v>
      </c>
      <c r="E1235" s="10" t="s">
        <v>1588</v>
      </c>
      <c r="F1235" s="11">
        <v>21714</v>
      </c>
      <c r="G1235" s="11">
        <v>21904</v>
      </c>
      <c r="H1235" s="11">
        <v>43618</v>
      </c>
      <c r="I1235" s="11">
        <v>14689</v>
      </c>
    </row>
    <row r="1236" spans="1:9" x14ac:dyDescent="0.2">
      <c r="A1236" s="10">
        <v>6712</v>
      </c>
      <c r="B1236" s="10">
        <v>47</v>
      </c>
      <c r="C1236" s="10" t="s">
        <v>1586</v>
      </c>
      <c r="D1236" s="10">
        <v>4703</v>
      </c>
      <c r="E1236" s="10" t="s">
        <v>1589</v>
      </c>
      <c r="F1236" s="11">
        <v>13816</v>
      </c>
      <c r="G1236" s="11">
        <v>13576</v>
      </c>
      <c r="H1236" s="11">
        <v>27392</v>
      </c>
      <c r="I1236" s="11">
        <v>9629</v>
      </c>
    </row>
    <row r="1237" spans="1:9" x14ac:dyDescent="0.2">
      <c r="A1237" s="10">
        <v>6712</v>
      </c>
      <c r="B1237" s="10">
        <v>47</v>
      </c>
      <c r="C1237" s="10" t="s">
        <v>1586</v>
      </c>
      <c r="D1237" s="10">
        <v>4704</v>
      </c>
      <c r="E1237" s="10" t="s">
        <v>1590</v>
      </c>
      <c r="F1237" s="11">
        <v>38210</v>
      </c>
      <c r="G1237" s="11">
        <v>38876</v>
      </c>
      <c r="H1237" s="11">
        <v>77086</v>
      </c>
      <c r="I1237" s="11">
        <v>28270</v>
      </c>
    </row>
    <row r="1238" spans="1:9" x14ac:dyDescent="0.2">
      <c r="A1238" s="10">
        <v>6712</v>
      </c>
      <c r="B1238" s="10">
        <v>47</v>
      </c>
      <c r="C1238" s="10" t="s">
        <v>1586</v>
      </c>
      <c r="D1238" s="10">
        <v>4705</v>
      </c>
      <c r="E1238" s="10" t="s">
        <v>1591</v>
      </c>
      <c r="F1238" s="11">
        <v>22483</v>
      </c>
      <c r="G1238" s="11">
        <v>23170</v>
      </c>
      <c r="H1238" s="11">
        <v>45653</v>
      </c>
      <c r="I1238" s="11">
        <v>18386</v>
      </c>
    </row>
    <row r="1239" spans="1:9" x14ac:dyDescent="0.2">
      <c r="A1239" s="10">
        <v>6712</v>
      </c>
      <c r="B1239" s="10">
        <v>47</v>
      </c>
      <c r="C1239" s="10" t="s">
        <v>1586</v>
      </c>
      <c r="D1239" s="10">
        <v>4706</v>
      </c>
      <c r="E1239" s="10" t="s">
        <v>1592</v>
      </c>
      <c r="F1239" s="11">
        <v>17538</v>
      </c>
      <c r="G1239" s="11">
        <v>18103</v>
      </c>
      <c r="H1239" s="11">
        <v>35641</v>
      </c>
      <c r="I1239" s="11">
        <v>12935</v>
      </c>
    </row>
    <row r="1240" spans="1:9" x14ac:dyDescent="0.2">
      <c r="A1240" s="10">
        <v>6712</v>
      </c>
      <c r="B1240" s="10">
        <v>47</v>
      </c>
      <c r="C1240" s="10" t="s">
        <v>1586</v>
      </c>
      <c r="D1240" s="10">
        <v>4707</v>
      </c>
      <c r="E1240" s="10" t="s">
        <v>1593</v>
      </c>
      <c r="F1240" s="11">
        <v>7361</v>
      </c>
      <c r="G1240" s="11">
        <v>7365</v>
      </c>
      <c r="H1240" s="11">
        <v>14726</v>
      </c>
      <c r="I1240" s="11">
        <v>4786</v>
      </c>
    </row>
    <row r="1241" spans="1:9" x14ac:dyDescent="0.2">
      <c r="A1241" s="10">
        <v>6712</v>
      </c>
      <c r="B1241" s="10">
        <v>47</v>
      </c>
      <c r="C1241" s="10" t="s">
        <v>1586</v>
      </c>
      <c r="D1241" s="10">
        <v>4708</v>
      </c>
      <c r="E1241" s="10" t="s">
        <v>1594</v>
      </c>
      <c r="F1241" s="11">
        <v>59827</v>
      </c>
      <c r="G1241" s="11">
        <v>60504</v>
      </c>
      <c r="H1241" s="11">
        <v>120331</v>
      </c>
      <c r="I1241" s="11">
        <v>36508</v>
      </c>
    </row>
    <row r="1242" spans="1:9" x14ac:dyDescent="0.2">
      <c r="A1242" s="10">
        <v>6712</v>
      </c>
      <c r="B1242" s="10">
        <v>47</v>
      </c>
      <c r="C1242" s="10" t="s">
        <v>1586</v>
      </c>
      <c r="D1242" s="10">
        <v>4709</v>
      </c>
      <c r="E1242" s="10" t="s">
        <v>1595</v>
      </c>
      <c r="F1242" s="11">
        <v>16255</v>
      </c>
      <c r="G1242" s="11">
        <v>16485</v>
      </c>
      <c r="H1242" s="11">
        <v>32740</v>
      </c>
      <c r="I1242" s="11">
        <v>12145</v>
      </c>
    </row>
    <row r="1243" spans="1:9" x14ac:dyDescent="0.2">
      <c r="A1243" s="10">
        <v>6712</v>
      </c>
      <c r="B1243" s="10">
        <v>47</v>
      </c>
      <c r="C1243" s="10" t="s">
        <v>1586</v>
      </c>
      <c r="D1243" s="10">
        <v>4710</v>
      </c>
      <c r="E1243" s="10" t="s">
        <v>1596</v>
      </c>
      <c r="F1243" s="11">
        <v>33664</v>
      </c>
      <c r="G1243" s="11">
        <v>33223</v>
      </c>
      <c r="H1243" s="11">
        <v>66887</v>
      </c>
      <c r="I1243" s="11">
        <v>21145</v>
      </c>
    </row>
    <row r="1244" spans="1:9" x14ac:dyDescent="0.2">
      <c r="A1244" s="10">
        <v>6712</v>
      </c>
      <c r="B1244" s="10">
        <v>47</v>
      </c>
      <c r="C1244" s="10" t="s">
        <v>1586</v>
      </c>
      <c r="D1244" s="10">
        <v>4711</v>
      </c>
      <c r="E1244" s="10" t="s">
        <v>1597</v>
      </c>
      <c r="F1244" s="11">
        <v>27010</v>
      </c>
      <c r="G1244" s="11">
        <v>26846</v>
      </c>
      <c r="H1244" s="11">
        <v>53856</v>
      </c>
      <c r="I1244" s="11">
        <v>20277</v>
      </c>
    </row>
    <row r="1245" spans="1:9" x14ac:dyDescent="0.2">
      <c r="A1245" s="10">
        <v>6712</v>
      </c>
      <c r="B1245" s="10">
        <v>47</v>
      </c>
      <c r="C1245" s="10" t="s">
        <v>1586</v>
      </c>
      <c r="D1245" s="10">
        <v>4712</v>
      </c>
      <c r="E1245" s="10" t="s">
        <v>1598</v>
      </c>
      <c r="F1245" s="11">
        <v>62920</v>
      </c>
      <c r="G1245" s="11">
        <v>63953</v>
      </c>
      <c r="H1245" s="11">
        <v>126873</v>
      </c>
      <c r="I1245" s="11">
        <v>39010</v>
      </c>
    </row>
    <row r="1246" spans="1:9" x14ac:dyDescent="0.2">
      <c r="A1246" s="10">
        <v>6712</v>
      </c>
      <c r="B1246" s="10">
        <v>47</v>
      </c>
      <c r="C1246" s="10" t="s">
        <v>1586</v>
      </c>
      <c r="D1246" s="10">
        <v>4713</v>
      </c>
      <c r="E1246" s="10" t="s">
        <v>1599</v>
      </c>
      <c r="F1246" s="11">
        <v>14980</v>
      </c>
      <c r="G1246" s="11">
        <v>14580</v>
      </c>
      <c r="H1246" s="11">
        <v>29560</v>
      </c>
      <c r="I1246" s="11">
        <v>7993</v>
      </c>
    </row>
    <row r="1247" spans="1:9" x14ac:dyDescent="0.2">
      <c r="A1247" s="10">
        <v>6712</v>
      </c>
      <c r="B1247" s="10">
        <v>47</v>
      </c>
      <c r="C1247" s="10" t="s">
        <v>1586</v>
      </c>
      <c r="D1247" s="10">
        <v>4714</v>
      </c>
      <c r="E1247" s="10" t="s">
        <v>1600</v>
      </c>
      <c r="F1247" s="11">
        <v>12045</v>
      </c>
      <c r="G1247" s="11">
        <v>11997</v>
      </c>
      <c r="H1247" s="11">
        <v>24042</v>
      </c>
      <c r="I1247" s="11">
        <v>9216</v>
      </c>
    </row>
    <row r="1248" spans="1:9" x14ac:dyDescent="0.2">
      <c r="A1248" s="10">
        <v>6712</v>
      </c>
      <c r="B1248" s="10">
        <v>47</v>
      </c>
      <c r="C1248" s="10" t="s">
        <v>1586</v>
      </c>
      <c r="D1248" s="10">
        <v>4715</v>
      </c>
      <c r="E1248" s="10" t="s">
        <v>1601</v>
      </c>
      <c r="F1248" s="11">
        <v>10730</v>
      </c>
      <c r="G1248" s="11">
        <v>10882</v>
      </c>
      <c r="H1248" s="11">
        <v>21612</v>
      </c>
      <c r="I1248" s="11">
        <v>7997</v>
      </c>
    </row>
    <row r="1249" spans="1:9" x14ac:dyDescent="0.2">
      <c r="A1249" s="10">
        <v>6712</v>
      </c>
      <c r="B1249" s="10">
        <v>47</v>
      </c>
      <c r="C1249" s="10" t="s">
        <v>1586</v>
      </c>
      <c r="D1249" s="10">
        <v>4716</v>
      </c>
      <c r="E1249" s="10" t="s">
        <v>1602</v>
      </c>
      <c r="F1249" s="11">
        <v>19173</v>
      </c>
      <c r="G1249" s="11">
        <v>19036</v>
      </c>
      <c r="H1249" s="11">
        <v>38209</v>
      </c>
      <c r="I1249" s="11">
        <v>11178</v>
      </c>
    </row>
    <row r="1250" spans="1:9" x14ac:dyDescent="0.2">
      <c r="A1250" s="10">
        <v>6712</v>
      </c>
      <c r="B1250" s="10">
        <v>47</v>
      </c>
      <c r="C1250" s="10" t="s">
        <v>1586</v>
      </c>
      <c r="D1250" s="10">
        <v>4717</v>
      </c>
      <c r="E1250" s="10" t="s">
        <v>1603</v>
      </c>
      <c r="F1250" s="11">
        <v>18407</v>
      </c>
      <c r="G1250" s="11">
        <v>18398</v>
      </c>
      <c r="H1250" s="11">
        <v>36805</v>
      </c>
      <c r="I1250" s="11">
        <v>12397</v>
      </c>
    </row>
    <row r="1251" spans="1:9" x14ac:dyDescent="0.2">
      <c r="A1251" s="10">
        <v>6712</v>
      </c>
      <c r="B1251" s="10">
        <v>47</v>
      </c>
      <c r="C1251" s="10" t="s">
        <v>1586</v>
      </c>
      <c r="D1251" s="10">
        <v>4718</v>
      </c>
      <c r="E1251" s="10" t="s">
        <v>1604</v>
      </c>
      <c r="F1251" s="11">
        <v>18012</v>
      </c>
      <c r="G1251" s="11">
        <v>17707</v>
      </c>
      <c r="H1251" s="11">
        <v>35719</v>
      </c>
      <c r="I1251" s="11">
        <v>11003</v>
      </c>
    </row>
    <row r="1252" spans="1:9" x14ac:dyDescent="0.2">
      <c r="A1252" s="10">
        <v>6712</v>
      </c>
      <c r="B1252" s="10">
        <v>47</v>
      </c>
      <c r="C1252" s="10" t="s">
        <v>1586</v>
      </c>
      <c r="D1252" s="10">
        <v>4779</v>
      </c>
      <c r="E1252" s="10" t="s">
        <v>1605</v>
      </c>
      <c r="F1252" s="11">
        <v>6720</v>
      </c>
      <c r="G1252" s="11">
        <v>6914</v>
      </c>
      <c r="H1252" s="11">
        <v>13634</v>
      </c>
      <c r="I1252" s="11">
        <v>4320</v>
      </c>
    </row>
    <row r="1253" spans="1:9" x14ac:dyDescent="0.2">
      <c r="A1253" s="10">
        <v>6712</v>
      </c>
      <c r="B1253" s="10">
        <v>47</v>
      </c>
      <c r="C1253" s="10" t="s">
        <v>1586</v>
      </c>
      <c r="D1253" s="10">
        <v>4780</v>
      </c>
      <c r="E1253" s="10" t="s">
        <v>1606</v>
      </c>
      <c r="F1253" s="11">
        <v>6224</v>
      </c>
      <c r="G1253" s="11">
        <v>6419</v>
      </c>
      <c r="H1253" s="11">
        <v>12643</v>
      </c>
      <c r="I1253" s="11">
        <v>6006</v>
      </c>
    </row>
    <row r="1254" spans="1:9" x14ac:dyDescent="0.2">
      <c r="A1254" s="10">
        <v>6712</v>
      </c>
      <c r="B1254" s="10">
        <v>47</v>
      </c>
      <c r="C1254" s="10" t="s">
        <v>1586</v>
      </c>
      <c r="D1254" s="10">
        <v>4781</v>
      </c>
      <c r="E1254" s="10" t="s">
        <v>1607</v>
      </c>
      <c r="F1254" s="11">
        <v>5090</v>
      </c>
      <c r="G1254" s="11">
        <v>5031</v>
      </c>
      <c r="H1254" s="11">
        <v>10121</v>
      </c>
      <c r="I1254" s="11">
        <v>3151</v>
      </c>
    </row>
    <row r="1255" spans="1:9" x14ac:dyDescent="0.2">
      <c r="A1255" s="10">
        <v>6712</v>
      </c>
      <c r="B1255" s="10">
        <v>47</v>
      </c>
      <c r="C1255" s="10" t="s">
        <v>1586</v>
      </c>
      <c r="D1255" s="10">
        <v>4782</v>
      </c>
      <c r="E1255" s="10" t="s">
        <v>1608</v>
      </c>
      <c r="F1255" s="11">
        <v>4457</v>
      </c>
      <c r="G1255" s="11">
        <v>4512</v>
      </c>
      <c r="H1255" s="11">
        <v>8969</v>
      </c>
      <c r="I1255" s="11">
        <v>2531</v>
      </c>
    </row>
    <row r="1256" spans="1:9" x14ac:dyDescent="0.2">
      <c r="A1256" s="10">
        <v>6712</v>
      </c>
      <c r="B1256" s="10">
        <v>47</v>
      </c>
      <c r="C1256" s="10" t="s">
        <v>1586</v>
      </c>
      <c r="D1256" s="10">
        <v>4783</v>
      </c>
      <c r="E1256" s="10" t="s">
        <v>1609</v>
      </c>
      <c r="F1256" s="11">
        <v>7893</v>
      </c>
      <c r="G1256" s="11">
        <v>8157</v>
      </c>
      <c r="H1256" s="11">
        <v>16050</v>
      </c>
      <c r="I1256" s="11">
        <v>6418</v>
      </c>
    </row>
    <row r="1257" spans="1:9" x14ac:dyDescent="0.2">
      <c r="A1257" s="10">
        <v>6712</v>
      </c>
      <c r="B1257" s="10">
        <v>47</v>
      </c>
      <c r="C1257" s="10" t="s">
        <v>1586</v>
      </c>
      <c r="D1257" s="10">
        <v>4784</v>
      </c>
      <c r="E1257" s="10" t="s">
        <v>1610</v>
      </c>
      <c r="F1257" s="11">
        <v>3275</v>
      </c>
      <c r="G1257" s="11">
        <v>3433</v>
      </c>
      <c r="H1257" s="11">
        <v>6708</v>
      </c>
      <c r="I1257" s="11">
        <v>2427</v>
      </c>
    </row>
    <row r="1258" spans="1:9" x14ac:dyDescent="0.2">
      <c r="A1258" s="10">
        <v>6712</v>
      </c>
      <c r="B1258" s="10">
        <v>47</v>
      </c>
      <c r="C1258" s="10" t="s">
        <v>1586</v>
      </c>
      <c r="D1258" s="10">
        <v>4785</v>
      </c>
      <c r="E1258" s="10" t="s">
        <v>1611</v>
      </c>
      <c r="F1258" s="11">
        <v>2431</v>
      </c>
      <c r="G1258" s="11">
        <v>2443</v>
      </c>
      <c r="H1258" s="11">
        <v>4874</v>
      </c>
      <c r="I1258" s="11">
        <v>1702</v>
      </c>
    </row>
    <row r="1259" spans="1:9" x14ac:dyDescent="0.2">
      <c r="A1259" s="10">
        <v>6712</v>
      </c>
      <c r="B1259" s="10">
        <v>47</v>
      </c>
      <c r="C1259" s="10" t="s">
        <v>1586</v>
      </c>
      <c r="D1259" s="10">
        <v>4786</v>
      </c>
      <c r="E1259" s="10" t="s">
        <v>1612</v>
      </c>
      <c r="F1259" s="11">
        <v>3819</v>
      </c>
      <c r="G1259" s="11">
        <v>4177</v>
      </c>
      <c r="H1259" s="11">
        <v>7996</v>
      </c>
      <c r="I1259" s="11">
        <v>5077</v>
      </c>
    </row>
    <row r="1260" spans="1:9" x14ac:dyDescent="0.2">
      <c r="A1260" s="10">
        <v>6712</v>
      </c>
      <c r="B1260" s="10">
        <v>47</v>
      </c>
      <c r="C1260" s="10" t="s">
        <v>1586</v>
      </c>
      <c r="D1260" s="10">
        <v>4787</v>
      </c>
      <c r="E1260" s="10" t="s">
        <v>1613</v>
      </c>
      <c r="F1260" s="11">
        <v>2006</v>
      </c>
      <c r="G1260" s="11">
        <v>2074</v>
      </c>
      <c r="H1260" s="11">
        <v>4080</v>
      </c>
      <c r="I1260" s="11">
        <v>1339</v>
      </c>
    </row>
    <row r="1261" spans="1:9" x14ac:dyDescent="0.2">
      <c r="A1261" s="10">
        <v>6712</v>
      </c>
      <c r="B1261" s="10">
        <v>47</v>
      </c>
      <c r="C1261" s="10" t="s">
        <v>1586</v>
      </c>
      <c r="D1261" s="10">
        <v>4788</v>
      </c>
      <c r="E1261" s="10" t="s">
        <v>1614</v>
      </c>
      <c r="F1261" s="11">
        <v>4260</v>
      </c>
      <c r="G1261" s="11">
        <v>4488</v>
      </c>
      <c r="H1261" s="11">
        <v>8748</v>
      </c>
      <c r="I1261" s="11">
        <v>3147</v>
      </c>
    </row>
    <row r="1262" spans="1:9" x14ac:dyDescent="0.2">
      <c r="A1262" s="10">
        <v>6712</v>
      </c>
      <c r="B1262" s="10">
        <v>47</v>
      </c>
      <c r="C1262" s="10" t="s">
        <v>1586</v>
      </c>
      <c r="D1262" s="10">
        <v>4789</v>
      </c>
      <c r="E1262" s="10" t="s">
        <v>1615</v>
      </c>
      <c r="F1262" s="11">
        <v>1671</v>
      </c>
      <c r="G1262" s="11">
        <v>1815</v>
      </c>
      <c r="H1262" s="11">
        <v>3486</v>
      </c>
      <c r="I1262" s="11">
        <v>1573</v>
      </c>
    </row>
    <row r="1263" spans="1:9" x14ac:dyDescent="0.2">
      <c r="A1263" s="10">
        <v>6712</v>
      </c>
      <c r="B1263" s="10">
        <v>47</v>
      </c>
      <c r="C1263" s="10" t="s">
        <v>1586</v>
      </c>
      <c r="D1263" s="10">
        <v>4790</v>
      </c>
      <c r="E1263" s="10" t="s">
        <v>1616</v>
      </c>
      <c r="F1263" s="11">
        <v>3459</v>
      </c>
      <c r="G1263" s="11">
        <v>3572</v>
      </c>
      <c r="H1263" s="11">
        <v>7031</v>
      </c>
      <c r="I1263" s="11">
        <v>2406</v>
      </c>
    </row>
    <row r="1264" spans="1:9" x14ac:dyDescent="0.2">
      <c r="A1264" s="10">
        <v>6712</v>
      </c>
      <c r="B1264" s="10">
        <v>47</v>
      </c>
      <c r="C1264" s="10" t="s">
        <v>1586</v>
      </c>
      <c r="D1264" s="10">
        <v>4791</v>
      </c>
      <c r="E1264" s="10" t="s">
        <v>1617</v>
      </c>
      <c r="F1264" s="11">
        <v>2611</v>
      </c>
      <c r="G1264" s="11">
        <v>2887</v>
      </c>
      <c r="H1264" s="11">
        <v>5498</v>
      </c>
      <c r="I1264" s="11">
        <v>2421</v>
      </c>
    </row>
    <row r="1265" spans="1:9" x14ac:dyDescent="0.2">
      <c r="A1265" s="10">
        <v>6712</v>
      </c>
      <c r="B1265" s="10">
        <v>47</v>
      </c>
      <c r="C1265" s="10" t="s">
        <v>1586</v>
      </c>
      <c r="D1265" s="10">
        <v>4792</v>
      </c>
      <c r="E1265" s="10" t="s">
        <v>1618</v>
      </c>
      <c r="F1265" s="11">
        <v>1286</v>
      </c>
      <c r="G1265" s="11">
        <v>1339</v>
      </c>
      <c r="H1265" s="11">
        <v>2625</v>
      </c>
      <c r="I1265" s="11">
        <v>1416</v>
      </c>
    </row>
    <row r="1266" spans="1:9" x14ac:dyDescent="0.2">
      <c r="A1266" s="10">
        <v>6712</v>
      </c>
      <c r="B1266" s="10">
        <v>47</v>
      </c>
      <c r="C1266" s="10" t="s">
        <v>1586</v>
      </c>
      <c r="D1266" s="10">
        <v>4793</v>
      </c>
      <c r="E1266" s="10" t="s">
        <v>1619</v>
      </c>
      <c r="F1266" s="11">
        <v>3087</v>
      </c>
      <c r="G1266" s="11">
        <v>3240</v>
      </c>
      <c r="H1266" s="11">
        <v>6327</v>
      </c>
      <c r="I1266" s="11">
        <v>4187</v>
      </c>
    </row>
    <row r="1267" spans="1:9" x14ac:dyDescent="0.2">
      <c r="A1267" s="10">
        <v>6712</v>
      </c>
      <c r="B1267" s="10">
        <v>47</v>
      </c>
      <c r="C1267" s="10" t="s">
        <v>1586</v>
      </c>
      <c r="D1267" s="10">
        <v>4794</v>
      </c>
      <c r="E1267" s="10" t="s">
        <v>1620</v>
      </c>
      <c r="F1267" s="11">
        <v>1117</v>
      </c>
      <c r="G1267" s="11">
        <v>1256</v>
      </c>
      <c r="H1267" s="11">
        <v>2373</v>
      </c>
      <c r="I1267" s="11">
        <v>1499</v>
      </c>
    </row>
    <row r="1268" spans="1:9" x14ac:dyDescent="0.2">
      <c r="A1268" s="10">
        <v>6712</v>
      </c>
      <c r="B1268" s="10">
        <v>47</v>
      </c>
      <c r="C1268" s="10" t="s">
        <v>1586</v>
      </c>
      <c r="D1268" s="10">
        <v>4795</v>
      </c>
      <c r="E1268" s="10" t="s">
        <v>1621</v>
      </c>
      <c r="F1268" s="11">
        <v>2465</v>
      </c>
      <c r="G1268" s="11">
        <v>2589</v>
      </c>
      <c r="H1268" s="11">
        <v>5054</v>
      </c>
      <c r="I1268" s="11">
        <v>1995</v>
      </c>
    </row>
    <row r="1269" spans="1:9" x14ac:dyDescent="0.2">
      <c r="A1269" s="10">
        <v>6712</v>
      </c>
      <c r="B1269" s="10">
        <v>47</v>
      </c>
      <c r="C1269" s="10" t="s">
        <v>1586</v>
      </c>
      <c r="D1269" s="10">
        <v>4796</v>
      </c>
      <c r="E1269" s="10" t="s">
        <v>1622</v>
      </c>
      <c r="F1269" s="11">
        <v>1921</v>
      </c>
      <c r="G1269" s="11">
        <v>2062</v>
      </c>
      <c r="H1269" s="11">
        <v>3983</v>
      </c>
      <c r="I1269" s="11">
        <v>1791</v>
      </c>
    </row>
    <row r="1270" spans="1:9" x14ac:dyDescent="0.2">
      <c r="A1270" s="10">
        <v>6712</v>
      </c>
      <c r="B1270" s="10">
        <v>47</v>
      </c>
      <c r="C1270" s="10" t="s">
        <v>1586</v>
      </c>
      <c r="D1270" s="10">
        <v>4797</v>
      </c>
      <c r="E1270" s="10" t="s">
        <v>1623</v>
      </c>
      <c r="F1270" s="11">
        <v>3039</v>
      </c>
      <c r="G1270" s="11">
        <v>3321</v>
      </c>
      <c r="H1270" s="11">
        <v>6360</v>
      </c>
      <c r="I1270" s="11">
        <v>2368</v>
      </c>
    </row>
    <row r="1271" spans="1:9" x14ac:dyDescent="0.2">
      <c r="A1271" s="10">
        <v>6712</v>
      </c>
      <c r="B1271" s="10">
        <v>47</v>
      </c>
      <c r="C1271" s="10" t="s">
        <v>1586</v>
      </c>
      <c r="D1271" s="10">
        <v>4798</v>
      </c>
      <c r="E1271" s="10" t="s">
        <v>1624</v>
      </c>
      <c r="F1271" s="11">
        <v>2714</v>
      </c>
      <c r="G1271" s="11">
        <v>3050</v>
      </c>
      <c r="H1271" s="11">
        <v>5764</v>
      </c>
      <c r="I1271" s="11">
        <v>2344</v>
      </c>
    </row>
    <row r="1272" spans="1:9" x14ac:dyDescent="0.2">
      <c r="A1272" s="10">
        <v>6712</v>
      </c>
      <c r="B1272" s="10">
        <v>47</v>
      </c>
      <c r="C1272" s="10" t="s">
        <v>1586</v>
      </c>
      <c r="D1272" s="10">
        <v>4799</v>
      </c>
      <c r="E1272" s="10" t="s">
        <v>1625</v>
      </c>
      <c r="F1272" s="11">
        <v>23910</v>
      </c>
      <c r="G1272" s="11">
        <v>25842</v>
      </c>
      <c r="H1272" s="11">
        <v>49752</v>
      </c>
      <c r="I1272" s="11">
        <v>30255</v>
      </c>
    </row>
    <row r="1273" spans="1:9" x14ac:dyDescent="0.2">
      <c r="A1273" s="10">
        <v>6712</v>
      </c>
      <c r="B1273" s="10">
        <v>48</v>
      </c>
      <c r="C1273" s="10" t="s">
        <v>1626</v>
      </c>
      <c r="D1273" s="10">
        <v>4801</v>
      </c>
      <c r="E1273" s="10" t="s">
        <v>1627</v>
      </c>
      <c r="F1273" s="11">
        <v>58238</v>
      </c>
      <c r="G1273" s="11">
        <v>58085</v>
      </c>
      <c r="H1273" s="11">
        <v>116323</v>
      </c>
      <c r="I1273" s="11">
        <v>38292</v>
      </c>
    </row>
    <row r="1274" spans="1:9" x14ac:dyDescent="0.2">
      <c r="A1274" s="10">
        <v>6712</v>
      </c>
      <c r="B1274" s="10">
        <v>48</v>
      </c>
      <c r="C1274" s="10" t="s">
        <v>1626</v>
      </c>
      <c r="D1274" s="10">
        <v>4802</v>
      </c>
      <c r="E1274" s="10" t="s">
        <v>1628</v>
      </c>
      <c r="F1274" s="11">
        <v>25314</v>
      </c>
      <c r="G1274" s="11">
        <v>24974</v>
      </c>
      <c r="H1274" s="11">
        <v>50288</v>
      </c>
      <c r="I1274" s="11">
        <v>16998</v>
      </c>
    </row>
    <row r="1275" spans="1:9" x14ac:dyDescent="0.2">
      <c r="A1275" s="10">
        <v>6712</v>
      </c>
      <c r="B1275" s="10">
        <v>48</v>
      </c>
      <c r="C1275" s="10" t="s">
        <v>1626</v>
      </c>
      <c r="D1275" s="10">
        <v>4803</v>
      </c>
      <c r="E1275" s="10" t="s">
        <v>1629</v>
      </c>
      <c r="F1275" s="11">
        <v>27372</v>
      </c>
      <c r="G1275" s="11">
        <v>27076</v>
      </c>
      <c r="H1275" s="11">
        <v>54448</v>
      </c>
      <c r="I1275" s="11">
        <v>16593</v>
      </c>
    </row>
    <row r="1276" spans="1:9" x14ac:dyDescent="0.2">
      <c r="A1276" s="10">
        <v>6712</v>
      </c>
      <c r="B1276" s="10">
        <v>48</v>
      </c>
      <c r="C1276" s="10" t="s">
        <v>1626</v>
      </c>
      <c r="D1276" s="10">
        <v>4804</v>
      </c>
      <c r="E1276" s="10" t="s">
        <v>1630</v>
      </c>
      <c r="F1276" s="11">
        <v>13259</v>
      </c>
      <c r="G1276" s="11">
        <v>13154</v>
      </c>
      <c r="H1276" s="11">
        <v>26413</v>
      </c>
      <c r="I1276" s="11">
        <v>8719</v>
      </c>
    </row>
    <row r="1277" spans="1:9" x14ac:dyDescent="0.2">
      <c r="A1277" s="10">
        <v>6712</v>
      </c>
      <c r="B1277" s="10">
        <v>48</v>
      </c>
      <c r="C1277" s="10" t="s">
        <v>1626</v>
      </c>
      <c r="D1277" s="10">
        <v>4805</v>
      </c>
      <c r="E1277" s="10" t="s">
        <v>1631</v>
      </c>
      <c r="F1277" s="11">
        <v>35289</v>
      </c>
      <c r="G1277" s="11">
        <v>35882</v>
      </c>
      <c r="H1277" s="11">
        <v>71171</v>
      </c>
      <c r="I1277" s="11">
        <v>23042</v>
      </c>
    </row>
    <row r="1278" spans="1:9" x14ac:dyDescent="0.2">
      <c r="A1278" s="10">
        <v>6712</v>
      </c>
      <c r="B1278" s="10">
        <v>48</v>
      </c>
      <c r="C1278" s="10" t="s">
        <v>1626</v>
      </c>
      <c r="D1278" s="10">
        <v>4806</v>
      </c>
      <c r="E1278" s="10" t="s">
        <v>1632</v>
      </c>
      <c r="F1278" s="11">
        <v>20526</v>
      </c>
      <c r="G1278" s="11">
        <v>20541</v>
      </c>
      <c r="H1278" s="11">
        <v>41067</v>
      </c>
      <c r="I1278" s="11">
        <v>13624</v>
      </c>
    </row>
    <row r="1279" spans="1:9" x14ac:dyDescent="0.2">
      <c r="A1279" s="10">
        <v>6712</v>
      </c>
      <c r="B1279" s="10">
        <v>48</v>
      </c>
      <c r="C1279" s="10" t="s">
        <v>1626</v>
      </c>
      <c r="D1279" s="10">
        <v>4807</v>
      </c>
      <c r="E1279" s="10" t="s">
        <v>1633</v>
      </c>
      <c r="F1279" s="11">
        <v>35610</v>
      </c>
      <c r="G1279" s="11">
        <v>36127</v>
      </c>
      <c r="H1279" s="11">
        <v>71737</v>
      </c>
      <c r="I1279" s="11">
        <v>22679</v>
      </c>
    </row>
    <row r="1280" spans="1:9" x14ac:dyDescent="0.2">
      <c r="A1280" s="10">
        <v>6712</v>
      </c>
      <c r="B1280" s="10">
        <v>48</v>
      </c>
      <c r="C1280" s="10" t="s">
        <v>1626</v>
      </c>
      <c r="D1280" s="10">
        <v>4808</v>
      </c>
      <c r="E1280" s="10" t="s">
        <v>1634</v>
      </c>
      <c r="F1280" s="11">
        <v>31907</v>
      </c>
      <c r="G1280" s="11">
        <v>32302</v>
      </c>
      <c r="H1280" s="11">
        <v>64209</v>
      </c>
      <c r="I1280" s="11">
        <v>20234</v>
      </c>
    </row>
    <row r="1281" spans="1:9" x14ac:dyDescent="0.2">
      <c r="A1281" s="10">
        <v>6712</v>
      </c>
      <c r="B1281" s="10">
        <v>48</v>
      </c>
      <c r="C1281" s="10" t="s">
        <v>1626</v>
      </c>
      <c r="D1281" s="10">
        <v>4809</v>
      </c>
      <c r="E1281" s="10" t="s">
        <v>1635</v>
      </c>
      <c r="F1281" s="11">
        <v>19847</v>
      </c>
      <c r="G1281" s="11">
        <v>19810</v>
      </c>
      <c r="H1281" s="11">
        <v>39657</v>
      </c>
      <c r="I1281" s="11">
        <v>14034</v>
      </c>
    </row>
    <row r="1282" spans="1:9" x14ac:dyDescent="0.2">
      <c r="A1282" s="10">
        <v>6712</v>
      </c>
      <c r="B1282" s="10">
        <v>48</v>
      </c>
      <c r="C1282" s="10" t="s">
        <v>1626</v>
      </c>
      <c r="D1282" s="10">
        <v>4810</v>
      </c>
      <c r="E1282" s="10" t="s">
        <v>1636</v>
      </c>
      <c r="F1282" s="11">
        <v>26255</v>
      </c>
      <c r="G1282" s="11">
        <v>26346</v>
      </c>
      <c r="H1282" s="11">
        <v>52601</v>
      </c>
      <c r="I1282" s="11">
        <v>17720</v>
      </c>
    </row>
    <row r="1283" spans="1:9" x14ac:dyDescent="0.2">
      <c r="A1283" s="10">
        <v>6712</v>
      </c>
      <c r="B1283" s="10">
        <v>48</v>
      </c>
      <c r="C1283" s="10" t="s">
        <v>1626</v>
      </c>
      <c r="D1283" s="10">
        <v>4811</v>
      </c>
      <c r="E1283" s="10" t="s">
        <v>1637</v>
      </c>
      <c r="F1283" s="11">
        <v>11815</v>
      </c>
      <c r="G1283" s="11">
        <v>11793</v>
      </c>
      <c r="H1283" s="11">
        <v>23608</v>
      </c>
      <c r="I1283" s="11">
        <v>7983</v>
      </c>
    </row>
    <row r="1284" spans="1:9" x14ac:dyDescent="0.2">
      <c r="A1284" s="10">
        <v>6712</v>
      </c>
      <c r="B1284" s="10">
        <v>48</v>
      </c>
      <c r="C1284" s="10" t="s">
        <v>1626</v>
      </c>
      <c r="D1284" s="10">
        <v>4812</v>
      </c>
      <c r="E1284" s="10" t="s">
        <v>1638</v>
      </c>
      <c r="F1284" s="11">
        <v>7932</v>
      </c>
      <c r="G1284" s="11">
        <v>7732</v>
      </c>
      <c r="H1284" s="11">
        <v>15664</v>
      </c>
      <c r="I1284" s="11">
        <v>5021</v>
      </c>
    </row>
    <row r="1285" spans="1:9" x14ac:dyDescent="0.2">
      <c r="A1285" s="10">
        <v>6712</v>
      </c>
      <c r="B1285" s="10">
        <v>48</v>
      </c>
      <c r="C1285" s="10" t="s">
        <v>1626</v>
      </c>
      <c r="D1285" s="10">
        <v>4890</v>
      </c>
      <c r="E1285" s="10" t="s">
        <v>1639</v>
      </c>
      <c r="F1285" s="11">
        <v>1871</v>
      </c>
      <c r="G1285" s="11">
        <v>2000</v>
      </c>
      <c r="H1285" s="11">
        <v>3871</v>
      </c>
      <c r="I1285" s="11">
        <v>1674</v>
      </c>
    </row>
    <row r="1286" spans="1:9" x14ac:dyDescent="0.2">
      <c r="A1286" s="10">
        <v>6712</v>
      </c>
      <c r="B1286" s="10">
        <v>48</v>
      </c>
      <c r="C1286" s="10" t="s">
        <v>1626</v>
      </c>
      <c r="D1286" s="10">
        <v>4891</v>
      </c>
      <c r="E1286" s="10" t="s">
        <v>1640</v>
      </c>
      <c r="F1286" s="11">
        <v>2631</v>
      </c>
      <c r="G1286" s="11">
        <v>2674</v>
      </c>
      <c r="H1286" s="11">
        <v>5305</v>
      </c>
      <c r="I1286" s="11">
        <v>1945</v>
      </c>
    </row>
    <row r="1287" spans="1:9" x14ac:dyDescent="0.2">
      <c r="A1287" s="10">
        <v>6712</v>
      </c>
      <c r="B1287" s="10">
        <v>48</v>
      </c>
      <c r="C1287" s="10" t="s">
        <v>1626</v>
      </c>
      <c r="D1287" s="10">
        <v>4892</v>
      </c>
      <c r="E1287" s="10" t="s">
        <v>1641</v>
      </c>
      <c r="F1287" s="11">
        <v>5915</v>
      </c>
      <c r="G1287" s="11">
        <v>6101</v>
      </c>
      <c r="H1287" s="11">
        <v>12016</v>
      </c>
      <c r="I1287" s="11">
        <v>4452</v>
      </c>
    </row>
    <row r="1288" spans="1:9" x14ac:dyDescent="0.2">
      <c r="A1288" s="10">
        <v>6712</v>
      </c>
      <c r="B1288" s="10">
        <v>48</v>
      </c>
      <c r="C1288" s="10" t="s">
        <v>1626</v>
      </c>
      <c r="D1288" s="10">
        <v>4893</v>
      </c>
      <c r="E1288" s="10" t="s">
        <v>1642</v>
      </c>
      <c r="F1288" s="11">
        <v>2403</v>
      </c>
      <c r="G1288" s="11">
        <v>2513</v>
      </c>
      <c r="H1288" s="11">
        <v>4916</v>
      </c>
      <c r="I1288" s="11">
        <v>2713</v>
      </c>
    </row>
    <row r="1289" spans="1:9" x14ac:dyDescent="0.2">
      <c r="A1289" s="10">
        <v>6712</v>
      </c>
      <c r="B1289" s="10">
        <v>48</v>
      </c>
      <c r="C1289" s="10" t="s">
        <v>1626</v>
      </c>
      <c r="D1289" s="10">
        <v>4894</v>
      </c>
      <c r="E1289" s="10" t="s">
        <v>1643</v>
      </c>
      <c r="F1289" s="11">
        <v>1959</v>
      </c>
      <c r="G1289" s="11">
        <v>2195</v>
      </c>
      <c r="H1289" s="11">
        <v>4154</v>
      </c>
      <c r="I1289" s="11">
        <v>2396</v>
      </c>
    </row>
    <row r="1290" spans="1:9" x14ac:dyDescent="0.2">
      <c r="A1290" s="10">
        <v>6712</v>
      </c>
      <c r="B1290" s="10">
        <v>48</v>
      </c>
      <c r="C1290" s="10" t="s">
        <v>1626</v>
      </c>
      <c r="D1290" s="10">
        <v>4895</v>
      </c>
      <c r="E1290" s="10" t="s">
        <v>1644</v>
      </c>
      <c r="F1290" s="11">
        <v>2031</v>
      </c>
      <c r="G1290" s="11">
        <v>2280</v>
      </c>
      <c r="H1290" s="11">
        <v>4311</v>
      </c>
      <c r="I1290" s="11">
        <v>1753</v>
      </c>
    </row>
    <row r="1291" spans="1:9" x14ac:dyDescent="0.2">
      <c r="A1291" s="10">
        <v>6712</v>
      </c>
      <c r="B1291" s="10">
        <v>48</v>
      </c>
      <c r="C1291" s="10" t="s">
        <v>1626</v>
      </c>
      <c r="D1291" s="10">
        <v>4896</v>
      </c>
      <c r="E1291" s="10" t="s">
        <v>1645</v>
      </c>
      <c r="F1291" s="11">
        <v>4675</v>
      </c>
      <c r="G1291" s="11">
        <v>4961</v>
      </c>
      <c r="H1291" s="11">
        <v>9636</v>
      </c>
      <c r="I1291" s="11">
        <v>4236</v>
      </c>
    </row>
    <row r="1292" spans="1:9" x14ac:dyDescent="0.2">
      <c r="A1292" s="10">
        <v>6712</v>
      </c>
      <c r="B1292" s="10">
        <v>48</v>
      </c>
      <c r="C1292" s="10" t="s">
        <v>1626</v>
      </c>
      <c r="D1292" s="10">
        <v>4897</v>
      </c>
      <c r="E1292" s="10" t="s">
        <v>1646</v>
      </c>
      <c r="F1292" s="11">
        <v>4232</v>
      </c>
      <c r="G1292" s="11">
        <v>4379</v>
      </c>
      <c r="H1292" s="11">
        <v>8611</v>
      </c>
      <c r="I1292" s="11">
        <v>3866</v>
      </c>
    </row>
    <row r="1293" spans="1:9" x14ac:dyDescent="0.2">
      <c r="A1293" s="10">
        <v>6712</v>
      </c>
      <c r="B1293" s="10">
        <v>48</v>
      </c>
      <c r="C1293" s="10" t="s">
        <v>1626</v>
      </c>
      <c r="D1293" s="10">
        <v>4898</v>
      </c>
      <c r="E1293" s="10" t="s">
        <v>1647</v>
      </c>
      <c r="F1293" s="11">
        <v>2278</v>
      </c>
      <c r="G1293" s="11">
        <v>2409</v>
      </c>
      <c r="H1293" s="11">
        <v>4687</v>
      </c>
      <c r="I1293" s="11">
        <v>2057</v>
      </c>
    </row>
    <row r="1294" spans="1:9" x14ac:dyDescent="0.2">
      <c r="A1294" s="10">
        <v>6712</v>
      </c>
      <c r="B1294" s="10">
        <v>48</v>
      </c>
      <c r="C1294" s="10" t="s">
        <v>1626</v>
      </c>
      <c r="D1294" s="10">
        <v>4899</v>
      </c>
      <c r="E1294" s="10" t="s">
        <v>1648</v>
      </c>
      <c r="F1294" s="11">
        <v>12172</v>
      </c>
      <c r="G1294" s="11">
        <v>13875</v>
      </c>
      <c r="H1294" s="11">
        <v>26047</v>
      </c>
      <c r="I1294" s="11">
        <v>16152</v>
      </c>
    </row>
    <row r="1295" spans="1:9" x14ac:dyDescent="0.2">
      <c r="A1295" s="10">
        <v>6712</v>
      </c>
      <c r="B1295" s="10">
        <v>49</v>
      </c>
      <c r="C1295" s="10" t="s">
        <v>1649</v>
      </c>
      <c r="D1295" s="10">
        <v>4901</v>
      </c>
      <c r="E1295" s="10" t="s">
        <v>1650</v>
      </c>
      <c r="F1295" s="11">
        <v>40311</v>
      </c>
      <c r="G1295" s="11">
        <v>39830</v>
      </c>
      <c r="H1295" s="11">
        <v>80141</v>
      </c>
      <c r="I1295" s="11">
        <v>28489</v>
      </c>
    </row>
    <row r="1296" spans="1:9" x14ac:dyDescent="0.2">
      <c r="A1296" s="10">
        <v>6712</v>
      </c>
      <c r="B1296" s="10">
        <v>49</v>
      </c>
      <c r="C1296" s="10" t="s">
        <v>1649</v>
      </c>
      <c r="D1296" s="10">
        <v>4902</v>
      </c>
      <c r="E1296" s="10" t="s">
        <v>1651</v>
      </c>
      <c r="F1296" s="11">
        <v>16930</v>
      </c>
      <c r="G1296" s="11">
        <v>17041</v>
      </c>
      <c r="H1296" s="11">
        <v>33971</v>
      </c>
      <c r="I1296" s="11">
        <v>10666</v>
      </c>
    </row>
    <row r="1297" spans="1:9" x14ac:dyDescent="0.2">
      <c r="A1297" s="10">
        <v>6712</v>
      </c>
      <c r="B1297" s="10">
        <v>49</v>
      </c>
      <c r="C1297" s="10" t="s">
        <v>1649</v>
      </c>
      <c r="D1297" s="10">
        <v>4903</v>
      </c>
      <c r="E1297" s="10" t="s">
        <v>1652</v>
      </c>
      <c r="F1297" s="11">
        <v>19484</v>
      </c>
      <c r="G1297" s="11">
        <v>19276</v>
      </c>
      <c r="H1297" s="11">
        <v>38760</v>
      </c>
      <c r="I1297" s="11">
        <v>12387</v>
      </c>
    </row>
    <row r="1298" spans="1:9" x14ac:dyDescent="0.2">
      <c r="A1298" s="10">
        <v>6712</v>
      </c>
      <c r="B1298" s="10">
        <v>49</v>
      </c>
      <c r="C1298" s="10" t="s">
        <v>1649</v>
      </c>
      <c r="D1298" s="10">
        <v>4904</v>
      </c>
      <c r="E1298" s="10" t="s">
        <v>1653</v>
      </c>
      <c r="F1298" s="11">
        <v>19725</v>
      </c>
      <c r="G1298" s="11">
        <v>19361</v>
      </c>
      <c r="H1298" s="11">
        <v>39086</v>
      </c>
      <c r="I1298" s="11">
        <v>12797</v>
      </c>
    </row>
    <row r="1299" spans="1:9" x14ac:dyDescent="0.2">
      <c r="A1299" s="10">
        <v>6712</v>
      </c>
      <c r="B1299" s="10">
        <v>49</v>
      </c>
      <c r="C1299" s="10" t="s">
        <v>1649</v>
      </c>
      <c r="D1299" s="10">
        <v>4905</v>
      </c>
      <c r="E1299" s="10" t="s">
        <v>1654</v>
      </c>
      <c r="F1299" s="11">
        <v>21920</v>
      </c>
      <c r="G1299" s="11">
        <v>21985</v>
      </c>
      <c r="H1299" s="11">
        <v>43905</v>
      </c>
      <c r="I1299" s="11">
        <v>15234</v>
      </c>
    </row>
    <row r="1300" spans="1:9" x14ac:dyDescent="0.2">
      <c r="A1300" s="10">
        <v>6712</v>
      </c>
      <c r="B1300" s="10">
        <v>49</v>
      </c>
      <c r="C1300" s="10" t="s">
        <v>1649</v>
      </c>
      <c r="D1300" s="10">
        <v>4906</v>
      </c>
      <c r="E1300" s="10" t="s">
        <v>1655</v>
      </c>
      <c r="F1300" s="11">
        <v>10068</v>
      </c>
      <c r="G1300" s="11">
        <v>10146</v>
      </c>
      <c r="H1300" s="11">
        <v>20214</v>
      </c>
      <c r="I1300" s="11">
        <v>6806</v>
      </c>
    </row>
    <row r="1301" spans="1:9" x14ac:dyDescent="0.2">
      <c r="A1301" s="10">
        <v>6712</v>
      </c>
      <c r="B1301" s="10">
        <v>49</v>
      </c>
      <c r="C1301" s="10" t="s">
        <v>1649</v>
      </c>
      <c r="D1301" s="10">
        <v>4907</v>
      </c>
      <c r="E1301" s="10" t="s">
        <v>1656</v>
      </c>
      <c r="F1301" s="11">
        <v>10214</v>
      </c>
      <c r="G1301" s="11">
        <v>10290</v>
      </c>
      <c r="H1301" s="11">
        <v>20504</v>
      </c>
      <c r="I1301" s="11">
        <v>7795</v>
      </c>
    </row>
    <row r="1302" spans="1:9" x14ac:dyDescent="0.2">
      <c r="A1302" s="10">
        <v>6712</v>
      </c>
      <c r="B1302" s="10">
        <v>49</v>
      </c>
      <c r="C1302" s="10" t="s">
        <v>1649</v>
      </c>
      <c r="D1302" s="10">
        <v>4989</v>
      </c>
      <c r="E1302" s="10" t="s">
        <v>1657</v>
      </c>
      <c r="F1302" s="11">
        <v>1699</v>
      </c>
      <c r="G1302" s="11">
        <v>1622</v>
      </c>
      <c r="H1302" s="11">
        <v>3321</v>
      </c>
      <c r="I1302" s="11">
        <v>1114</v>
      </c>
    </row>
    <row r="1303" spans="1:9" x14ac:dyDescent="0.2">
      <c r="A1303" s="10">
        <v>6712</v>
      </c>
      <c r="B1303" s="10">
        <v>49</v>
      </c>
      <c r="C1303" s="10" t="s">
        <v>1649</v>
      </c>
      <c r="D1303" s="10">
        <v>4993</v>
      </c>
      <c r="E1303" s="10" t="s">
        <v>1658</v>
      </c>
      <c r="F1303" s="11">
        <v>1530</v>
      </c>
      <c r="G1303" s="11">
        <v>1553</v>
      </c>
      <c r="H1303" s="11">
        <v>3083</v>
      </c>
      <c r="I1303" s="11">
        <v>1041</v>
      </c>
    </row>
    <row r="1304" spans="1:9" x14ac:dyDescent="0.2">
      <c r="A1304" s="10">
        <v>6712</v>
      </c>
      <c r="B1304" s="10">
        <v>49</v>
      </c>
      <c r="C1304" s="10" t="s">
        <v>1649</v>
      </c>
      <c r="D1304" s="10">
        <v>4994</v>
      </c>
      <c r="E1304" s="10" t="s">
        <v>1659</v>
      </c>
      <c r="F1304" s="11">
        <v>6547</v>
      </c>
      <c r="G1304" s="11">
        <v>6449</v>
      </c>
      <c r="H1304" s="11">
        <v>12996</v>
      </c>
      <c r="I1304" s="11">
        <v>5108</v>
      </c>
    </row>
    <row r="1305" spans="1:9" x14ac:dyDescent="0.2">
      <c r="A1305" s="10">
        <v>6712</v>
      </c>
      <c r="B1305" s="10">
        <v>49</v>
      </c>
      <c r="C1305" s="10" t="s">
        <v>1649</v>
      </c>
      <c r="D1305" s="10">
        <v>4995</v>
      </c>
      <c r="E1305" s="10" t="s">
        <v>1660</v>
      </c>
      <c r="F1305" s="11">
        <v>5488</v>
      </c>
      <c r="G1305" s="11">
        <v>5273</v>
      </c>
      <c r="H1305" s="11">
        <v>10761</v>
      </c>
      <c r="I1305" s="11">
        <v>3202</v>
      </c>
    </row>
    <row r="1306" spans="1:9" x14ac:dyDescent="0.2">
      <c r="A1306" s="10">
        <v>6712</v>
      </c>
      <c r="B1306" s="10">
        <v>49</v>
      </c>
      <c r="C1306" s="10" t="s">
        <v>1649</v>
      </c>
      <c r="D1306" s="10">
        <v>4996</v>
      </c>
      <c r="E1306" s="10" t="s">
        <v>1661</v>
      </c>
      <c r="F1306" s="11">
        <v>1131</v>
      </c>
      <c r="G1306" s="11">
        <v>1146</v>
      </c>
      <c r="H1306" s="11">
        <v>2277</v>
      </c>
      <c r="I1306" s="11">
        <v>1156</v>
      </c>
    </row>
    <row r="1307" spans="1:9" x14ac:dyDescent="0.2">
      <c r="A1307" s="10">
        <v>6712</v>
      </c>
      <c r="B1307" s="10">
        <v>49</v>
      </c>
      <c r="C1307" s="10" t="s">
        <v>1649</v>
      </c>
      <c r="D1307" s="10">
        <v>4997</v>
      </c>
      <c r="E1307" s="10" t="s">
        <v>1662</v>
      </c>
      <c r="F1307" s="11">
        <v>1128</v>
      </c>
      <c r="G1307" s="11">
        <v>1295</v>
      </c>
      <c r="H1307" s="11">
        <v>2423</v>
      </c>
      <c r="I1307" s="11">
        <v>1003</v>
      </c>
    </row>
    <row r="1308" spans="1:9" x14ac:dyDescent="0.2">
      <c r="A1308" s="10">
        <v>6712</v>
      </c>
      <c r="B1308" s="10">
        <v>49</v>
      </c>
      <c r="C1308" s="10" t="s">
        <v>1649</v>
      </c>
      <c r="D1308" s="10">
        <v>4998</v>
      </c>
      <c r="E1308" s="10" t="s">
        <v>1663</v>
      </c>
      <c r="F1308" s="11">
        <v>2948</v>
      </c>
      <c r="G1308" s="11">
        <v>3125</v>
      </c>
      <c r="H1308" s="11">
        <v>6073</v>
      </c>
      <c r="I1308" s="11">
        <v>2465</v>
      </c>
    </row>
    <row r="1309" spans="1:9" x14ac:dyDescent="0.2">
      <c r="A1309" s="10">
        <v>6712</v>
      </c>
      <c r="B1309" s="10">
        <v>49</v>
      </c>
      <c r="C1309" s="10" t="s">
        <v>1649</v>
      </c>
      <c r="D1309" s="10">
        <v>4999</v>
      </c>
      <c r="E1309" s="10" t="s">
        <v>1664</v>
      </c>
      <c r="F1309" s="11">
        <v>15854</v>
      </c>
      <c r="G1309" s="11">
        <v>17141</v>
      </c>
      <c r="H1309" s="11">
        <v>32995</v>
      </c>
      <c r="I1309" s="11">
        <v>17063</v>
      </c>
    </row>
    <row r="1310" spans="1:9" x14ac:dyDescent="0.2">
      <c r="A1310" s="10">
        <v>6712</v>
      </c>
      <c r="B1310" s="10">
        <v>50</v>
      </c>
      <c r="C1310" s="10" t="s">
        <v>1665</v>
      </c>
      <c r="D1310" s="10">
        <v>5001</v>
      </c>
      <c r="E1310" s="10" t="s">
        <v>1666</v>
      </c>
      <c r="F1310" s="11">
        <v>7069</v>
      </c>
      <c r="G1310" s="11">
        <v>8007</v>
      </c>
      <c r="H1310" s="11">
        <v>15076</v>
      </c>
      <c r="I1310" s="11">
        <v>12110</v>
      </c>
    </row>
    <row r="1311" spans="1:9" x14ac:dyDescent="0.2">
      <c r="A1311" s="10">
        <v>6712</v>
      </c>
      <c r="B1311" s="10">
        <v>50</v>
      </c>
      <c r="C1311" s="10" t="s">
        <v>1665</v>
      </c>
      <c r="D1311" s="10">
        <v>5002</v>
      </c>
      <c r="E1311" s="10" t="s">
        <v>1667</v>
      </c>
      <c r="F1311" s="11">
        <v>27631</v>
      </c>
      <c r="G1311" s="11">
        <v>28893</v>
      </c>
      <c r="H1311" s="11">
        <v>56524</v>
      </c>
      <c r="I1311" s="11">
        <v>21254</v>
      </c>
    </row>
    <row r="1312" spans="1:9" x14ac:dyDescent="0.2">
      <c r="A1312" s="10">
        <v>6712</v>
      </c>
      <c r="B1312" s="10">
        <v>50</v>
      </c>
      <c r="C1312" s="10" t="s">
        <v>1665</v>
      </c>
      <c r="D1312" s="10">
        <v>5003</v>
      </c>
      <c r="E1312" s="10" t="s">
        <v>1668</v>
      </c>
      <c r="F1312" s="11">
        <v>29447</v>
      </c>
      <c r="G1312" s="11">
        <v>28544</v>
      </c>
      <c r="H1312" s="11">
        <v>57991</v>
      </c>
      <c r="I1312" s="11">
        <v>19448</v>
      </c>
    </row>
    <row r="1313" spans="1:9" x14ac:dyDescent="0.2">
      <c r="A1313" s="10">
        <v>6712</v>
      </c>
      <c r="B1313" s="10">
        <v>50</v>
      </c>
      <c r="C1313" s="10" t="s">
        <v>1665</v>
      </c>
      <c r="D1313" s="10">
        <v>5004</v>
      </c>
      <c r="E1313" s="10" t="s">
        <v>1669</v>
      </c>
      <c r="F1313" s="11">
        <v>13835</v>
      </c>
      <c r="G1313" s="11">
        <v>14392</v>
      </c>
      <c r="H1313" s="11">
        <v>28227</v>
      </c>
      <c r="I1313" s="11">
        <v>12238</v>
      </c>
    </row>
    <row r="1314" spans="1:9" x14ac:dyDescent="0.2">
      <c r="A1314" s="10">
        <v>6712</v>
      </c>
      <c r="B1314" s="10">
        <v>50</v>
      </c>
      <c r="C1314" s="10" t="s">
        <v>1665</v>
      </c>
      <c r="D1314" s="10">
        <v>5005</v>
      </c>
      <c r="E1314" s="10" t="s">
        <v>1670</v>
      </c>
      <c r="F1314" s="11">
        <v>22787</v>
      </c>
      <c r="G1314" s="11">
        <v>25424</v>
      </c>
      <c r="H1314" s="11">
        <v>48211</v>
      </c>
      <c r="I1314" s="11">
        <v>25360</v>
      </c>
    </row>
    <row r="1315" spans="1:9" x14ac:dyDescent="0.2">
      <c r="A1315" s="10">
        <v>6712</v>
      </c>
      <c r="B1315" s="10">
        <v>50</v>
      </c>
      <c r="C1315" s="10" t="s">
        <v>1665</v>
      </c>
      <c r="D1315" s="10">
        <v>5006</v>
      </c>
      <c r="E1315" s="10" t="s">
        <v>1671</v>
      </c>
      <c r="F1315" s="11">
        <v>29530</v>
      </c>
      <c r="G1315" s="11">
        <v>30077</v>
      </c>
      <c r="H1315" s="11">
        <v>59607</v>
      </c>
      <c r="I1315" s="11">
        <v>25979</v>
      </c>
    </row>
    <row r="1316" spans="1:9" x14ac:dyDescent="0.2">
      <c r="A1316" s="10">
        <v>6712</v>
      </c>
      <c r="B1316" s="10">
        <v>50</v>
      </c>
      <c r="C1316" s="10" t="s">
        <v>1665</v>
      </c>
      <c r="D1316" s="10">
        <v>5007</v>
      </c>
      <c r="E1316" s="10" t="s">
        <v>1672</v>
      </c>
      <c r="F1316" s="11">
        <v>41106</v>
      </c>
      <c r="G1316" s="11">
        <v>43422</v>
      </c>
      <c r="H1316" s="11">
        <v>84528</v>
      </c>
      <c r="I1316" s="11">
        <v>40928</v>
      </c>
    </row>
    <row r="1317" spans="1:9" x14ac:dyDescent="0.2">
      <c r="A1317" s="10">
        <v>6712</v>
      </c>
      <c r="B1317" s="10">
        <v>50</v>
      </c>
      <c r="C1317" s="10" t="s">
        <v>1665</v>
      </c>
      <c r="D1317" s="10">
        <v>5008</v>
      </c>
      <c r="E1317" s="10" t="s">
        <v>1673</v>
      </c>
      <c r="F1317" s="11">
        <v>9263</v>
      </c>
      <c r="G1317" s="11">
        <v>8966</v>
      </c>
      <c r="H1317" s="11">
        <v>18229</v>
      </c>
      <c r="I1317" s="11">
        <v>6406</v>
      </c>
    </row>
    <row r="1318" spans="1:9" x14ac:dyDescent="0.2">
      <c r="A1318" s="10">
        <v>6712</v>
      </c>
      <c r="B1318" s="10">
        <v>50</v>
      </c>
      <c r="C1318" s="10" t="s">
        <v>1665</v>
      </c>
      <c r="D1318" s="10">
        <v>5009</v>
      </c>
      <c r="E1318" s="10" t="s">
        <v>1674</v>
      </c>
      <c r="F1318" s="11">
        <v>55758</v>
      </c>
      <c r="G1318" s="11">
        <v>56854</v>
      </c>
      <c r="H1318" s="11">
        <v>112612</v>
      </c>
      <c r="I1318" s="11">
        <v>43035</v>
      </c>
    </row>
    <row r="1319" spans="1:9" x14ac:dyDescent="0.2">
      <c r="A1319" s="10">
        <v>6712</v>
      </c>
      <c r="B1319" s="10">
        <v>50</v>
      </c>
      <c r="C1319" s="10" t="s">
        <v>1665</v>
      </c>
      <c r="D1319" s="10">
        <v>5010</v>
      </c>
      <c r="E1319" s="10" t="s">
        <v>1675</v>
      </c>
      <c r="F1319" s="11">
        <v>34192</v>
      </c>
      <c r="G1319" s="11">
        <v>34339</v>
      </c>
      <c r="H1319" s="11">
        <v>68531</v>
      </c>
      <c r="I1319" s="11">
        <v>27309</v>
      </c>
    </row>
    <row r="1320" spans="1:9" x14ac:dyDescent="0.2">
      <c r="A1320" s="10">
        <v>6712</v>
      </c>
      <c r="B1320" s="10">
        <v>50</v>
      </c>
      <c r="C1320" s="10" t="s">
        <v>1665</v>
      </c>
      <c r="D1320" s="10">
        <v>5011</v>
      </c>
      <c r="E1320" s="10" t="s">
        <v>1676</v>
      </c>
      <c r="F1320" s="11">
        <v>17755</v>
      </c>
      <c r="G1320" s="11">
        <v>18316</v>
      </c>
      <c r="H1320" s="11">
        <v>36071</v>
      </c>
      <c r="I1320" s="11">
        <v>16185</v>
      </c>
    </row>
    <row r="1321" spans="1:9" x14ac:dyDescent="0.2">
      <c r="A1321" s="10">
        <v>6712</v>
      </c>
      <c r="B1321" s="10">
        <v>50</v>
      </c>
      <c r="C1321" s="10" t="s">
        <v>1665</v>
      </c>
      <c r="D1321" s="10">
        <v>5012</v>
      </c>
      <c r="E1321" s="10" t="s">
        <v>1677</v>
      </c>
      <c r="F1321" s="11">
        <v>27246</v>
      </c>
      <c r="G1321" s="11">
        <v>31155</v>
      </c>
      <c r="H1321" s="11">
        <v>58401</v>
      </c>
      <c r="I1321" s="11">
        <v>26903</v>
      </c>
    </row>
    <row r="1322" spans="1:9" x14ac:dyDescent="0.2">
      <c r="A1322" s="10">
        <v>6712</v>
      </c>
      <c r="B1322" s="10">
        <v>50</v>
      </c>
      <c r="C1322" s="10" t="s">
        <v>1665</v>
      </c>
      <c r="D1322" s="10">
        <v>5013</v>
      </c>
      <c r="E1322" s="10" t="s">
        <v>1678</v>
      </c>
      <c r="F1322" s="11">
        <v>20708</v>
      </c>
      <c r="G1322" s="11">
        <v>23586</v>
      </c>
      <c r="H1322" s="11">
        <v>44294</v>
      </c>
      <c r="I1322" s="11">
        <v>24814</v>
      </c>
    </row>
    <row r="1323" spans="1:9" x14ac:dyDescent="0.2">
      <c r="A1323" s="10">
        <v>6712</v>
      </c>
      <c r="B1323" s="10">
        <v>50</v>
      </c>
      <c r="C1323" s="10" t="s">
        <v>1665</v>
      </c>
      <c r="D1323" s="10">
        <v>5014</v>
      </c>
      <c r="E1323" s="10" t="s">
        <v>1679</v>
      </c>
      <c r="F1323" s="11">
        <v>10571</v>
      </c>
      <c r="G1323" s="11">
        <v>11916</v>
      </c>
      <c r="H1323" s="11">
        <v>22487</v>
      </c>
      <c r="I1323" s="11">
        <v>11713</v>
      </c>
    </row>
    <row r="1324" spans="1:9" x14ac:dyDescent="0.2">
      <c r="A1324" s="10">
        <v>6712</v>
      </c>
      <c r="B1324" s="10">
        <v>50</v>
      </c>
      <c r="C1324" s="10" t="s">
        <v>1665</v>
      </c>
      <c r="D1324" s="10">
        <v>5015</v>
      </c>
      <c r="E1324" s="10" t="s">
        <v>1680</v>
      </c>
      <c r="F1324" s="11">
        <v>37284</v>
      </c>
      <c r="G1324" s="11">
        <v>42668</v>
      </c>
      <c r="H1324" s="11">
        <v>79952</v>
      </c>
      <c r="I1324" s="11">
        <v>48482</v>
      </c>
    </row>
    <row r="1325" spans="1:9" x14ac:dyDescent="0.2">
      <c r="A1325" s="10">
        <v>6712</v>
      </c>
      <c r="B1325" s="10">
        <v>50</v>
      </c>
      <c r="C1325" s="10" t="s">
        <v>1665</v>
      </c>
      <c r="D1325" s="10">
        <v>5016</v>
      </c>
      <c r="E1325" s="10" t="s">
        <v>1681</v>
      </c>
      <c r="F1325" s="11">
        <v>12330</v>
      </c>
      <c r="G1325" s="11">
        <v>12633</v>
      </c>
      <c r="H1325" s="11">
        <v>24963</v>
      </c>
      <c r="I1325" s="11">
        <v>9985</v>
      </c>
    </row>
    <row r="1326" spans="1:9" x14ac:dyDescent="0.2">
      <c r="A1326" s="10">
        <v>6712</v>
      </c>
      <c r="B1326" s="10">
        <v>50</v>
      </c>
      <c r="C1326" s="10" t="s">
        <v>1665</v>
      </c>
      <c r="D1326" s="10">
        <v>5017</v>
      </c>
      <c r="E1326" s="10" t="s">
        <v>1682</v>
      </c>
      <c r="F1326" s="11">
        <v>11095</v>
      </c>
      <c r="G1326" s="11">
        <v>11293</v>
      </c>
      <c r="H1326" s="11">
        <v>22388</v>
      </c>
      <c r="I1326" s="11">
        <v>8998</v>
      </c>
    </row>
    <row r="1327" spans="1:9" x14ac:dyDescent="0.2">
      <c r="A1327" s="10">
        <v>6712</v>
      </c>
      <c r="B1327" s="10">
        <v>50</v>
      </c>
      <c r="C1327" s="10" t="s">
        <v>1665</v>
      </c>
      <c r="D1327" s="10">
        <v>5018</v>
      </c>
      <c r="E1327" s="10" t="s">
        <v>1683</v>
      </c>
      <c r="F1327" s="11">
        <v>31381</v>
      </c>
      <c r="G1327" s="11">
        <v>30976</v>
      </c>
      <c r="H1327" s="11">
        <v>62357</v>
      </c>
      <c r="I1327" s="11">
        <v>24185</v>
      </c>
    </row>
    <row r="1328" spans="1:9" x14ac:dyDescent="0.2">
      <c r="A1328" s="10">
        <v>6712</v>
      </c>
      <c r="B1328" s="10">
        <v>50</v>
      </c>
      <c r="C1328" s="10" t="s">
        <v>1665</v>
      </c>
      <c r="D1328" s="10">
        <v>5019</v>
      </c>
      <c r="E1328" s="10" t="s">
        <v>1684</v>
      </c>
      <c r="F1328" s="11">
        <v>23372</v>
      </c>
      <c r="G1328" s="11">
        <v>27021</v>
      </c>
      <c r="H1328" s="11">
        <v>50393</v>
      </c>
      <c r="I1328" s="11">
        <v>26501</v>
      </c>
    </row>
    <row r="1329" spans="1:9" x14ac:dyDescent="0.2">
      <c r="A1329" s="10">
        <v>6712</v>
      </c>
      <c r="B1329" s="10">
        <v>50</v>
      </c>
      <c r="C1329" s="10" t="s">
        <v>1665</v>
      </c>
      <c r="D1329" s="10">
        <v>5020</v>
      </c>
      <c r="E1329" s="10" t="s">
        <v>1685</v>
      </c>
      <c r="F1329" s="11">
        <v>27433</v>
      </c>
      <c r="G1329" s="11">
        <v>26776</v>
      </c>
      <c r="H1329" s="11">
        <v>54209</v>
      </c>
      <c r="I1329" s="11">
        <v>10301</v>
      </c>
    </row>
    <row r="1330" spans="1:9" x14ac:dyDescent="0.2">
      <c r="A1330" s="10">
        <v>6712</v>
      </c>
      <c r="B1330" s="10">
        <v>50</v>
      </c>
      <c r="C1330" s="10" t="s">
        <v>1665</v>
      </c>
      <c r="D1330" s="10">
        <v>5021</v>
      </c>
      <c r="E1330" s="10" t="s">
        <v>1686</v>
      </c>
      <c r="F1330" s="11">
        <v>17706</v>
      </c>
      <c r="G1330" s="11">
        <v>17770</v>
      </c>
      <c r="H1330" s="11">
        <v>35476</v>
      </c>
      <c r="I1330" s="11">
        <v>12323</v>
      </c>
    </row>
    <row r="1331" spans="1:9" x14ac:dyDescent="0.2">
      <c r="A1331" s="10">
        <v>6712</v>
      </c>
      <c r="B1331" s="10">
        <v>50</v>
      </c>
      <c r="C1331" s="10" t="s">
        <v>1665</v>
      </c>
      <c r="D1331" s="10">
        <v>5022</v>
      </c>
      <c r="E1331" s="10" t="s">
        <v>1687</v>
      </c>
      <c r="F1331" s="11">
        <v>13613</v>
      </c>
      <c r="G1331" s="11">
        <v>13833</v>
      </c>
      <c r="H1331" s="11">
        <v>27446</v>
      </c>
      <c r="I1331" s="11">
        <v>10423</v>
      </c>
    </row>
    <row r="1332" spans="1:9" x14ac:dyDescent="0.2">
      <c r="A1332" s="10">
        <v>6712</v>
      </c>
      <c r="B1332" s="10">
        <v>50</v>
      </c>
      <c r="C1332" s="10" t="s">
        <v>1665</v>
      </c>
      <c r="D1332" s="10">
        <v>5023</v>
      </c>
      <c r="E1332" s="10" t="s">
        <v>1688</v>
      </c>
      <c r="F1332" s="11">
        <v>10211</v>
      </c>
      <c r="G1332" s="11">
        <v>10519</v>
      </c>
      <c r="H1332" s="11">
        <v>20730</v>
      </c>
      <c r="I1332" s="11">
        <v>10094</v>
      </c>
    </row>
    <row r="1333" spans="1:9" x14ac:dyDescent="0.2">
      <c r="A1333" s="10">
        <v>6712</v>
      </c>
      <c r="B1333" s="10">
        <v>50</v>
      </c>
      <c r="C1333" s="10" t="s">
        <v>1665</v>
      </c>
      <c r="D1333" s="10">
        <v>5024</v>
      </c>
      <c r="E1333" s="10" t="s">
        <v>1689</v>
      </c>
      <c r="F1333" s="11">
        <v>11752</v>
      </c>
      <c r="G1333" s="11">
        <v>12633</v>
      </c>
      <c r="H1333" s="11">
        <v>24385</v>
      </c>
      <c r="I1333" s="11">
        <v>12068</v>
      </c>
    </row>
    <row r="1334" spans="1:9" x14ac:dyDescent="0.2">
      <c r="A1334" s="10">
        <v>6712</v>
      </c>
      <c r="B1334" s="10">
        <v>50</v>
      </c>
      <c r="C1334" s="10" t="s">
        <v>1665</v>
      </c>
      <c r="D1334" s="10">
        <v>5025</v>
      </c>
      <c r="E1334" s="10" t="s">
        <v>1690</v>
      </c>
      <c r="F1334" s="11">
        <v>6709</v>
      </c>
      <c r="G1334" s="11">
        <v>6384</v>
      </c>
      <c r="H1334" s="11">
        <v>13093</v>
      </c>
      <c r="I1334" s="11">
        <v>4736</v>
      </c>
    </row>
    <row r="1335" spans="1:9" x14ac:dyDescent="0.2">
      <c r="A1335" s="10">
        <v>6712</v>
      </c>
      <c r="B1335" s="10">
        <v>50</v>
      </c>
      <c r="C1335" s="10" t="s">
        <v>1665</v>
      </c>
      <c r="D1335" s="10">
        <v>5040</v>
      </c>
      <c r="E1335" s="10" t="s">
        <v>1691</v>
      </c>
      <c r="F1335" s="11">
        <v>4144</v>
      </c>
      <c r="G1335" s="11">
        <v>4631</v>
      </c>
      <c r="H1335" s="11">
        <v>8775</v>
      </c>
      <c r="I1335" s="11">
        <v>4322</v>
      </c>
    </row>
    <row r="1336" spans="1:9" x14ac:dyDescent="0.2">
      <c r="A1336" s="10">
        <v>6712</v>
      </c>
      <c r="B1336" s="10">
        <v>50</v>
      </c>
      <c r="C1336" s="10" t="s">
        <v>1665</v>
      </c>
      <c r="D1336" s="10">
        <v>5041</v>
      </c>
      <c r="E1336" s="10" t="s">
        <v>1692</v>
      </c>
      <c r="F1336" s="11">
        <v>5939</v>
      </c>
      <c r="G1336" s="11">
        <v>5977</v>
      </c>
      <c r="H1336" s="11">
        <v>11916</v>
      </c>
      <c r="I1336" s="11">
        <v>3997</v>
      </c>
    </row>
    <row r="1337" spans="1:9" x14ac:dyDescent="0.2">
      <c r="A1337" s="10">
        <v>6712</v>
      </c>
      <c r="B1337" s="10">
        <v>50</v>
      </c>
      <c r="C1337" s="10" t="s">
        <v>1665</v>
      </c>
      <c r="D1337" s="10">
        <v>5042</v>
      </c>
      <c r="E1337" s="10" t="s">
        <v>1693</v>
      </c>
      <c r="F1337" s="11">
        <v>7491</v>
      </c>
      <c r="G1337" s="11">
        <v>8447</v>
      </c>
      <c r="H1337" s="11">
        <v>15938</v>
      </c>
      <c r="I1337" s="11">
        <v>7348</v>
      </c>
    </row>
    <row r="1338" spans="1:9" x14ac:dyDescent="0.2">
      <c r="A1338" s="10">
        <v>6712</v>
      </c>
      <c r="B1338" s="10">
        <v>50</v>
      </c>
      <c r="C1338" s="10" t="s">
        <v>1665</v>
      </c>
      <c r="D1338" s="10">
        <v>5043</v>
      </c>
      <c r="E1338" s="10" t="s">
        <v>1694</v>
      </c>
      <c r="F1338" s="11">
        <v>6367</v>
      </c>
      <c r="G1338" s="11">
        <v>7601</v>
      </c>
      <c r="H1338" s="11">
        <v>13968</v>
      </c>
      <c r="I1338" s="11">
        <v>8993</v>
      </c>
    </row>
    <row r="1339" spans="1:9" x14ac:dyDescent="0.2">
      <c r="A1339" s="10">
        <v>6712</v>
      </c>
      <c r="B1339" s="10">
        <v>50</v>
      </c>
      <c r="C1339" s="10" t="s">
        <v>1665</v>
      </c>
      <c r="D1339" s="10">
        <v>5044</v>
      </c>
      <c r="E1339" s="10" t="s">
        <v>1695</v>
      </c>
      <c r="F1339" s="11">
        <v>2895</v>
      </c>
      <c r="G1339" s="11">
        <v>3462</v>
      </c>
      <c r="H1339" s="11">
        <v>6357</v>
      </c>
      <c r="I1339" s="11">
        <v>3683</v>
      </c>
    </row>
    <row r="1340" spans="1:9" x14ac:dyDescent="0.2">
      <c r="A1340" s="10">
        <v>6712</v>
      </c>
      <c r="B1340" s="10">
        <v>50</v>
      </c>
      <c r="C1340" s="10" t="s">
        <v>1665</v>
      </c>
      <c r="D1340" s="10">
        <v>5046</v>
      </c>
      <c r="E1340" s="10" t="s">
        <v>1696</v>
      </c>
      <c r="F1340" s="11">
        <v>8623</v>
      </c>
      <c r="G1340" s="11">
        <v>10088</v>
      </c>
      <c r="H1340" s="11">
        <v>18711</v>
      </c>
      <c r="I1340" s="11">
        <v>10814</v>
      </c>
    </row>
    <row r="1341" spans="1:9" x14ac:dyDescent="0.2">
      <c r="A1341" s="10">
        <v>6712</v>
      </c>
      <c r="B1341" s="10">
        <v>50</v>
      </c>
      <c r="C1341" s="10" t="s">
        <v>1665</v>
      </c>
      <c r="D1341" s="10">
        <v>5049</v>
      </c>
      <c r="E1341" s="10" t="s">
        <v>1697</v>
      </c>
      <c r="F1341" s="11">
        <v>3856</v>
      </c>
      <c r="G1341" s="11">
        <v>4201</v>
      </c>
      <c r="H1341" s="11">
        <v>8057</v>
      </c>
      <c r="I1341" s="11">
        <v>4053</v>
      </c>
    </row>
    <row r="1342" spans="1:9" x14ac:dyDescent="0.2">
      <c r="A1342" s="10">
        <v>6712</v>
      </c>
      <c r="B1342" s="10">
        <v>50</v>
      </c>
      <c r="C1342" s="10" t="s">
        <v>1665</v>
      </c>
      <c r="D1342" s="10">
        <v>5050</v>
      </c>
      <c r="E1342" s="10" t="s">
        <v>1698</v>
      </c>
      <c r="F1342" s="11">
        <v>18888</v>
      </c>
      <c r="G1342" s="11">
        <v>19505</v>
      </c>
      <c r="H1342" s="11">
        <v>38393</v>
      </c>
      <c r="I1342" s="11">
        <v>10171</v>
      </c>
    </row>
    <row r="1343" spans="1:9" x14ac:dyDescent="0.2">
      <c r="A1343" s="10">
        <v>6712</v>
      </c>
      <c r="B1343" s="10">
        <v>50</v>
      </c>
      <c r="C1343" s="10" t="s">
        <v>1665</v>
      </c>
      <c r="D1343" s="10">
        <v>5054</v>
      </c>
      <c r="E1343" s="10" t="s">
        <v>1699</v>
      </c>
      <c r="F1343" s="11">
        <v>5607</v>
      </c>
      <c r="G1343" s="11">
        <v>5498</v>
      </c>
      <c r="H1343" s="11">
        <v>11105</v>
      </c>
      <c r="I1343" s="11">
        <v>3195</v>
      </c>
    </row>
    <row r="1344" spans="1:9" x14ac:dyDescent="0.2">
      <c r="A1344" s="10">
        <v>6712</v>
      </c>
      <c r="B1344" s="10">
        <v>50</v>
      </c>
      <c r="C1344" s="10" t="s">
        <v>1665</v>
      </c>
      <c r="D1344" s="10">
        <v>5055</v>
      </c>
      <c r="E1344" s="10" t="s">
        <v>1700</v>
      </c>
      <c r="F1344" s="11">
        <v>7631</v>
      </c>
      <c r="G1344" s="11">
        <v>6708</v>
      </c>
      <c r="H1344" s="11">
        <v>14339</v>
      </c>
      <c r="I1344" s="11">
        <v>4775</v>
      </c>
    </row>
    <row r="1345" spans="1:9" x14ac:dyDescent="0.2">
      <c r="A1345" s="10">
        <v>6712</v>
      </c>
      <c r="B1345" s="10">
        <v>50</v>
      </c>
      <c r="C1345" s="10" t="s">
        <v>1665</v>
      </c>
      <c r="D1345" s="10">
        <v>5056</v>
      </c>
      <c r="E1345" s="10" t="s">
        <v>1701</v>
      </c>
      <c r="F1345" s="11">
        <v>1148</v>
      </c>
      <c r="G1345" s="11">
        <v>1213</v>
      </c>
      <c r="H1345" s="11">
        <v>2361</v>
      </c>
      <c r="I1345" s="11">
        <v>1213</v>
      </c>
    </row>
    <row r="1346" spans="1:9" x14ac:dyDescent="0.2">
      <c r="A1346" s="10">
        <v>6712</v>
      </c>
      <c r="B1346" s="10">
        <v>50</v>
      </c>
      <c r="C1346" s="10" t="s">
        <v>1665</v>
      </c>
      <c r="D1346" s="10">
        <v>5057</v>
      </c>
      <c r="E1346" s="10" t="s">
        <v>1702</v>
      </c>
      <c r="F1346" s="11">
        <v>8924</v>
      </c>
      <c r="G1346" s="11">
        <v>11043</v>
      </c>
      <c r="H1346" s="11">
        <v>19967</v>
      </c>
      <c r="I1346" s="11">
        <v>14290</v>
      </c>
    </row>
    <row r="1347" spans="1:9" x14ac:dyDescent="0.2">
      <c r="A1347" s="10">
        <v>6712</v>
      </c>
      <c r="B1347" s="10">
        <v>50</v>
      </c>
      <c r="C1347" s="10" t="s">
        <v>1665</v>
      </c>
      <c r="D1347" s="10">
        <v>5058</v>
      </c>
      <c r="E1347" s="10" t="s">
        <v>1703</v>
      </c>
      <c r="F1347" s="11">
        <v>3036</v>
      </c>
      <c r="G1347" s="11">
        <v>3518</v>
      </c>
      <c r="H1347" s="11">
        <v>6554</v>
      </c>
      <c r="I1347" s="11">
        <v>2911</v>
      </c>
    </row>
    <row r="1348" spans="1:9" x14ac:dyDescent="0.2">
      <c r="A1348" s="10">
        <v>6712</v>
      </c>
      <c r="B1348" s="10">
        <v>50</v>
      </c>
      <c r="C1348" s="10" t="s">
        <v>1665</v>
      </c>
      <c r="D1348" s="10">
        <v>5059</v>
      </c>
      <c r="E1348" s="10" t="s">
        <v>1704</v>
      </c>
      <c r="F1348" s="11">
        <v>3269</v>
      </c>
      <c r="G1348" s="11">
        <v>3909</v>
      </c>
      <c r="H1348" s="11">
        <v>7178</v>
      </c>
      <c r="I1348" s="11">
        <v>9881</v>
      </c>
    </row>
    <row r="1349" spans="1:9" x14ac:dyDescent="0.2">
      <c r="A1349" s="10">
        <v>6712</v>
      </c>
      <c r="B1349" s="10">
        <v>50</v>
      </c>
      <c r="C1349" s="10" t="s">
        <v>1665</v>
      </c>
      <c r="D1349" s="10">
        <v>5060</v>
      </c>
      <c r="E1349" s="10" t="s">
        <v>1705</v>
      </c>
      <c r="F1349" s="11">
        <v>7980</v>
      </c>
      <c r="G1349" s="11">
        <v>9626</v>
      </c>
      <c r="H1349" s="11">
        <v>17606</v>
      </c>
      <c r="I1349" s="11">
        <v>9887</v>
      </c>
    </row>
    <row r="1350" spans="1:9" x14ac:dyDescent="0.2">
      <c r="A1350" s="10">
        <v>6712</v>
      </c>
      <c r="B1350" s="10">
        <v>50</v>
      </c>
      <c r="C1350" s="10" t="s">
        <v>1665</v>
      </c>
      <c r="D1350" s="10">
        <v>5061</v>
      </c>
      <c r="E1350" s="10" t="s">
        <v>1706</v>
      </c>
      <c r="F1350" s="11">
        <v>3578</v>
      </c>
      <c r="G1350" s="11">
        <v>4385</v>
      </c>
      <c r="H1350" s="11">
        <v>7963</v>
      </c>
      <c r="I1350" s="11">
        <v>5764</v>
      </c>
    </row>
    <row r="1351" spans="1:9" x14ac:dyDescent="0.2">
      <c r="A1351" s="10">
        <v>6712</v>
      </c>
      <c r="B1351" s="10">
        <v>50</v>
      </c>
      <c r="C1351" s="10" t="s">
        <v>1665</v>
      </c>
      <c r="D1351" s="10">
        <v>5062</v>
      </c>
      <c r="E1351" s="10" t="s">
        <v>1707</v>
      </c>
      <c r="F1351" s="11">
        <v>4164</v>
      </c>
      <c r="G1351" s="11">
        <v>4819</v>
      </c>
      <c r="H1351" s="11">
        <v>8983</v>
      </c>
      <c r="I1351" s="11">
        <v>4104</v>
      </c>
    </row>
    <row r="1352" spans="1:9" x14ac:dyDescent="0.2">
      <c r="A1352" s="10">
        <v>6712</v>
      </c>
      <c r="B1352" s="10">
        <v>50</v>
      </c>
      <c r="C1352" s="10" t="s">
        <v>1665</v>
      </c>
      <c r="D1352" s="10">
        <v>5063</v>
      </c>
      <c r="E1352" s="10" t="s">
        <v>547</v>
      </c>
      <c r="F1352" s="11">
        <v>3361</v>
      </c>
      <c r="G1352" s="11">
        <v>3936</v>
      </c>
      <c r="H1352" s="11">
        <v>7297</v>
      </c>
      <c r="I1352" s="11">
        <v>5723</v>
      </c>
    </row>
    <row r="1353" spans="1:9" x14ac:dyDescent="0.2">
      <c r="A1353" s="10">
        <v>6712</v>
      </c>
      <c r="B1353" s="10">
        <v>50</v>
      </c>
      <c r="C1353" s="10" t="s">
        <v>1665</v>
      </c>
      <c r="D1353" s="10">
        <v>5064</v>
      </c>
      <c r="E1353" s="10" t="s">
        <v>1708</v>
      </c>
      <c r="F1353" s="11">
        <v>7576</v>
      </c>
      <c r="G1353" s="11">
        <v>8926</v>
      </c>
      <c r="H1353" s="11">
        <v>16502</v>
      </c>
      <c r="I1353" s="11">
        <v>9418</v>
      </c>
    </row>
    <row r="1354" spans="1:9" x14ac:dyDescent="0.2">
      <c r="A1354" s="10">
        <v>6712</v>
      </c>
      <c r="B1354" s="10">
        <v>50</v>
      </c>
      <c r="C1354" s="10" t="s">
        <v>1665</v>
      </c>
      <c r="D1354" s="10">
        <v>5065</v>
      </c>
      <c r="E1354" s="10" t="s">
        <v>1709</v>
      </c>
      <c r="F1354" s="11">
        <v>4059</v>
      </c>
      <c r="G1354" s="11">
        <v>4506</v>
      </c>
      <c r="H1354" s="11">
        <v>8565</v>
      </c>
      <c r="I1354" s="11">
        <v>4390</v>
      </c>
    </row>
    <row r="1355" spans="1:9" x14ac:dyDescent="0.2">
      <c r="A1355" s="10">
        <v>6712</v>
      </c>
      <c r="B1355" s="10">
        <v>50</v>
      </c>
      <c r="C1355" s="10" t="s">
        <v>1665</v>
      </c>
      <c r="D1355" s="10">
        <v>5066</v>
      </c>
      <c r="E1355" s="10" t="s">
        <v>1710</v>
      </c>
      <c r="F1355" s="11">
        <v>2907</v>
      </c>
      <c r="G1355" s="11">
        <v>3032</v>
      </c>
      <c r="H1355" s="11">
        <v>5939</v>
      </c>
      <c r="I1355" s="11">
        <v>2749</v>
      </c>
    </row>
    <row r="1356" spans="1:9" x14ac:dyDescent="0.2">
      <c r="A1356" s="10">
        <v>6712</v>
      </c>
      <c r="B1356" s="10">
        <v>50</v>
      </c>
      <c r="C1356" s="10" t="s">
        <v>1665</v>
      </c>
      <c r="D1356" s="10">
        <v>5067</v>
      </c>
      <c r="E1356" s="10" t="s">
        <v>1711</v>
      </c>
      <c r="F1356" s="11">
        <v>3791</v>
      </c>
      <c r="G1356" s="11">
        <v>4173</v>
      </c>
      <c r="H1356" s="11">
        <v>7964</v>
      </c>
      <c r="I1356" s="11">
        <v>3517</v>
      </c>
    </row>
    <row r="1357" spans="1:9" x14ac:dyDescent="0.2">
      <c r="A1357" s="10">
        <v>6712</v>
      </c>
      <c r="B1357" s="10">
        <v>50</v>
      </c>
      <c r="C1357" s="10" t="s">
        <v>1665</v>
      </c>
      <c r="D1357" s="10">
        <v>5068</v>
      </c>
      <c r="E1357" s="10" t="s">
        <v>1712</v>
      </c>
      <c r="F1357" s="11">
        <v>8260</v>
      </c>
      <c r="G1357" s="11">
        <v>9858</v>
      </c>
      <c r="H1357" s="11">
        <v>18118</v>
      </c>
      <c r="I1357" s="11">
        <v>11719</v>
      </c>
    </row>
    <row r="1358" spans="1:9" x14ac:dyDescent="0.2">
      <c r="A1358" s="10">
        <v>6712</v>
      </c>
      <c r="B1358" s="10">
        <v>50</v>
      </c>
      <c r="C1358" s="10" t="s">
        <v>1665</v>
      </c>
      <c r="D1358" s="10">
        <v>5069</v>
      </c>
      <c r="E1358" s="10" t="s">
        <v>1713</v>
      </c>
      <c r="F1358" s="11">
        <v>8281</v>
      </c>
      <c r="G1358" s="11">
        <v>8592</v>
      </c>
      <c r="H1358" s="11">
        <v>16873</v>
      </c>
      <c r="I1358" s="11">
        <v>11842</v>
      </c>
    </row>
    <row r="1359" spans="1:9" x14ac:dyDescent="0.2">
      <c r="A1359" s="10">
        <v>6712</v>
      </c>
      <c r="B1359" s="10">
        <v>50</v>
      </c>
      <c r="C1359" s="10" t="s">
        <v>1665</v>
      </c>
      <c r="D1359" s="10">
        <v>5070</v>
      </c>
      <c r="E1359" s="10" t="s">
        <v>1714</v>
      </c>
      <c r="F1359" s="11">
        <v>3459</v>
      </c>
      <c r="G1359" s="11">
        <v>3911</v>
      </c>
      <c r="H1359" s="11">
        <v>7370</v>
      </c>
      <c r="I1359" s="11">
        <v>6486</v>
      </c>
    </row>
    <row r="1360" spans="1:9" x14ac:dyDescent="0.2">
      <c r="A1360" s="10">
        <v>6712</v>
      </c>
      <c r="B1360" s="10">
        <v>50</v>
      </c>
      <c r="C1360" s="10" t="s">
        <v>1665</v>
      </c>
      <c r="D1360" s="10">
        <v>5071</v>
      </c>
      <c r="E1360" s="10" t="s">
        <v>1715</v>
      </c>
      <c r="F1360" s="11">
        <v>2125</v>
      </c>
      <c r="G1360" s="11">
        <v>2374</v>
      </c>
      <c r="H1360" s="11">
        <v>4499</v>
      </c>
      <c r="I1360" s="11">
        <v>2331</v>
      </c>
    </row>
    <row r="1361" spans="1:9" x14ac:dyDescent="0.2">
      <c r="A1361" s="10">
        <v>6712</v>
      </c>
      <c r="B1361" s="10">
        <v>50</v>
      </c>
      <c r="C1361" s="10" t="s">
        <v>1665</v>
      </c>
      <c r="D1361" s="10">
        <v>5072</v>
      </c>
      <c r="E1361" s="10" t="s">
        <v>1716</v>
      </c>
      <c r="F1361" s="11">
        <v>7257</v>
      </c>
      <c r="G1361" s="11">
        <v>8055</v>
      </c>
      <c r="H1361" s="11">
        <v>15312</v>
      </c>
      <c r="I1361" s="11">
        <v>6763</v>
      </c>
    </row>
    <row r="1362" spans="1:9" x14ac:dyDescent="0.2">
      <c r="A1362" s="10">
        <v>6712</v>
      </c>
      <c r="B1362" s="10">
        <v>50</v>
      </c>
      <c r="C1362" s="10" t="s">
        <v>1665</v>
      </c>
      <c r="D1362" s="10">
        <v>5073</v>
      </c>
      <c r="E1362" s="10" t="s">
        <v>1717</v>
      </c>
      <c r="F1362" s="11">
        <v>5079</v>
      </c>
      <c r="G1362" s="11">
        <v>6100</v>
      </c>
      <c r="H1362" s="11">
        <v>11179</v>
      </c>
      <c r="I1362" s="11">
        <v>6319</v>
      </c>
    </row>
    <row r="1363" spans="1:9" x14ac:dyDescent="0.2">
      <c r="A1363" s="10">
        <v>6712</v>
      </c>
      <c r="B1363" s="10">
        <v>50</v>
      </c>
      <c r="C1363" s="10" t="s">
        <v>1665</v>
      </c>
      <c r="D1363" s="10">
        <v>5074</v>
      </c>
      <c r="E1363" s="10" t="s">
        <v>1718</v>
      </c>
      <c r="F1363" s="10">
        <v>546</v>
      </c>
      <c r="G1363" s="10">
        <v>507</v>
      </c>
      <c r="H1363" s="11">
        <v>1053</v>
      </c>
      <c r="I1363" s="10">
        <v>858</v>
      </c>
    </row>
    <row r="1364" spans="1:9" x14ac:dyDescent="0.2">
      <c r="A1364" s="10">
        <v>6712</v>
      </c>
      <c r="B1364" s="10">
        <v>50</v>
      </c>
      <c r="C1364" s="10" t="s">
        <v>1665</v>
      </c>
      <c r="D1364" s="10">
        <v>5075</v>
      </c>
      <c r="E1364" s="10" t="s">
        <v>1719</v>
      </c>
      <c r="F1364" s="11">
        <v>2003</v>
      </c>
      <c r="G1364" s="11">
        <v>2139</v>
      </c>
      <c r="H1364" s="11">
        <v>4142</v>
      </c>
      <c r="I1364" s="11">
        <v>1916</v>
      </c>
    </row>
    <row r="1365" spans="1:9" x14ac:dyDescent="0.2">
      <c r="A1365" s="10">
        <v>6712</v>
      </c>
      <c r="B1365" s="10">
        <v>50</v>
      </c>
      <c r="C1365" s="10" t="s">
        <v>1665</v>
      </c>
      <c r="D1365" s="10">
        <v>5076</v>
      </c>
      <c r="E1365" s="10" t="s">
        <v>809</v>
      </c>
      <c r="F1365" s="11">
        <v>2665</v>
      </c>
      <c r="G1365" s="11">
        <v>2894</v>
      </c>
      <c r="H1365" s="11">
        <v>5559</v>
      </c>
      <c r="I1365" s="11">
        <v>3679</v>
      </c>
    </row>
    <row r="1366" spans="1:9" x14ac:dyDescent="0.2">
      <c r="A1366" s="10">
        <v>6712</v>
      </c>
      <c r="B1366" s="10">
        <v>50</v>
      </c>
      <c r="C1366" s="10" t="s">
        <v>1665</v>
      </c>
      <c r="D1366" s="10">
        <v>5077</v>
      </c>
      <c r="E1366" s="10" t="s">
        <v>1720</v>
      </c>
      <c r="F1366" s="11">
        <v>2902</v>
      </c>
      <c r="G1366" s="11">
        <v>3539</v>
      </c>
      <c r="H1366" s="11">
        <v>6441</v>
      </c>
      <c r="I1366" s="11">
        <v>4099</v>
      </c>
    </row>
    <row r="1367" spans="1:9" x14ac:dyDescent="0.2">
      <c r="A1367" s="10">
        <v>6712</v>
      </c>
      <c r="B1367" s="10">
        <v>50</v>
      </c>
      <c r="C1367" s="10" t="s">
        <v>1665</v>
      </c>
      <c r="D1367" s="10">
        <v>5078</v>
      </c>
      <c r="E1367" s="10" t="s">
        <v>1721</v>
      </c>
      <c r="F1367" s="11">
        <v>3746</v>
      </c>
      <c r="G1367" s="11">
        <v>4396</v>
      </c>
      <c r="H1367" s="11">
        <v>8142</v>
      </c>
      <c r="I1367" s="11">
        <v>3698</v>
      </c>
    </row>
    <row r="1368" spans="1:9" x14ac:dyDescent="0.2">
      <c r="A1368" s="10">
        <v>6712</v>
      </c>
      <c r="B1368" s="10">
        <v>50</v>
      </c>
      <c r="C1368" s="10" t="s">
        <v>1665</v>
      </c>
      <c r="D1368" s="10">
        <v>5079</v>
      </c>
      <c r="E1368" s="10" t="s">
        <v>1722</v>
      </c>
      <c r="F1368" s="11">
        <v>13385</v>
      </c>
      <c r="G1368" s="11">
        <v>16149</v>
      </c>
      <c r="H1368" s="11">
        <v>29534</v>
      </c>
      <c r="I1368" s="11">
        <v>17318</v>
      </c>
    </row>
    <row r="1369" spans="1:9" x14ac:dyDescent="0.2">
      <c r="A1369" s="10">
        <v>6712</v>
      </c>
      <c r="B1369" s="10">
        <v>50</v>
      </c>
      <c r="C1369" s="10" t="s">
        <v>1665</v>
      </c>
      <c r="D1369" s="10">
        <v>5080</v>
      </c>
      <c r="E1369" s="10" t="s">
        <v>1723</v>
      </c>
      <c r="F1369" s="11">
        <v>10540</v>
      </c>
      <c r="G1369" s="11">
        <v>12648</v>
      </c>
      <c r="H1369" s="11">
        <v>23188</v>
      </c>
      <c r="I1369" s="11">
        <v>15532</v>
      </c>
    </row>
    <row r="1370" spans="1:9" x14ac:dyDescent="0.2">
      <c r="A1370" s="10">
        <v>6712</v>
      </c>
      <c r="B1370" s="10">
        <v>50</v>
      </c>
      <c r="C1370" s="10" t="s">
        <v>1665</v>
      </c>
      <c r="D1370" s="10">
        <v>5081</v>
      </c>
      <c r="E1370" s="10" t="s">
        <v>1724</v>
      </c>
      <c r="F1370" s="11">
        <v>8044</v>
      </c>
      <c r="G1370" s="11">
        <v>9406</v>
      </c>
      <c r="H1370" s="11">
        <v>17450</v>
      </c>
      <c r="I1370" s="11">
        <v>9638</v>
      </c>
    </row>
    <row r="1371" spans="1:9" x14ac:dyDescent="0.2">
      <c r="A1371" s="10">
        <v>6712</v>
      </c>
      <c r="B1371" s="10">
        <v>50</v>
      </c>
      <c r="C1371" s="10" t="s">
        <v>1665</v>
      </c>
      <c r="D1371" s="10">
        <v>5082</v>
      </c>
      <c r="E1371" s="10" t="s">
        <v>1725</v>
      </c>
      <c r="F1371" s="11">
        <v>9345</v>
      </c>
      <c r="G1371" s="11">
        <v>11337</v>
      </c>
      <c r="H1371" s="11">
        <v>20682</v>
      </c>
      <c r="I1371" s="11">
        <v>14372</v>
      </c>
    </row>
    <row r="1372" spans="1:9" x14ac:dyDescent="0.2">
      <c r="A1372" s="10">
        <v>6712</v>
      </c>
      <c r="B1372" s="10">
        <v>50</v>
      </c>
      <c r="C1372" s="10" t="s">
        <v>1665</v>
      </c>
      <c r="D1372" s="10">
        <v>5083</v>
      </c>
      <c r="E1372" s="10" t="s">
        <v>1726</v>
      </c>
      <c r="F1372" s="11">
        <v>1926</v>
      </c>
      <c r="G1372" s="11">
        <v>2305</v>
      </c>
      <c r="H1372" s="11">
        <v>4231</v>
      </c>
      <c r="I1372" s="11">
        <v>2849</v>
      </c>
    </row>
    <row r="1373" spans="1:9" x14ac:dyDescent="0.2">
      <c r="A1373" s="10">
        <v>6712</v>
      </c>
      <c r="B1373" s="10">
        <v>50</v>
      </c>
      <c r="C1373" s="10" t="s">
        <v>1665</v>
      </c>
      <c r="D1373" s="10">
        <v>5084</v>
      </c>
      <c r="E1373" s="10" t="s">
        <v>444</v>
      </c>
      <c r="F1373" s="11">
        <v>4788</v>
      </c>
      <c r="G1373" s="11">
        <v>5461</v>
      </c>
      <c r="H1373" s="11">
        <v>10249</v>
      </c>
      <c r="I1373" s="11">
        <v>5652</v>
      </c>
    </row>
    <row r="1374" spans="1:9" x14ac:dyDescent="0.2">
      <c r="A1374" s="10">
        <v>6712</v>
      </c>
      <c r="B1374" s="10">
        <v>50</v>
      </c>
      <c r="C1374" s="10" t="s">
        <v>1665</v>
      </c>
      <c r="D1374" s="10">
        <v>5085</v>
      </c>
      <c r="E1374" s="10" t="s">
        <v>1727</v>
      </c>
      <c r="F1374" s="11">
        <v>2035</v>
      </c>
      <c r="G1374" s="11">
        <v>2415</v>
      </c>
      <c r="H1374" s="11">
        <v>4450</v>
      </c>
      <c r="I1374" s="11">
        <v>2908</v>
      </c>
    </row>
    <row r="1375" spans="1:9" x14ac:dyDescent="0.2">
      <c r="A1375" s="10">
        <v>6712</v>
      </c>
      <c r="B1375" s="10">
        <v>50</v>
      </c>
      <c r="C1375" s="10" t="s">
        <v>1665</v>
      </c>
      <c r="D1375" s="10">
        <v>5086</v>
      </c>
      <c r="E1375" s="10" t="s">
        <v>1728</v>
      </c>
      <c r="F1375" s="11">
        <v>4953</v>
      </c>
      <c r="G1375" s="11">
        <v>5420</v>
      </c>
      <c r="H1375" s="11">
        <v>10373</v>
      </c>
      <c r="I1375" s="11">
        <v>4579</v>
      </c>
    </row>
    <row r="1376" spans="1:9" x14ac:dyDescent="0.2">
      <c r="A1376" s="10">
        <v>6712</v>
      </c>
      <c r="B1376" s="10">
        <v>50</v>
      </c>
      <c r="C1376" s="10" t="s">
        <v>1665</v>
      </c>
      <c r="D1376" s="10">
        <v>5087</v>
      </c>
      <c r="E1376" s="10" t="s">
        <v>1729</v>
      </c>
      <c r="F1376" s="11">
        <v>3945</v>
      </c>
      <c r="G1376" s="11">
        <v>4271</v>
      </c>
      <c r="H1376" s="11">
        <v>8216</v>
      </c>
      <c r="I1376" s="11">
        <v>4065</v>
      </c>
    </row>
    <row r="1377" spans="1:9" x14ac:dyDescent="0.2">
      <c r="A1377" s="10">
        <v>6712</v>
      </c>
      <c r="B1377" s="10">
        <v>50</v>
      </c>
      <c r="C1377" s="10" t="s">
        <v>1665</v>
      </c>
      <c r="D1377" s="10">
        <v>5088</v>
      </c>
      <c r="E1377" s="10" t="s">
        <v>1730</v>
      </c>
      <c r="F1377" s="10">
        <v>891</v>
      </c>
      <c r="G1377" s="10">
        <v>938</v>
      </c>
      <c r="H1377" s="11">
        <v>1829</v>
      </c>
      <c r="I1377" s="10">
        <v>874</v>
      </c>
    </row>
    <row r="1378" spans="1:9" x14ac:dyDescent="0.2">
      <c r="A1378" s="10">
        <v>6712</v>
      </c>
      <c r="B1378" s="10">
        <v>50</v>
      </c>
      <c r="C1378" s="10" t="s">
        <v>1665</v>
      </c>
      <c r="D1378" s="10">
        <v>5089</v>
      </c>
      <c r="E1378" s="10" t="s">
        <v>1731</v>
      </c>
      <c r="F1378" s="11">
        <v>2612</v>
      </c>
      <c r="G1378" s="11">
        <v>2654</v>
      </c>
      <c r="H1378" s="11">
        <v>5266</v>
      </c>
      <c r="I1378" s="11">
        <v>2807</v>
      </c>
    </row>
    <row r="1379" spans="1:9" x14ac:dyDescent="0.2">
      <c r="A1379" s="10">
        <v>6712</v>
      </c>
      <c r="B1379" s="10">
        <v>50</v>
      </c>
      <c r="C1379" s="10" t="s">
        <v>1665</v>
      </c>
      <c r="D1379" s="10">
        <v>5090</v>
      </c>
      <c r="E1379" s="10" t="s">
        <v>1732</v>
      </c>
      <c r="F1379" s="11">
        <v>4238</v>
      </c>
      <c r="G1379" s="11">
        <v>4887</v>
      </c>
      <c r="H1379" s="11">
        <v>9125</v>
      </c>
      <c r="I1379" s="11">
        <v>6000</v>
      </c>
    </row>
    <row r="1380" spans="1:9" x14ac:dyDescent="0.2">
      <c r="A1380" s="10">
        <v>6712</v>
      </c>
      <c r="B1380" s="10">
        <v>50</v>
      </c>
      <c r="C1380" s="10" t="s">
        <v>1665</v>
      </c>
      <c r="D1380" s="10">
        <v>5091</v>
      </c>
      <c r="E1380" s="10" t="s">
        <v>1733</v>
      </c>
      <c r="F1380" s="11">
        <v>3814</v>
      </c>
      <c r="G1380" s="11">
        <v>4348</v>
      </c>
      <c r="H1380" s="11">
        <v>8162</v>
      </c>
      <c r="I1380" s="11">
        <v>5282</v>
      </c>
    </row>
    <row r="1381" spans="1:9" x14ac:dyDescent="0.2">
      <c r="A1381" s="10">
        <v>6712</v>
      </c>
      <c r="B1381" s="10">
        <v>50</v>
      </c>
      <c r="C1381" s="10" t="s">
        <v>1665</v>
      </c>
      <c r="D1381" s="10">
        <v>5092</v>
      </c>
      <c r="E1381" s="10" t="s">
        <v>1734</v>
      </c>
      <c r="F1381" s="11">
        <v>5648</v>
      </c>
      <c r="G1381" s="11">
        <v>6256</v>
      </c>
      <c r="H1381" s="11">
        <v>11904</v>
      </c>
      <c r="I1381" s="11">
        <v>5904</v>
      </c>
    </row>
    <row r="1382" spans="1:9" x14ac:dyDescent="0.2">
      <c r="A1382" s="10">
        <v>6712</v>
      </c>
      <c r="B1382" s="10">
        <v>50</v>
      </c>
      <c r="C1382" s="10" t="s">
        <v>1665</v>
      </c>
      <c r="D1382" s="10">
        <v>5093</v>
      </c>
      <c r="E1382" s="10" t="s">
        <v>1735</v>
      </c>
      <c r="F1382" s="11">
        <v>1836</v>
      </c>
      <c r="G1382" s="11">
        <v>2131</v>
      </c>
      <c r="H1382" s="11">
        <v>3967</v>
      </c>
      <c r="I1382" s="11">
        <v>2212</v>
      </c>
    </row>
    <row r="1383" spans="1:9" x14ac:dyDescent="0.2">
      <c r="A1383" s="10">
        <v>6712</v>
      </c>
      <c r="B1383" s="10">
        <v>50</v>
      </c>
      <c r="C1383" s="10" t="s">
        <v>1665</v>
      </c>
      <c r="D1383" s="10">
        <v>5094</v>
      </c>
      <c r="E1383" s="10" t="s">
        <v>1736</v>
      </c>
      <c r="F1383" s="11">
        <v>1725</v>
      </c>
      <c r="G1383" s="11">
        <v>1983</v>
      </c>
      <c r="H1383" s="11">
        <v>3708</v>
      </c>
      <c r="I1383" s="11">
        <v>2068</v>
      </c>
    </row>
    <row r="1384" spans="1:9" x14ac:dyDescent="0.2">
      <c r="A1384" s="10">
        <v>6712</v>
      </c>
      <c r="B1384" s="10">
        <v>50</v>
      </c>
      <c r="C1384" s="10" t="s">
        <v>1665</v>
      </c>
      <c r="D1384" s="10">
        <v>5095</v>
      </c>
      <c r="E1384" s="10" t="s">
        <v>1737</v>
      </c>
      <c r="F1384" s="11">
        <v>1717</v>
      </c>
      <c r="G1384" s="11">
        <v>1970</v>
      </c>
      <c r="H1384" s="11">
        <v>3687</v>
      </c>
      <c r="I1384" s="11">
        <v>2421</v>
      </c>
    </row>
    <row r="1385" spans="1:9" x14ac:dyDescent="0.2">
      <c r="A1385" s="10">
        <v>6712</v>
      </c>
      <c r="B1385" s="10">
        <v>50</v>
      </c>
      <c r="C1385" s="10" t="s">
        <v>1665</v>
      </c>
      <c r="D1385" s="10">
        <v>5096</v>
      </c>
      <c r="E1385" s="10" t="s">
        <v>1738</v>
      </c>
      <c r="F1385" s="11">
        <v>1233</v>
      </c>
      <c r="G1385" s="11">
        <v>1293</v>
      </c>
      <c r="H1385" s="11">
        <v>2526</v>
      </c>
      <c r="I1385" s="11">
        <v>1697</v>
      </c>
    </row>
    <row r="1386" spans="1:9" x14ac:dyDescent="0.2">
      <c r="A1386" s="10">
        <v>6712</v>
      </c>
      <c r="B1386" s="10">
        <v>50</v>
      </c>
      <c r="C1386" s="10" t="s">
        <v>1665</v>
      </c>
      <c r="D1386" s="10">
        <v>5097</v>
      </c>
      <c r="E1386" s="10" t="s">
        <v>1263</v>
      </c>
      <c r="F1386" s="11">
        <v>4083</v>
      </c>
      <c r="G1386" s="11">
        <v>4818</v>
      </c>
      <c r="H1386" s="11">
        <v>8901</v>
      </c>
      <c r="I1386" s="11">
        <v>4662</v>
      </c>
    </row>
    <row r="1387" spans="1:9" x14ac:dyDescent="0.2">
      <c r="A1387" s="10">
        <v>6712</v>
      </c>
      <c r="B1387" s="10">
        <v>50</v>
      </c>
      <c r="C1387" s="10" t="s">
        <v>1665</v>
      </c>
      <c r="D1387" s="10">
        <v>5098</v>
      </c>
      <c r="E1387" s="10" t="s">
        <v>1739</v>
      </c>
      <c r="F1387" s="11">
        <v>4097</v>
      </c>
      <c r="G1387" s="11">
        <v>4638</v>
      </c>
      <c r="H1387" s="11">
        <v>8735</v>
      </c>
      <c r="I1387" s="11">
        <v>9515</v>
      </c>
    </row>
    <row r="1388" spans="1:9" x14ac:dyDescent="0.2">
      <c r="A1388" s="10">
        <v>6712</v>
      </c>
      <c r="B1388" s="10">
        <v>50</v>
      </c>
      <c r="C1388" s="10" t="s">
        <v>1665</v>
      </c>
      <c r="D1388" s="10">
        <v>5099</v>
      </c>
      <c r="E1388" s="10" t="s">
        <v>1740</v>
      </c>
      <c r="F1388" s="11">
        <v>53290</v>
      </c>
      <c r="G1388" s="11">
        <v>60239</v>
      </c>
      <c r="H1388" s="11">
        <v>113529</v>
      </c>
      <c r="I1388" s="11">
        <v>93443</v>
      </c>
    </row>
    <row r="1389" spans="1:9" x14ac:dyDescent="0.2">
      <c r="A1389" s="10">
        <v>6712</v>
      </c>
      <c r="B1389" s="10">
        <v>51</v>
      </c>
      <c r="C1389" s="10" t="s">
        <v>1741</v>
      </c>
      <c r="D1389" s="10">
        <v>5101</v>
      </c>
      <c r="E1389" s="10" t="s">
        <v>1742</v>
      </c>
      <c r="F1389" s="11">
        <v>28343</v>
      </c>
      <c r="G1389" s="11">
        <v>31894</v>
      </c>
      <c r="H1389" s="11">
        <v>60237</v>
      </c>
      <c r="I1389" s="11">
        <v>30277</v>
      </c>
    </row>
    <row r="1390" spans="1:9" x14ac:dyDescent="0.2">
      <c r="A1390" s="10">
        <v>6712</v>
      </c>
      <c r="B1390" s="10">
        <v>51</v>
      </c>
      <c r="C1390" s="10" t="s">
        <v>1741</v>
      </c>
      <c r="D1390" s="10">
        <v>5102</v>
      </c>
      <c r="E1390" s="10" t="s">
        <v>1743</v>
      </c>
      <c r="F1390" s="11">
        <v>11892</v>
      </c>
      <c r="G1390" s="11">
        <v>12374</v>
      </c>
      <c r="H1390" s="11">
        <v>24266</v>
      </c>
      <c r="I1390" s="11">
        <v>11016</v>
      </c>
    </row>
    <row r="1391" spans="1:9" x14ac:dyDescent="0.2">
      <c r="A1391" s="10">
        <v>6712</v>
      </c>
      <c r="B1391" s="10">
        <v>51</v>
      </c>
      <c r="C1391" s="10" t="s">
        <v>1741</v>
      </c>
      <c r="D1391" s="10">
        <v>5103</v>
      </c>
      <c r="E1391" s="10" t="s">
        <v>1744</v>
      </c>
      <c r="F1391" s="11">
        <v>12199</v>
      </c>
      <c r="G1391" s="11">
        <v>12882</v>
      </c>
      <c r="H1391" s="11">
        <v>25081</v>
      </c>
      <c r="I1391" s="11">
        <v>10660</v>
      </c>
    </row>
    <row r="1392" spans="1:9" x14ac:dyDescent="0.2">
      <c r="A1392" s="10">
        <v>6712</v>
      </c>
      <c r="B1392" s="10">
        <v>51</v>
      </c>
      <c r="C1392" s="10" t="s">
        <v>1741</v>
      </c>
      <c r="D1392" s="10">
        <v>5104</v>
      </c>
      <c r="E1392" s="10" t="s">
        <v>1745</v>
      </c>
      <c r="F1392" s="11">
        <v>30251</v>
      </c>
      <c r="G1392" s="11">
        <v>30099</v>
      </c>
      <c r="H1392" s="11">
        <v>60350</v>
      </c>
      <c r="I1392" s="11">
        <v>22195</v>
      </c>
    </row>
    <row r="1393" spans="1:9" x14ac:dyDescent="0.2">
      <c r="A1393" s="10">
        <v>6712</v>
      </c>
      <c r="B1393" s="10">
        <v>51</v>
      </c>
      <c r="C1393" s="10" t="s">
        <v>1741</v>
      </c>
      <c r="D1393" s="10">
        <v>5105</v>
      </c>
      <c r="E1393" s="10" t="s">
        <v>1746</v>
      </c>
      <c r="F1393" s="11">
        <v>8706</v>
      </c>
      <c r="G1393" s="11">
        <v>8728</v>
      </c>
      <c r="H1393" s="11">
        <v>17434</v>
      </c>
      <c r="I1393" s="11">
        <v>6684</v>
      </c>
    </row>
    <row r="1394" spans="1:9" x14ac:dyDescent="0.2">
      <c r="A1394" s="10">
        <v>6712</v>
      </c>
      <c r="B1394" s="10">
        <v>51</v>
      </c>
      <c r="C1394" s="10" t="s">
        <v>1741</v>
      </c>
      <c r="D1394" s="10">
        <v>5106</v>
      </c>
      <c r="E1394" s="10" t="s">
        <v>1747</v>
      </c>
      <c r="F1394" s="11">
        <v>13391</v>
      </c>
      <c r="G1394" s="11">
        <v>14354</v>
      </c>
      <c r="H1394" s="11">
        <v>27745</v>
      </c>
      <c r="I1394" s="11">
        <v>13244</v>
      </c>
    </row>
    <row r="1395" spans="1:9" x14ac:dyDescent="0.2">
      <c r="A1395" s="10">
        <v>6712</v>
      </c>
      <c r="B1395" s="10">
        <v>51</v>
      </c>
      <c r="C1395" s="10" t="s">
        <v>1741</v>
      </c>
      <c r="D1395" s="10">
        <v>5107</v>
      </c>
      <c r="E1395" s="10" t="s">
        <v>1748</v>
      </c>
      <c r="F1395" s="11">
        <v>3768</v>
      </c>
      <c r="G1395" s="11">
        <v>4173</v>
      </c>
      <c r="H1395" s="11">
        <v>7941</v>
      </c>
      <c r="I1395" s="11">
        <v>3525</v>
      </c>
    </row>
    <row r="1396" spans="1:9" x14ac:dyDescent="0.2">
      <c r="A1396" s="10">
        <v>6712</v>
      </c>
      <c r="B1396" s="10">
        <v>51</v>
      </c>
      <c r="C1396" s="10" t="s">
        <v>1741</v>
      </c>
      <c r="D1396" s="10">
        <v>5176</v>
      </c>
      <c r="E1396" s="10" t="s">
        <v>1749</v>
      </c>
      <c r="F1396" s="11">
        <v>2512</v>
      </c>
      <c r="G1396" s="11">
        <v>2741</v>
      </c>
      <c r="H1396" s="11">
        <v>5253</v>
      </c>
      <c r="I1396" s="11">
        <v>2311</v>
      </c>
    </row>
    <row r="1397" spans="1:9" x14ac:dyDescent="0.2">
      <c r="A1397" s="10">
        <v>6712</v>
      </c>
      <c r="B1397" s="10">
        <v>51</v>
      </c>
      <c r="C1397" s="10" t="s">
        <v>1741</v>
      </c>
      <c r="D1397" s="10">
        <v>5177</v>
      </c>
      <c r="E1397" s="10" t="s">
        <v>1750</v>
      </c>
      <c r="F1397" s="11">
        <v>2380</v>
      </c>
      <c r="G1397" s="11">
        <v>2502</v>
      </c>
      <c r="H1397" s="11">
        <v>4882</v>
      </c>
      <c r="I1397" s="11">
        <v>2374</v>
      </c>
    </row>
    <row r="1398" spans="1:9" x14ac:dyDescent="0.2">
      <c r="A1398" s="10">
        <v>6712</v>
      </c>
      <c r="B1398" s="10">
        <v>51</v>
      </c>
      <c r="C1398" s="10" t="s">
        <v>1741</v>
      </c>
      <c r="D1398" s="10">
        <v>5178</v>
      </c>
      <c r="E1398" s="10" t="s">
        <v>1751</v>
      </c>
      <c r="F1398" s="11">
        <v>2576</v>
      </c>
      <c r="G1398" s="11">
        <v>2792</v>
      </c>
      <c r="H1398" s="11">
        <v>5368</v>
      </c>
      <c r="I1398" s="11">
        <v>2622</v>
      </c>
    </row>
    <row r="1399" spans="1:9" x14ac:dyDescent="0.2">
      <c r="A1399" s="10">
        <v>6712</v>
      </c>
      <c r="B1399" s="10">
        <v>51</v>
      </c>
      <c r="C1399" s="10" t="s">
        <v>1741</v>
      </c>
      <c r="D1399" s="10">
        <v>5179</v>
      </c>
      <c r="E1399" s="10" t="s">
        <v>1752</v>
      </c>
      <c r="F1399" s="11">
        <v>1671</v>
      </c>
      <c r="G1399" s="11">
        <v>1831</v>
      </c>
      <c r="H1399" s="11">
        <v>3502</v>
      </c>
      <c r="I1399" s="11">
        <v>1832</v>
      </c>
    </row>
    <row r="1400" spans="1:9" x14ac:dyDescent="0.2">
      <c r="A1400" s="10">
        <v>6712</v>
      </c>
      <c r="B1400" s="10">
        <v>51</v>
      </c>
      <c r="C1400" s="10" t="s">
        <v>1741</v>
      </c>
      <c r="D1400" s="10">
        <v>5180</v>
      </c>
      <c r="E1400" s="10" t="s">
        <v>1753</v>
      </c>
      <c r="F1400" s="11">
        <v>2348</v>
      </c>
      <c r="G1400" s="11">
        <v>2682</v>
      </c>
      <c r="H1400" s="11">
        <v>5030</v>
      </c>
      <c r="I1400" s="11">
        <v>2449</v>
      </c>
    </row>
    <row r="1401" spans="1:9" x14ac:dyDescent="0.2">
      <c r="A1401" s="10">
        <v>6712</v>
      </c>
      <c r="B1401" s="10">
        <v>51</v>
      </c>
      <c r="C1401" s="10" t="s">
        <v>1741</v>
      </c>
      <c r="D1401" s="10">
        <v>5181</v>
      </c>
      <c r="E1401" s="10" t="s">
        <v>1754</v>
      </c>
      <c r="F1401" s="11">
        <v>7849</v>
      </c>
      <c r="G1401" s="11">
        <v>8654</v>
      </c>
      <c r="H1401" s="11">
        <v>16503</v>
      </c>
      <c r="I1401" s="11">
        <v>9548</v>
      </c>
    </row>
    <row r="1402" spans="1:9" x14ac:dyDescent="0.2">
      <c r="A1402" s="10">
        <v>6712</v>
      </c>
      <c r="B1402" s="10">
        <v>51</v>
      </c>
      <c r="C1402" s="10" t="s">
        <v>1741</v>
      </c>
      <c r="D1402" s="10">
        <v>5182</v>
      </c>
      <c r="E1402" s="10" t="s">
        <v>1755</v>
      </c>
      <c r="F1402" s="11">
        <v>3413</v>
      </c>
      <c r="G1402" s="11">
        <v>4008</v>
      </c>
      <c r="H1402" s="11">
        <v>7421</v>
      </c>
      <c r="I1402" s="11">
        <v>4146</v>
      </c>
    </row>
    <row r="1403" spans="1:9" x14ac:dyDescent="0.2">
      <c r="A1403" s="10">
        <v>6712</v>
      </c>
      <c r="B1403" s="10">
        <v>51</v>
      </c>
      <c r="C1403" s="10" t="s">
        <v>1741</v>
      </c>
      <c r="D1403" s="10">
        <v>5183</v>
      </c>
      <c r="E1403" s="10" t="s">
        <v>444</v>
      </c>
      <c r="F1403" s="11">
        <v>5506</v>
      </c>
      <c r="G1403" s="11">
        <v>6478</v>
      </c>
      <c r="H1403" s="11">
        <v>11984</v>
      </c>
      <c r="I1403" s="11">
        <v>11743</v>
      </c>
    </row>
    <row r="1404" spans="1:9" x14ac:dyDescent="0.2">
      <c r="A1404" s="10">
        <v>6712</v>
      </c>
      <c r="B1404" s="10">
        <v>51</v>
      </c>
      <c r="C1404" s="10" t="s">
        <v>1741</v>
      </c>
      <c r="D1404" s="10">
        <v>5184</v>
      </c>
      <c r="E1404" s="10" t="s">
        <v>1756</v>
      </c>
      <c r="F1404" s="11">
        <v>7364</v>
      </c>
      <c r="G1404" s="11">
        <v>8932</v>
      </c>
      <c r="H1404" s="11">
        <v>16296</v>
      </c>
      <c r="I1404" s="11">
        <v>8903</v>
      </c>
    </row>
    <row r="1405" spans="1:9" x14ac:dyDescent="0.2">
      <c r="A1405" s="10">
        <v>6712</v>
      </c>
      <c r="B1405" s="10">
        <v>51</v>
      </c>
      <c r="C1405" s="10" t="s">
        <v>1741</v>
      </c>
      <c r="D1405" s="10">
        <v>5185</v>
      </c>
      <c r="E1405" s="10" t="s">
        <v>1757</v>
      </c>
      <c r="F1405" s="11">
        <v>3242</v>
      </c>
      <c r="G1405" s="11">
        <v>3583</v>
      </c>
      <c r="H1405" s="11">
        <v>6825</v>
      </c>
      <c r="I1405" s="11">
        <v>2794</v>
      </c>
    </row>
    <row r="1406" spans="1:9" x14ac:dyDescent="0.2">
      <c r="A1406" s="10">
        <v>6712</v>
      </c>
      <c r="B1406" s="10">
        <v>51</v>
      </c>
      <c r="C1406" s="10" t="s">
        <v>1741</v>
      </c>
      <c r="D1406" s="10">
        <v>5186</v>
      </c>
      <c r="E1406" s="10" t="s">
        <v>1758</v>
      </c>
      <c r="F1406" s="11">
        <v>4438</v>
      </c>
      <c r="G1406" s="11">
        <v>4908</v>
      </c>
      <c r="H1406" s="11">
        <v>9346</v>
      </c>
      <c r="I1406" s="11">
        <v>4615</v>
      </c>
    </row>
    <row r="1407" spans="1:9" x14ac:dyDescent="0.2">
      <c r="A1407" s="10">
        <v>6712</v>
      </c>
      <c r="B1407" s="10">
        <v>51</v>
      </c>
      <c r="C1407" s="10" t="s">
        <v>1741</v>
      </c>
      <c r="D1407" s="10">
        <v>5187</v>
      </c>
      <c r="E1407" s="10" t="s">
        <v>1759</v>
      </c>
      <c r="F1407" s="11">
        <v>3470</v>
      </c>
      <c r="G1407" s="11">
        <v>3877</v>
      </c>
      <c r="H1407" s="11">
        <v>7347</v>
      </c>
      <c r="I1407" s="11">
        <v>3334</v>
      </c>
    </row>
    <row r="1408" spans="1:9" x14ac:dyDescent="0.2">
      <c r="A1408" s="10">
        <v>6712</v>
      </c>
      <c r="B1408" s="10">
        <v>51</v>
      </c>
      <c r="C1408" s="10" t="s">
        <v>1741</v>
      </c>
      <c r="D1408" s="10">
        <v>5188</v>
      </c>
      <c r="E1408" s="10" t="s">
        <v>1760</v>
      </c>
      <c r="F1408" s="11">
        <v>1868</v>
      </c>
      <c r="G1408" s="11">
        <v>2192</v>
      </c>
      <c r="H1408" s="11">
        <v>4060</v>
      </c>
      <c r="I1408" s="11">
        <v>2029</v>
      </c>
    </row>
    <row r="1409" spans="1:9" x14ac:dyDescent="0.2">
      <c r="A1409" s="10">
        <v>6712</v>
      </c>
      <c r="B1409" s="10">
        <v>51</v>
      </c>
      <c r="C1409" s="10" t="s">
        <v>1741</v>
      </c>
      <c r="D1409" s="10">
        <v>5189</v>
      </c>
      <c r="E1409" s="10" t="s">
        <v>1761</v>
      </c>
      <c r="F1409" s="11">
        <v>3674</v>
      </c>
      <c r="G1409" s="11">
        <v>4398</v>
      </c>
      <c r="H1409" s="11">
        <v>8072</v>
      </c>
      <c r="I1409" s="11">
        <v>4306</v>
      </c>
    </row>
    <row r="1410" spans="1:9" x14ac:dyDescent="0.2">
      <c r="A1410" s="10">
        <v>6712</v>
      </c>
      <c r="B1410" s="10">
        <v>51</v>
      </c>
      <c r="C1410" s="10" t="s">
        <v>1741</v>
      </c>
      <c r="D1410" s="10">
        <v>5190</v>
      </c>
      <c r="E1410" s="10" t="s">
        <v>1762</v>
      </c>
      <c r="F1410" s="11">
        <v>1262</v>
      </c>
      <c r="G1410" s="11">
        <v>1271</v>
      </c>
      <c r="H1410" s="11">
        <v>2533</v>
      </c>
      <c r="I1410" s="11">
        <v>1315</v>
      </c>
    </row>
    <row r="1411" spans="1:9" x14ac:dyDescent="0.2">
      <c r="A1411" s="10">
        <v>6712</v>
      </c>
      <c r="B1411" s="10">
        <v>51</v>
      </c>
      <c r="C1411" s="10" t="s">
        <v>1741</v>
      </c>
      <c r="D1411" s="10">
        <v>5191</v>
      </c>
      <c r="E1411" s="10" t="s">
        <v>1763</v>
      </c>
      <c r="F1411" s="11">
        <v>2015</v>
      </c>
      <c r="G1411" s="11">
        <v>2168</v>
      </c>
      <c r="H1411" s="11">
        <v>4183</v>
      </c>
      <c r="I1411" s="11">
        <v>2843</v>
      </c>
    </row>
    <row r="1412" spans="1:9" x14ac:dyDescent="0.2">
      <c r="A1412" s="10">
        <v>6712</v>
      </c>
      <c r="B1412" s="10">
        <v>51</v>
      </c>
      <c r="C1412" s="10" t="s">
        <v>1741</v>
      </c>
      <c r="D1412" s="10">
        <v>5192</v>
      </c>
      <c r="E1412" s="10" t="s">
        <v>1764</v>
      </c>
      <c r="F1412" s="11">
        <v>1575</v>
      </c>
      <c r="G1412" s="11">
        <v>1751</v>
      </c>
      <c r="H1412" s="11">
        <v>3326</v>
      </c>
      <c r="I1412" s="11">
        <v>1378</v>
      </c>
    </row>
    <row r="1413" spans="1:9" x14ac:dyDescent="0.2">
      <c r="A1413" s="10">
        <v>6712</v>
      </c>
      <c r="B1413" s="10">
        <v>51</v>
      </c>
      <c r="C1413" s="10" t="s">
        <v>1741</v>
      </c>
      <c r="D1413" s="10">
        <v>5193</v>
      </c>
      <c r="E1413" s="10" t="s">
        <v>1765</v>
      </c>
      <c r="F1413" s="11">
        <v>3301</v>
      </c>
      <c r="G1413" s="11">
        <v>3971</v>
      </c>
      <c r="H1413" s="11">
        <v>7272</v>
      </c>
      <c r="I1413" s="11">
        <v>3728</v>
      </c>
    </row>
    <row r="1414" spans="1:9" x14ac:dyDescent="0.2">
      <c r="A1414" s="10">
        <v>6712</v>
      </c>
      <c r="B1414" s="10">
        <v>51</v>
      </c>
      <c r="C1414" s="10" t="s">
        <v>1741</v>
      </c>
      <c r="D1414" s="10">
        <v>5194</v>
      </c>
      <c r="E1414" s="10" t="s">
        <v>1766</v>
      </c>
      <c r="F1414" s="11">
        <v>2505</v>
      </c>
      <c r="G1414" s="11">
        <v>2659</v>
      </c>
      <c r="H1414" s="11">
        <v>5164</v>
      </c>
      <c r="I1414" s="11">
        <v>2607</v>
      </c>
    </row>
    <row r="1415" spans="1:9" x14ac:dyDescent="0.2">
      <c r="A1415" s="10">
        <v>6712</v>
      </c>
      <c r="B1415" s="10">
        <v>51</v>
      </c>
      <c r="C1415" s="10" t="s">
        <v>1741</v>
      </c>
      <c r="D1415" s="10">
        <v>5195</v>
      </c>
      <c r="E1415" s="10" t="s">
        <v>1767</v>
      </c>
      <c r="F1415" s="11">
        <v>1353</v>
      </c>
      <c r="G1415" s="11">
        <v>1508</v>
      </c>
      <c r="H1415" s="11">
        <v>2861</v>
      </c>
      <c r="I1415" s="11">
        <v>1424</v>
      </c>
    </row>
    <row r="1416" spans="1:9" x14ac:dyDescent="0.2">
      <c r="A1416" s="10">
        <v>6712</v>
      </c>
      <c r="B1416" s="10">
        <v>51</v>
      </c>
      <c r="C1416" s="10" t="s">
        <v>1741</v>
      </c>
      <c r="D1416" s="10">
        <v>5196</v>
      </c>
      <c r="E1416" s="10" t="s">
        <v>1768</v>
      </c>
      <c r="F1416" s="11">
        <v>5875</v>
      </c>
      <c r="G1416" s="11">
        <v>6767</v>
      </c>
      <c r="H1416" s="11">
        <v>12642</v>
      </c>
      <c r="I1416" s="11">
        <v>6261</v>
      </c>
    </row>
    <row r="1417" spans="1:9" x14ac:dyDescent="0.2">
      <c r="A1417" s="10">
        <v>6712</v>
      </c>
      <c r="B1417" s="10">
        <v>51</v>
      </c>
      <c r="C1417" s="10" t="s">
        <v>1741</v>
      </c>
      <c r="D1417" s="10">
        <v>5197</v>
      </c>
      <c r="E1417" s="10" t="s">
        <v>1769</v>
      </c>
      <c r="F1417" s="11">
        <v>3075</v>
      </c>
      <c r="G1417" s="11">
        <v>3573</v>
      </c>
      <c r="H1417" s="11">
        <v>6648</v>
      </c>
      <c r="I1417" s="11">
        <v>3029</v>
      </c>
    </row>
    <row r="1418" spans="1:9" x14ac:dyDescent="0.2">
      <c r="A1418" s="10">
        <v>6712</v>
      </c>
      <c r="B1418" s="10">
        <v>51</v>
      </c>
      <c r="C1418" s="10" t="s">
        <v>1741</v>
      </c>
      <c r="D1418" s="10">
        <v>5198</v>
      </c>
      <c r="E1418" s="10" t="s">
        <v>1770</v>
      </c>
      <c r="F1418" s="11">
        <v>2881</v>
      </c>
      <c r="G1418" s="11">
        <v>3340</v>
      </c>
      <c r="H1418" s="11">
        <v>6221</v>
      </c>
      <c r="I1418" s="11">
        <v>3018</v>
      </c>
    </row>
    <row r="1419" spans="1:9" x14ac:dyDescent="0.2">
      <c r="A1419" s="10">
        <v>6712</v>
      </c>
      <c r="B1419" s="10">
        <v>51</v>
      </c>
      <c r="C1419" s="10" t="s">
        <v>1741</v>
      </c>
      <c r="D1419" s="10">
        <v>5199</v>
      </c>
      <c r="E1419" s="10" t="s">
        <v>1771</v>
      </c>
      <c r="F1419" s="11">
        <v>4944</v>
      </c>
      <c r="G1419" s="11">
        <v>6016</v>
      </c>
      <c r="H1419" s="11">
        <v>10960</v>
      </c>
      <c r="I1419" s="11">
        <v>7282</v>
      </c>
    </row>
    <row r="1420" spans="1:9" x14ac:dyDescent="0.2">
      <c r="A1420" s="10">
        <v>6712</v>
      </c>
      <c r="B1420" s="10">
        <v>52</v>
      </c>
      <c r="C1420" s="10" t="s">
        <v>1772</v>
      </c>
      <c r="D1420" s="10">
        <v>5201</v>
      </c>
      <c r="E1420" s="10" t="s">
        <v>1773</v>
      </c>
      <c r="F1420" s="11">
        <v>43427</v>
      </c>
      <c r="G1420" s="11">
        <v>45584</v>
      </c>
      <c r="H1420" s="11">
        <v>89011</v>
      </c>
      <c r="I1420" s="11">
        <v>40170</v>
      </c>
    </row>
    <row r="1421" spans="1:9" x14ac:dyDescent="0.2">
      <c r="A1421" s="10">
        <v>6712</v>
      </c>
      <c r="B1421" s="10">
        <v>52</v>
      </c>
      <c r="C1421" s="10" t="s">
        <v>1772</v>
      </c>
      <c r="D1421" s="10">
        <v>5202</v>
      </c>
      <c r="E1421" s="10" t="s">
        <v>1774</v>
      </c>
      <c r="F1421" s="11">
        <v>11858</v>
      </c>
      <c r="G1421" s="11">
        <v>11751</v>
      </c>
      <c r="H1421" s="11">
        <v>23609</v>
      </c>
      <c r="I1421" s="11">
        <v>9557</v>
      </c>
    </row>
    <row r="1422" spans="1:9" x14ac:dyDescent="0.2">
      <c r="A1422" s="10">
        <v>6712</v>
      </c>
      <c r="B1422" s="10">
        <v>52</v>
      </c>
      <c r="C1422" s="10" t="s">
        <v>1772</v>
      </c>
      <c r="D1422" s="10">
        <v>5203</v>
      </c>
      <c r="E1422" s="10" t="s">
        <v>1775</v>
      </c>
      <c r="F1422" s="11">
        <v>16776</v>
      </c>
      <c r="G1422" s="11">
        <v>18105</v>
      </c>
      <c r="H1422" s="11">
        <v>34881</v>
      </c>
      <c r="I1422" s="11">
        <v>13670</v>
      </c>
    </row>
    <row r="1423" spans="1:9" x14ac:dyDescent="0.2">
      <c r="A1423" s="10">
        <v>6712</v>
      </c>
      <c r="B1423" s="10">
        <v>52</v>
      </c>
      <c r="C1423" s="10" t="s">
        <v>1772</v>
      </c>
      <c r="D1423" s="10">
        <v>5204</v>
      </c>
      <c r="E1423" s="10" t="s">
        <v>1776</v>
      </c>
      <c r="F1423" s="11">
        <v>10803</v>
      </c>
      <c r="G1423" s="11">
        <v>10820</v>
      </c>
      <c r="H1423" s="11">
        <v>21623</v>
      </c>
      <c r="I1423" s="11">
        <v>7887</v>
      </c>
    </row>
    <row r="1424" spans="1:9" x14ac:dyDescent="0.2">
      <c r="A1424" s="10">
        <v>6712</v>
      </c>
      <c r="B1424" s="10">
        <v>52</v>
      </c>
      <c r="C1424" s="10" t="s">
        <v>1772</v>
      </c>
      <c r="D1424" s="10">
        <v>5205</v>
      </c>
      <c r="E1424" s="10" t="s">
        <v>1777</v>
      </c>
      <c r="F1424" s="11">
        <v>23538</v>
      </c>
      <c r="G1424" s="11">
        <v>23659</v>
      </c>
      <c r="H1424" s="11">
        <v>47197</v>
      </c>
      <c r="I1424" s="11">
        <v>18643</v>
      </c>
    </row>
    <row r="1425" spans="1:9" x14ac:dyDescent="0.2">
      <c r="A1425" s="10">
        <v>6712</v>
      </c>
      <c r="B1425" s="10">
        <v>52</v>
      </c>
      <c r="C1425" s="10" t="s">
        <v>1772</v>
      </c>
      <c r="D1425" s="10">
        <v>5206</v>
      </c>
      <c r="E1425" s="10" t="s">
        <v>1778</v>
      </c>
      <c r="F1425" s="11">
        <v>16508</v>
      </c>
      <c r="G1425" s="11">
        <v>17069</v>
      </c>
      <c r="H1425" s="11">
        <v>33577</v>
      </c>
      <c r="I1425" s="11">
        <v>13441</v>
      </c>
    </row>
    <row r="1426" spans="1:9" x14ac:dyDescent="0.2">
      <c r="A1426" s="10">
        <v>6712</v>
      </c>
      <c r="B1426" s="10">
        <v>52</v>
      </c>
      <c r="C1426" s="10" t="s">
        <v>1772</v>
      </c>
      <c r="D1426" s="10">
        <v>5207</v>
      </c>
      <c r="E1426" s="10" t="s">
        <v>1779</v>
      </c>
      <c r="F1426" s="11">
        <v>17981</v>
      </c>
      <c r="G1426" s="11">
        <v>17869</v>
      </c>
      <c r="H1426" s="11">
        <v>35850</v>
      </c>
      <c r="I1426" s="11">
        <v>13756</v>
      </c>
    </row>
    <row r="1427" spans="1:9" x14ac:dyDescent="0.2">
      <c r="A1427" s="10">
        <v>6712</v>
      </c>
      <c r="B1427" s="10">
        <v>52</v>
      </c>
      <c r="C1427" s="10" t="s">
        <v>1772</v>
      </c>
      <c r="D1427" s="10">
        <v>5208</v>
      </c>
      <c r="E1427" s="10" t="s">
        <v>1780</v>
      </c>
      <c r="F1427" s="11">
        <v>15845</v>
      </c>
      <c r="G1427" s="11">
        <v>16423</v>
      </c>
      <c r="H1427" s="11">
        <v>32268</v>
      </c>
      <c r="I1427" s="11">
        <v>11762</v>
      </c>
    </row>
    <row r="1428" spans="1:9" x14ac:dyDescent="0.2">
      <c r="A1428" s="10">
        <v>6712</v>
      </c>
      <c r="B1428" s="10">
        <v>52</v>
      </c>
      <c r="C1428" s="10" t="s">
        <v>1772</v>
      </c>
      <c r="D1428" s="10">
        <v>5209</v>
      </c>
      <c r="E1428" s="10" t="s">
        <v>1781</v>
      </c>
      <c r="F1428" s="11">
        <v>4405</v>
      </c>
      <c r="G1428" s="11">
        <v>4561</v>
      </c>
      <c r="H1428" s="11">
        <v>8966</v>
      </c>
      <c r="I1428" s="11">
        <v>3302</v>
      </c>
    </row>
    <row r="1429" spans="1:9" x14ac:dyDescent="0.2">
      <c r="A1429" s="10">
        <v>6712</v>
      </c>
      <c r="B1429" s="10">
        <v>52</v>
      </c>
      <c r="C1429" s="10" t="s">
        <v>1772</v>
      </c>
      <c r="D1429" s="10">
        <v>5210</v>
      </c>
      <c r="E1429" s="10" t="s">
        <v>1782</v>
      </c>
      <c r="F1429" s="11">
        <v>13239</v>
      </c>
      <c r="G1429" s="11">
        <v>13656</v>
      </c>
      <c r="H1429" s="11">
        <v>26895</v>
      </c>
      <c r="I1429" s="11">
        <v>11044</v>
      </c>
    </row>
    <row r="1430" spans="1:9" x14ac:dyDescent="0.2">
      <c r="A1430" s="10">
        <v>6712</v>
      </c>
      <c r="B1430" s="10">
        <v>52</v>
      </c>
      <c r="C1430" s="10" t="s">
        <v>1772</v>
      </c>
      <c r="D1430" s="10">
        <v>5211</v>
      </c>
      <c r="E1430" s="10" t="s">
        <v>1783</v>
      </c>
      <c r="F1430" s="11">
        <v>10098</v>
      </c>
      <c r="G1430" s="11">
        <v>10464</v>
      </c>
      <c r="H1430" s="11">
        <v>20562</v>
      </c>
      <c r="I1430" s="11">
        <v>6794</v>
      </c>
    </row>
    <row r="1431" spans="1:9" x14ac:dyDescent="0.2">
      <c r="A1431" s="10">
        <v>6712</v>
      </c>
      <c r="B1431" s="10">
        <v>52</v>
      </c>
      <c r="C1431" s="10" t="s">
        <v>1772</v>
      </c>
      <c r="D1431" s="10">
        <v>5212</v>
      </c>
      <c r="E1431" s="10" t="s">
        <v>1784</v>
      </c>
      <c r="F1431" s="11">
        <v>22314</v>
      </c>
      <c r="G1431" s="11">
        <v>23265</v>
      </c>
      <c r="H1431" s="11">
        <v>45579</v>
      </c>
      <c r="I1431" s="11">
        <v>20049</v>
      </c>
    </row>
    <row r="1432" spans="1:9" x14ac:dyDescent="0.2">
      <c r="A1432" s="10">
        <v>6712</v>
      </c>
      <c r="B1432" s="10">
        <v>52</v>
      </c>
      <c r="C1432" s="10" t="s">
        <v>1772</v>
      </c>
      <c r="D1432" s="10">
        <v>5213</v>
      </c>
      <c r="E1432" s="10" t="s">
        <v>1785</v>
      </c>
      <c r="F1432" s="11">
        <v>15810</v>
      </c>
      <c r="G1432" s="11">
        <v>15926</v>
      </c>
      <c r="H1432" s="11">
        <v>31736</v>
      </c>
      <c r="I1432" s="11">
        <v>12619</v>
      </c>
    </row>
    <row r="1433" spans="1:9" x14ac:dyDescent="0.2">
      <c r="A1433" s="10">
        <v>6712</v>
      </c>
      <c r="B1433" s="10">
        <v>52</v>
      </c>
      <c r="C1433" s="10" t="s">
        <v>1772</v>
      </c>
      <c r="D1433" s="10">
        <v>5275</v>
      </c>
      <c r="E1433" s="10" t="s">
        <v>1786</v>
      </c>
      <c r="F1433" s="11">
        <v>4518</v>
      </c>
      <c r="G1433" s="11">
        <v>4750</v>
      </c>
      <c r="H1433" s="11">
        <v>9268</v>
      </c>
      <c r="I1433" s="11">
        <v>3589</v>
      </c>
    </row>
    <row r="1434" spans="1:9" x14ac:dyDescent="0.2">
      <c r="A1434" s="10">
        <v>6712</v>
      </c>
      <c r="B1434" s="10">
        <v>52</v>
      </c>
      <c r="C1434" s="10" t="s">
        <v>1772</v>
      </c>
      <c r="D1434" s="10">
        <v>5276</v>
      </c>
      <c r="E1434" s="10" t="s">
        <v>1787</v>
      </c>
      <c r="F1434" s="11">
        <v>3063</v>
      </c>
      <c r="G1434" s="11">
        <v>3211</v>
      </c>
      <c r="H1434" s="11">
        <v>6274</v>
      </c>
      <c r="I1434" s="11">
        <v>3058</v>
      </c>
    </row>
    <row r="1435" spans="1:9" x14ac:dyDescent="0.2">
      <c r="A1435" s="10">
        <v>6712</v>
      </c>
      <c r="B1435" s="10">
        <v>52</v>
      </c>
      <c r="C1435" s="10" t="s">
        <v>1772</v>
      </c>
      <c r="D1435" s="10">
        <v>5279</v>
      </c>
      <c r="E1435" s="10" t="s">
        <v>1788</v>
      </c>
      <c r="F1435" s="11">
        <v>4197</v>
      </c>
      <c r="G1435" s="11">
        <v>4444</v>
      </c>
      <c r="H1435" s="11">
        <v>8641</v>
      </c>
      <c r="I1435" s="11">
        <v>3248</v>
      </c>
    </row>
    <row r="1436" spans="1:9" x14ac:dyDescent="0.2">
      <c r="A1436" s="10">
        <v>6712</v>
      </c>
      <c r="B1436" s="10">
        <v>52</v>
      </c>
      <c r="C1436" s="10" t="s">
        <v>1772</v>
      </c>
      <c r="D1436" s="10">
        <v>5280</v>
      </c>
      <c r="E1436" s="10" t="s">
        <v>1789</v>
      </c>
      <c r="F1436" s="11">
        <v>4215</v>
      </c>
      <c r="G1436" s="11">
        <v>4676</v>
      </c>
      <c r="H1436" s="11">
        <v>8891</v>
      </c>
      <c r="I1436" s="11">
        <v>3432</v>
      </c>
    </row>
    <row r="1437" spans="1:9" x14ac:dyDescent="0.2">
      <c r="A1437" s="10">
        <v>6712</v>
      </c>
      <c r="B1437" s="10">
        <v>52</v>
      </c>
      <c r="C1437" s="10" t="s">
        <v>1772</v>
      </c>
      <c r="D1437" s="10">
        <v>5281</v>
      </c>
      <c r="E1437" s="10" t="s">
        <v>1790</v>
      </c>
      <c r="F1437" s="11">
        <v>2287</v>
      </c>
      <c r="G1437" s="11">
        <v>2191</v>
      </c>
      <c r="H1437" s="11">
        <v>4478</v>
      </c>
      <c r="I1437" s="11">
        <v>1639</v>
      </c>
    </row>
    <row r="1438" spans="1:9" x14ac:dyDescent="0.2">
      <c r="A1438" s="10">
        <v>6712</v>
      </c>
      <c r="B1438" s="10">
        <v>52</v>
      </c>
      <c r="C1438" s="10" t="s">
        <v>1772</v>
      </c>
      <c r="D1438" s="10">
        <v>5282</v>
      </c>
      <c r="E1438" s="10" t="s">
        <v>1791</v>
      </c>
      <c r="F1438" s="11">
        <v>7206</v>
      </c>
      <c r="G1438" s="11">
        <v>7605</v>
      </c>
      <c r="H1438" s="11">
        <v>14811</v>
      </c>
      <c r="I1438" s="11">
        <v>8891</v>
      </c>
    </row>
    <row r="1439" spans="1:9" x14ac:dyDescent="0.2">
      <c r="A1439" s="10">
        <v>6712</v>
      </c>
      <c r="B1439" s="10">
        <v>52</v>
      </c>
      <c r="C1439" s="10" t="s">
        <v>1772</v>
      </c>
      <c r="D1439" s="10">
        <v>5283</v>
      </c>
      <c r="E1439" s="10" t="s">
        <v>1792</v>
      </c>
      <c r="F1439" s="11">
        <v>4980</v>
      </c>
      <c r="G1439" s="11">
        <v>5032</v>
      </c>
      <c r="H1439" s="11">
        <v>10012</v>
      </c>
      <c r="I1439" s="11">
        <v>3645</v>
      </c>
    </row>
    <row r="1440" spans="1:9" x14ac:dyDescent="0.2">
      <c r="A1440" s="10">
        <v>6712</v>
      </c>
      <c r="B1440" s="10">
        <v>52</v>
      </c>
      <c r="C1440" s="10" t="s">
        <v>1772</v>
      </c>
      <c r="D1440" s="10">
        <v>5284</v>
      </c>
      <c r="E1440" s="10" t="s">
        <v>1793</v>
      </c>
      <c r="F1440" s="11">
        <v>1196</v>
      </c>
      <c r="G1440" s="11">
        <v>1478</v>
      </c>
      <c r="H1440" s="11">
        <v>2674</v>
      </c>
      <c r="I1440" s="11">
        <v>1339</v>
      </c>
    </row>
    <row r="1441" spans="1:9" x14ac:dyDescent="0.2">
      <c r="A1441" s="10">
        <v>6712</v>
      </c>
      <c r="B1441" s="10">
        <v>52</v>
      </c>
      <c r="C1441" s="10" t="s">
        <v>1772</v>
      </c>
      <c r="D1441" s="10">
        <v>5285</v>
      </c>
      <c r="E1441" s="10" t="s">
        <v>1794</v>
      </c>
      <c r="F1441" s="11">
        <v>2516</v>
      </c>
      <c r="G1441" s="11">
        <v>2798</v>
      </c>
      <c r="H1441" s="11">
        <v>5314</v>
      </c>
      <c r="I1441" s="11">
        <v>2141</v>
      </c>
    </row>
    <row r="1442" spans="1:9" x14ac:dyDescent="0.2">
      <c r="A1442" s="10">
        <v>6712</v>
      </c>
      <c r="B1442" s="10">
        <v>52</v>
      </c>
      <c r="C1442" s="10" t="s">
        <v>1772</v>
      </c>
      <c r="D1442" s="10">
        <v>5286</v>
      </c>
      <c r="E1442" s="10" t="s">
        <v>1795</v>
      </c>
      <c r="F1442" s="11">
        <v>3637</v>
      </c>
      <c r="G1442" s="11">
        <v>3887</v>
      </c>
      <c r="H1442" s="11">
        <v>7524</v>
      </c>
      <c r="I1442" s="11">
        <v>3053</v>
      </c>
    </row>
    <row r="1443" spans="1:9" x14ac:dyDescent="0.2">
      <c r="A1443" s="10">
        <v>6712</v>
      </c>
      <c r="B1443" s="10">
        <v>52</v>
      </c>
      <c r="C1443" s="10" t="s">
        <v>1772</v>
      </c>
      <c r="D1443" s="10">
        <v>5287</v>
      </c>
      <c r="E1443" s="10" t="s">
        <v>1796</v>
      </c>
      <c r="F1443" s="11">
        <v>1148</v>
      </c>
      <c r="G1443" s="11">
        <v>1283</v>
      </c>
      <c r="H1443" s="11">
        <v>2431</v>
      </c>
      <c r="I1443" s="11">
        <v>1164</v>
      </c>
    </row>
    <row r="1444" spans="1:9" x14ac:dyDescent="0.2">
      <c r="A1444" s="10">
        <v>6712</v>
      </c>
      <c r="B1444" s="10">
        <v>52</v>
      </c>
      <c r="C1444" s="10" t="s">
        <v>1772</v>
      </c>
      <c r="D1444" s="10">
        <v>5288</v>
      </c>
      <c r="E1444" s="10" t="s">
        <v>1797</v>
      </c>
      <c r="F1444" s="11">
        <v>1721</v>
      </c>
      <c r="G1444" s="11">
        <v>1928</v>
      </c>
      <c r="H1444" s="11">
        <v>3649</v>
      </c>
      <c r="I1444" s="11">
        <v>1372</v>
      </c>
    </row>
    <row r="1445" spans="1:9" x14ac:dyDescent="0.2">
      <c r="A1445" s="10">
        <v>6712</v>
      </c>
      <c r="B1445" s="10">
        <v>52</v>
      </c>
      <c r="C1445" s="10" t="s">
        <v>1772</v>
      </c>
      <c r="D1445" s="10">
        <v>5289</v>
      </c>
      <c r="E1445" s="10" t="s">
        <v>1798</v>
      </c>
      <c r="F1445" s="11">
        <v>6226</v>
      </c>
      <c r="G1445" s="11">
        <v>7266</v>
      </c>
      <c r="H1445" s="11">
        <v>13492</v>
      </c>
      <c r="I1445" s="11">
        <v>7321</v>
      </c>
    </row>
    <row r="1446" spans="1:9" x14ac:dyDescent="0.2">
      <c r="A1446" s="10">
        <v>6712</v>
      </c>
      <c r="B1446" s="10">
        <v>52</v>
      </c>
      <c r="C1446" s="10" t="s">
        <v>1772</v>
      </c>
      <c r="D1446" s="10">
        <v>5290</v>
      </c>
      <c r="E1446" s="10" t="s">
        <v>1799</v>
      </c>
      <c r="F1446" s="11">
        <v>1924</v>
      </c>
      <c r="G1446" s="11">
        <v>1943</v>
      </c>
      <c r="H1446" s="11">
        <v>3867</v>
      </c>
      <c r="I1446" s="11">
        <v>2027</v>
      </c>
    </row>
    <row r="1447" spans="1:9" x14ac:dyDescent="0.2">
      <c r="A1447" s="10">
        <v>6712</v>
      </c>
      <c r="B1447" s="10">
        <v>52</v>
      </c>
      <c r="C1447" s="10" t="s">
        <v>1772</v>
      </c>
      <c r="D1447" s="10">
        <v>5291</v>
      </c>
      <c r="E1447" s="10" t="s">
        <v>1800</v>
      </c>
      <c r="F1447" s="11">
        <v>1203</v>
      </c>
      <c r="G1447" s="11">
        <v>1239</v>
      </c>
      <c r="H1447" s="11">
        <v>2442</v>
      </c>
      <c r="I1447" s="10">
        <v>903</v>
      </c>
    </row>
    <row r="1448" spans="1:9" x14ac:dyDescent="0.2">
      <c r="A1448" s="10">
        <v>6712</v>
      </c>
      <c r="B1448" s="10">
        <v>52</v>
      </c>
      <c r="C1448" s="10" t="s">
        <v>1772</v>
      </c>
      <c r="D1448" s="10">
        <v>5292</v>
      </c>
      <c r="E1448" s="10" t="s">
        <v>1801</v>
      </c>
      <c r="F1448" s="11">
        <v>1539</v>
      </c>
      <c r="G1448" s="11">
        <v>1723</v>
      </c>
      <c r="H1448" s="11">
        <v>3262</v>
      </c>
      <c r="I1448" s="11">
        <v>1710</v>
      </c>
    </row>
    <row r="1449" spans="1:9" x14ac:dyDescent="0.2">
      <c r="A1449" s="10">
        <v>6712</v>
      </c>
      <c r="B1449" s="10">
        <v>52</v>
      </c>
      <c r="C1449" s="10" t="s">
        <v>1772</v>
      </c>
      <c r="D1449" s="10">
        <v>5293</v>
      </c>
      <c r="E1449" s="10" t="s">
        <v>1802</v>
      </c>
      <c r="F1449" s="11">
        <v>3934</v>
      </c>
      <c r="G1449" s="11">
        <v>4043</v>
      </c>
      <c r="H1449" s="11">
        <v>7977</v>
      </c>
      <c r="I1449" s="11">
        <v>3138</v>
      </c>
    </row>
    <row r="1450" spans="1:9" x14ac:dyDescent="0.2">
      <c r="A1450" s="10">
        <v>6712</v>
      </c>
      <c r="B1450" s="10">
        <v>52</v>
      </c>
      <c r="C1450" s="10" t="s">
        <v>1772</v>
      </c>
      <c r="D1450" s="10">
        <v>5294</v>
      </c>
      <c r="E1450" s="10" t="s">
        <v>1803</v>
      </c>
      <c r="F1450" s="11">
        <v>1846</v>
      </c>
      <c r="G1450" s="11">
        <v>2098</v>
      </c>
      <c r="H1450" s="11">
        <v>3944</v>
      </c>
      <c r="I1450" s="11">
        <v>2411</v>
      </c>
    </row>
    <row r="1451" spans="1:9" x14ac:dyDescent="0.2">
      <c r="A1451" s="10">
        <v>6712</v>
      </c>
      <c r="B1451" s="10">
        <v>52</v>
      </c>
      <c r="C1451" s="10" t="s">
        <v>1772</v>
      </c>
      <c r="D1451" s="10">
        <v>5295</v>
      </c>
      <c r="E1451" s="10" t="s">
        <v>1804</v>
      </c>
      <c r="F1451" s="11">
        <v>2014</v>
      </c>
      <c r="G1451" s="11">
        <v>2344</v>
      </c>
      <c r="H1451" s="11">
        <v>4358</v>
      </c>
      <c r="I1451" s="11">
        <v>2438</v>
      </c>
    </row>
    <row r="1452" spans="1:9" x14ac:dyDescent="0.2">
      <c r="A1452" s="10">
        <v>6712</v>
      </c>
      <c r="B1452" s="10">
        <v>52</v>
      </c>
      <c r="C1452" s="10" t="s">
        <v>1772</v>
      </c>
      <c r="D1452" s="10">
        <v>5296</v>
      </c>
      <c r="E1452" s="10" t="s">
        <v>1805</v>
      </c>
      <c r="F1452" s="11">
        <v>6130</v>
      </c>
      <c r="G1452" s="11">
        <v>7063</v>
      </c>
      <c r="H1452" s="11">
        <v>13193</v>
      </c>
      <c r="I1452" s="11">
        <v>6707</v>
      </c>
    </row>
    <row r="1453" spans="1:9" x14ac:dyDescent="0.2">
      <c r="A1453" s="10">
        <v>6712</v>
      </c>
      <c r="B1453" s="10">
        <v>52</v>
      </c>
      <c r="C1453" s="10" t="s">
        <v>1772</v>
      </c>
      <c r="D1453" s="10">
        <v>5297</v>
      </c>
      <c r="E1453" s="10" t="s">
        <v>1806</v>
      </c>
      <c r="F1453" s="11">
        <v>4499</v>
      </c>
      <c r="G1453" s="11">
        <v>5033</v>
      </c>
      <c r="H1453" s="11">
        <v>9532</v>
      </c>
      <c r="I1453" s="11">
        <v>4619</v>
      </c>
    </row>
    <row r="1454" spans="1:9" x14ac:dyDescent="0.2">
      <c r="A1454" s="10">
        <v>6712</v>
      </c>
      <c r="B1454" s="10">
        <v>52</v>
      </c>
      <c r="C1454" s="10" t="s">
        <v>1772</v>
      </c>
      <c r="D1454" s="10">
        <v>5298</v>
      </c>
      <c r="E1454" s="10" t="s">
        <v>1807</v>
      </c>
      <c r="F1454" s="11">
        <v>27691</v>
      </c>
      <c r="G1454" s="11">
        <v>30883</v>
      </c>
      <c r="H1454" s="11">
        <v>58574</v>
      </c>
      <c r="I1454" s="11">
        <v>27329</v>
      </c>
    </row>
    <row r="1455" spans="1:9" x14ac:dyDescent="0.2">
      <c r="A1455" s="10">
        <v>6712</v>
      </c>
      <c r="B1455" s="10">
        <v>52</v>
      </c>
      <c r="C1455" s="10" t="s">
        <v>1772</v>
      </c>
      <c r="D1455" s="10">
        <v>5299</v>
      </c>
      <c r="E1455" s="10" t="s">
        <v>1808</v>
      </c>
      <c r="F1455" s="11">
        <v>21371</v>
      </c>
      <c r="G1455" s="11">
        <v>26393</v>
      </c>
      <c r="H1455" s="11">
        <v>47764</v>
      </c>
      <c r="I1455" s="11">
        <v>30101</v>
      </c>
    </row>
    <row r="1456" spans="1:9" x14ac:dyDescent="0.2">
      <c r="A1456" s="10">
        <v>6712</v>
      </c>
      <c r="B1456" s="10">
        <v>53</v>
      </c>
      <c r="C1456" s="10" t="s">
        <v>1809</v>
      </c>
      <c r="D1456" s="10">
        <v>5301</v>
      </c>
      <c r="E1456" s="10" t="s">
        <v>1810</v>
      </c>
      <c r="F1456" s="11">
        <v>21966</v>
      </c>
      <c r="G1456" s="11">
        <v>23217</v>
      </c>
      <c r="H1456" s="11">
        <v>45183</v>
      </c>
      <c r="I1456" s="11">
        <v>18462</v>
      </c>
    </row>
    <row r="1457" spans="1:9" x14ac:dyDescent="0.2">
      <c r="A1457" s="10">
        <v>6712</v>
      </c>
      <c r="B1457" s="10">
        <v>53</v>
      </c>
      <c r="C1457" s="10" t="s">
        <v>1809</v>
      </c>
      <c r="D1457" s="10">
        <v>5302</v>
      </c>
      <c r="E1457" s="10" t="s">
        <v>1811</v>
      </c>
      <c r="F1457" s="11">
        <v>14046</v>
      </c>
      <c r="G1457" s="11">
        <v>14939</v>
      </c>
      <c r="H1457" s="11">
        <v>28985</v>
      </c>
      <c r="I1457" s="11">
        <v>10370</v>
      </c>
    </row>
    <row r="1458" spans="1:9" x14ac:dyDescent="0.2">
      <c r="A1458" s="10">
        <v>6712</v>
      </c>
      <c r="B1458" s="10">
        <v>53</v>
      </c>
      <c r="C1458" s="10" t="s">
        <v>1809</v>
      </c>
      <c r="D1458" s="10">
        <v>5303</v>
      </c>
      <c r="E1458" s="10" t="s">
        <v>1812</v>
      </c>
      <c r="F1458" s="11">
        <v>14059</v>
      </c>
      <c r="G1458" s="11">
        <v>14283</v>
      </c>
      <c r="H1458" s="11">
        <v>28342</v>
      </c>
      <c r="I1458" s="11">
        <v>10207</v>
      </c>
    </row>
    <row r="1459" spans="1:9" x14ac:dyDescent="0.2">
      <c r="A1459" s="10">
        <v>6712</v>
      </c>
      <c r="B1459" s="10">
        <v>53</v>
      </c>
      <c r="C1459" s="10" t="s">
        <v>1809</v>
      </c>
      <c r="D1459" s="10">
        <v>5304</v>
      </c>
      <c r="E1459" s="10" t="s">
        <v>1813</v>
      </c>
      <c r="F1459" s="11">
        <v>16210</v>
      </c>
      <c r="G1459" s="11">
        <v>16299</v>
      </c>
      <c r="H1459" s="11">
        <v>32509</v>
      </c>
      <c r="I1459" s="11">
        <v>12376</v>
      </c>
    </row>
    <row r="1460" spans="1:9" x14ac:dyDescent="0.2">
      <c r="A1460" s="10">
        <v>6712</v>
      </c>
      <c r="B1460" s="10">
        <v>53</v>
      </c>
      <c r="C1460" s="10" t="s">
        <v>1809</v>
      </c>
      <c r="D1460" s="10">
        <v>5305</v>
      </c>
      <c r="E1460" s="10" t="s">
        <v>1814</v>
      </c>
      <c r="F1460" s="11">
        <v>6226</v>
      </c>
      <c r="G1460" s="11">
        <v>6629</v>
      </c>
      <c r="H1460" s="11">
        <v>12855</v>
      </c>
      <c r="I1460" s="11">
        <v>5273</v>
      </c>
    </row>
    <row r="1461" spans="1:9" x14ac:dyDescent="0.2">
      <c r="A1461" s="10">
        <v>6712</v>
      </c>
      <c r="B1461" s="10">
        <v>53</v>
      </c>
      <c r="C1461" s="10" t="s">
        <v>1809</v>
      </c>
      <c r="D1461" s="10">
        <v>5306</v>
      </c>
      <c r="E1461" s="10" t="s">
        <v>1815</v>
      </c>
      <c r="F1461" s="11">
        <v>5199</v>
      </c>
      <c r="G1461" s="11">
        <v>5082</v>
      </c>
      <c r="H1461" s="11">
        <v>10281</v>
      </c>
      <c r="I1461" s="11">
        <v>4683</v>
      </c>
    </row>
    <row r="1462" spans="1:9" x14ac:dyDescent="0.2">
      <c r="A1462" s="10">
        <v>6712</v>
      </c>
      <c r="B1462" s="10">
        <v>53</v>
      </c>
      <c r="C1462" s="10" t="s">
        <v>1809</v>
      </c>
      <c r="D1462" s="10">
        <v>5307</v>
      </c>
      <c r="E1462" s="10" t="s">
        <v>1816</v>
      </c>
      <c r="F1462" s="11">
        <v>33965</v>
      </c>
      <c r="G1462" s="11">
        <v>36035</v>
      </c>
      <c r="H1462" s="11">
        <v>70000</v>
      </c>
      <c r="I1462" s="11">
        <v>26684</v>
      </c>
    </row>
    <row r="1463" spans="1:9" x14ac:dyDescent="0.2">
      <c r="A1463" s="10">
        <v>6712</v>
      </c>
      <c r="B1463" s="10">
        <v>53</v>
      </c>
      <c r="C1463" s="10" t="s">
        <v>1809</v>
      </c>
      <c r="D1463" s="10">
        <v>5308</v>
      </c>
      <c r="E1463" s="10" t="s">
        <v>1817</v>
      </c>
      <c r="F1463" s="11">
        <v>17729</v>
      </c>
      <c r="G1463" s="11">
        <v>18187</v>
      </c>
      <c r="H1463" s="11">
        <v>35916</v>
      </c>
      <c r="I1463" s="11">
        <v>15646</v>
      </c>
    </row>
    <row r="1464" spans="1:9" x14ac:dyDescent="0.2">
      <c r="A1464" s="10">
        <v>6712</v>
      </c>
      <c r="B1464" s="10">
        <v>53</v>
      </c>
      <c r="C1464" s="10" t="s">
        <v>1809</v>
      </c>
      <c r="D1464" s="10">
        <v>5309</v>
      </c>
      <c r="E1464" s="10" t="s">
        <v>1818</v>
      </c>
      <c r="F1464" s="11">
        <v>12740</v>
      </c>
      <c r="G1464" s="11">
        <v>13076</v>
      </c>
      <c r="H1464" s="11">
        <v>25816</v>
      </c>
      <c r="I1464" s="11">
        <v>9842</v>
      </c>
    </row>
    <row r="1465" spans="1:9" x14ac:dyDescent="0.2">
      <c r="A1465" s="10">
        <v>6712</v>
      </c>
      <c r="B1465" s="10">
        <v>53</v>
      </c>
      <c r="C1465" s="10" t="s">
        <v>1809</v>
      </c>
      <c r="D1465" s="10">
        <v>5377</v>
      </c>
      <c r="E1465" s="10" t="s">
        <v>1819</v>
      </c>
      <c r="F1465" s="11">
        <v>7531</v>
      </c>
      <c r="G1465" s="11">
        <v>7357</v>
      </c>
      <c r="H1465" s="11">
        <v>14888</v>
      </c>
      <c r="I1465" s="11">
        <v>7999</v>
      </c>
    </row>
    <row r="1466" spans="1:9" x14ac:dyDescent="0.2">
      <c r="A1466" s="10">
        <v>6712</v>
      </c>
      <c r="B1466" s="10">
        <v>53</v>
      </c>
      <c r="C1466" s="10" t="s">
        <v>1809</v>
      </c>
      <c r="D1466" s="10">
        <v>5378</v>
      </c>
      <c r="E1466" s="10" t="s">
        <v>1820</v>
      </c>
      <c r="F1466" s="11">
        <v>3326</v>
      </c>
      <c r="G1466" s="11">
        <v>3507</v>
      </c>
      <c r="H1466" s="11">
        <v>6833</v>
      </c>
      <c r="I1466" s="11">
        <v>2681</v>
      </c>
    </row>
    <row r="1467" spans="1:9" x14ac:dyDescent="0.2">
      <c r="A1467" s="10">
        <v>6712</v>
      </c>
      <c r="B1467" s="10">
        <v>53</v>
      </c>
      <c r="C1467" s="10" t="s">
        <v>1809</v>
      </c>
      <c r="D1467" s="10">
        <v>5379</v>
      </c>
      <c r="E1467" s="10" t="s">
        <v>1821</v>
      </c>
      <c r="F1467" s="11">
        <v>3582</v>
      </c>
      <c r="G1467" s="11">
        <v>3896</v>
      </c>
      <c r="H1467" s="11">
        <v>7478</v>
      </c>
      <c r="I1467" s="11">
        <v>2736</v>
      </c>
    </row>
    <row r="1468" spans="1:9" x14ac:dyDescent="0.2">
      <c r="A1468" s="10">
        <v>6712</v>
      </c>
      <c r="B1468" s="10">
        <v>53</v>
      </c>
      <c r="C1468" s="10" t="s">
        <v>1809</v>
      </c>
      <c r="D1468" s="10">
        <v>5380</v>
      </c>
      <c r="E1468" s="10" t="s">
        <v>1822</v>
      </c>
      <c r="F1468" s="11">
        <v>4227</v>
      </c>
      <c r="G1468" s="11">
        <v>4082</v>
      </c>
      <c r="H1468" s="11">
        <v>8309</v>
      </c>
      <c r="I1468" s="11">
        <v>2371</v>
      </c>
    </row>
    <row r="1469" spans="1:9" x14ac:dyDescent="0.2">
      <c r="A1469" s="10">
        <v>6712</v>
      </c>
      <c r="B1469" s="10">
        <v>53</v>
      </c>
      <c r="C1469" s="10" t="s">
        <v>1809</v>
      </c>
      <c r="D1469" s="10">
        <v>5381</v>
      </c>
      <c r="E1469" s="10" t="s">
        <v>1823</v>
      </c>
      <c r="F1469" s="11">
        <v>4214</v>
      </c>
      <c r="G1469" s="11">
        <v>4521</v>
      </c>
      <c r="H1469" s="11">
        <v>8735</v>
      </c>
      <c r="I1469" s="11">
        <v>3612</v>
      </c>
    </row>
    <row r="1470" spans="1:9" x14ac:dyDescent="0.2">
      <c r="A1470" s="10">
        <v>6712</v>
      </c>
      <c r="B1470" s="10">
        <v>53</v>
      </c>
      <c r="C1470" s="10" t="s">
        <v>1809</v>
      </c>
      <c r="D1470" s="10">
        <v>5382</v>
      </c>
      <c r="E1470" s="10" t="s">
        <v>1824</v>
      </c>
      <c r="F1470" s="11">
        <v>3796</v>
      </c>
      <c r="G1470" s="11">
        <v>4116</v>
      </c>
      <c r="H1470" s="11">
        <v>7912</v>
      </c>
      <c r="I1470" s="11">
        <v>3163</v>
      </c>
    </row>
    <row r="1471" spans="1:9" x14ac:dyDescent="0.2">
      <c r="A1471" s="10">
        <v>6712</v>
      </c>
      <c r="B1471" s="10">
        <v>53</v>
      </c>
      <c r="C1471" s="10" t="s">
        <v>1809</v>
      </c>
      <c r="D1471" s="10">
        <v>5383</v>
      </c>
      <c r="E1471" s="10" t="s">
        <v>1825</v>
      </c>
      <c r="F1471" s="11">
        <v>4369</v>
      </c>
      <c r="G1471" s="11">
        <v>5087</v>
      </c>
      <c r="H1471" s="11">
        <v>9456</v>
      </c>
      <c r="I1471" s="11">
        <v>4033</v>
      </c>
    </row>
    <row r="1472" spans="1:9" x14ac:dyDescent="0.2">
      <c r="A1472" s="10">
        <v>6712</v>
      </c>
      <c r="B1472" s="10">
        <v>53</v>
      </c>
      <c r="C1472" s="10" t="s">
        <v>1809</v>
      </c>
      <c r="D1472" s="10">
        <v>5384</v>
      </c>
      <c r="E1472" s="10" t="s">
        <v>1826</v>
      </c>
      <c r="F1472" s="11">
        <v>2127</v>
      </c>
      <c r="G1472" s="11">
        <v>2313</v>
      </c>
      <c r="H1472" s="11">
        <v>4440</v>
      </c>
      <c r="I1472" s="11">
        <v>1870</v>
      </c>
    </row>
    <row r="1473" spans="1:9" x14ac:dyDescent="0.2">
      <c r="A1473" s="10">
        <v>6712</v>
      </c>
      <c r="B1473" s="10">
        <v>53</v>
      </c>
      <c r="C1473" s="10" t="s">
        <v>1809</v>
      </c>
      <c r="D1473" s="10">
        <v>5385</v>
      </c>
      <c r="E1473" s="10" t="s">
        <v>1827</v>
      </c>
      <c r="F1473" s="11">
        <v>2613</v>
      </c>
      <c r="G1473" s="11">
        <v>2784</v>
      </c>
      <c r="H1473" s="11">
        <v>5397</v>
      </c>
      <c r="I1473" s="11">
        <v>2230</v>
      </c>
    </row>
    <row r="1474" spans="1:9" x14ac:dyDescent="0.2">
      <c r="A1474" s="10">
        <v>6712</v>
      </c>
      <c r="B1474" s="10">
        <v>53</v>
      </c>
      <c r="C1474" s="10" t="s">
        <v>1809</v>
      </c>
      <c r="D1474" s="10">
        <v>5386</v>
      </c>
      <c r="E1474" s="10" t="s">
        <v>1828</v>
      </c>
      <c r="F1474" s="11">
        <v>4488</v>
      </c>
      <c r="G1474" s="11">
        <v>5194</v>
      </c>
      <c r="H1474" s="11">
        <v>9682</v>
      </c>
      <c r="I1474" s="11">
        <v>4296</v>
      </c>
    </row>
    <row r="1475" spans="1:9" x14ac:dyDescent="0.2">
      <c r="A1475" s="10">
        <v>6712</v>
      </c>
      <c r="B1475" s="10">
        <v>53</v>
      </c>
      <c r="C1475" s="10" t="s">
        <v>1809</v>
      </c>
      <c r="D1475" s="10">
        <v>5387</v>
      </c>
      <c r="E1475" s="10" t="s">
        <v>1829</v>
      </c>
      <c r="F1475" s="10">
        <v>790</v>
      </c>
      <c r="G1475" s="10">
        <v>951</v>
      </c>
      <c r="H1475" s="11">
        <v>1741</v>
      </c>
      <c r="I1475" s="11">
        <v>1018</v>
      </c>
    </row>
    <row r="1476" spans="1:9" x14ac:dyDescent="0.2">
      <c r="A1476" s="10">
        <v>6712</v>
      </c>
      <c r="B1476" s="10">
        <v>53</v>
      </c>
      <c r="C1476" s="10" t="s">
        <v>1809</v>
      </c>
      <c r="D1476" s="10">
        <v>5388</v>
      </c>
      <c r="E1476" s="10" t="s">
        <v>1830</v>
      </c>
      <c r="F1476" s="10">
        <v>545</v>
      </c>
      <c r="G1476" s="10">
        <v>623</v>
      </c>
      <c r="H1476" s="11">
        <v>1168</v>
      </c>
      <c r="I1476" s="10">
        <v>592</v>
      </c>
    </row>
    <row r="1477" spans="1:9" x14ac:dyDescent="0.2">
      <c r="A1477" s="10">
        <v>6712</v>
      </c>
      <c r="B1477" s="10">
        <v>53</v>
      </c>
      <c r="C1477" s="10" t="s">
        <v>1809</v>
      </c>
      <c r="D1477" s="10">
        <v>5389</v>
      </c>
      <c r="E1477" s="10" t="s">
        <v>1261</v>
      </c>
      <c r="F1477" s="11">
        <v>1920</v>
      </c>
      <c r="G1477" s="11">
        <v>1910</v>
      </c>
      <c r="H1477" s="11">
        <v>3830</v>
      </c>
      <c r="I1477" s="11">
        <v>1976</v>
      </c>
    </row>
    <row r="1478" spans="1:9" x14ac:dyDescent="0.2">
      <c r="A1478" s="10">
        <v>6712</v>
      </c>
      <c r="B1478" s="10">
        <v>53</v>
      </c>
      <c r="C1478" s="10" t="s">
        <v>1809</v>
      </c>
      <c r="D1478" s="10">
        <v>5390</v>
      </c>
      <c r="E1478" s="10" t="s">
        <v>1831</v>
      </c>
      <c r="F1478" s="10">
        <v>429</v>
      </c>
      <c r="G1478" s="10">
        <v>397</v>
      </c>
      <c r="H1478" s="10">
        <v>826</v>
      </c>
      <c r="I1478" s="10">
        <v>433</v>
      </c>
    </row>
    <row r="1479" spans="1:9" x14ac:dyDescent="0.2">
      <c r="A1479" s="10">
        <v>6712</v>
      </c>
      <c r="B1479" s="10">
        <v>53</v>
      </c>
      <c r="C1479" s="10" t="s">
        <v>1809</v>
      </c>
      <c r="D1479" s="10">
        <v>5391</v>
      </c>
      <c r="E1479" s="10" t="s">
        <v>1832</v>
      </c>
      <c r="F1479" s="11">
        <v>1325</v>
      </c>
      <c r="G1479" s="11">
        <v>1450</v>
      </c>
      <c r="H1479" s="11">
        <v>2775</v>
      </c>
      <c r="I1479" s="11">
        <v>1618</v>
      </c>
    </row>
    <row r="1480" spans="1:9" x14ac:dyDescent="0.2">
      <c r="A1480" s="10">
        <v>6712</v>
      </c>
      <c r="B1480" s="10">
        <v>53</v>
      </c>
      <c r="C1480" s="10" t="s">
        <v>1809</v>
      </c>
      <c r="D1480" s="10">
        <v>5392</v>
      </c>
      <c r="E1480" s="10" t="s">
        <v>1833</v>
      </c>
      <c r="F1480" s="11">
        <v>1560</v>
      </c>
      <c r="G1480" s="11">
        <v>1750</v>
      </c>
      <c r="H1480" s="11">
        <v>3310</v>
      </c>
      <c r="I1480" s="11">
        <v>1242</v>
      </c>
    </row>
    <row r="1481" spans="1:9" x14ac:dyDescent="0.2">
      <c r="A1481" s="10">
        <v>6712</v>
      </c>
      <c r="B1481" s="10">
        <v>53</v>
      </c>
      <c r="C1481" s="10" t="s">
        <v>1809</v>
      </c>
      <c r="D1481" s="10">
        <v>5393</v>
      </c>
      <c r="E1481" s="10" t="s">
        <v>1834</v>
      </c>
      <c r="F1481" s="11">
        <v>1039</v>
      </c>
      <c r="G1481" s="11">
        <v>1141</v>
      </c>
      <c r="H1481" s="11">
        <v>2180</v>
      </c>
      <c r="I1481" s="10">
        <v>993</v>
      </c>
    </row>
    <row r="1482" spans="1:9" x14ac:dyDescent="0.2">
      <c r="A1482" s="10">
        <v>6712</v>
      </c>
      <c r="B1482" s="10">
        <v>53</v>
      </c>
      <c r="C1482" s="10" t="s">
        <v>1809</v>
      </c>
      <c r="D1482" s="10">
        <v>5394</v>
      </c>
      <c r="E1482" s="10" t="s">
        <v>1835</v>
      </c>
      <c r="F1482" s="10">
        <v>996</v>
      </c>
      <c r="G1482" s="11">
        <v>1066</v>
      </c>
      <c r="H1482" s="11">
        <v>2062</v>
      </c>
      <c r="I1482" s="10">
        <v>904</v>
      </c>
    </row>
    <row r="1483" spans="1:9" x14ac:dyDescent="0.2">
      <c r="A1483" s="10">
        <v>6712</v>
      </c>
      <c r="B1483" s="10">
        <v>53</v>
      </c>
      <c r="C1483" s="10" t="s">
        <v>1809</v>
      </c>
      <c r="D1483" s="10">
        <v>5395</v>
      </c>
      <c r="E1483" s="10" t="s">
        <v>1836</v>
      </c>
      <c r="F1483" s="10">
        <v>796</v>
      </c>
      <c r="G1483" s="10">
        <v>872</v>
      </c>
      <c r="H1483" s="11">
        <v>1668</v>
      </c>
      <c r="I1483" s="10">
        <v>706</v>
      </c>
    </row>
    <row r="1484" spans="1:9" x14ac:dyDescent="0.2">
      <c r="A1484" s="10">
        <v>6712</v>
      </c>
      <c r="B1484" s="10">
        <v>53</v>
      </c>
      <c r="C1484" s="10" t="s">
        <v>1809</v>
      </c>
      <c r="D1484" s="10">
        <v>5396</v>
      </c>
      <c r="E1484" s="10" t="s">
        <v>1837</v>
      </c>
      <c r="F1484" s="11">
        <v>4403</v>
      </c>
      <c r="G1484" s="11">
        <v>4996</v>
      </c>
      <c r="H1484" s="11">
        <v>9399</v>
      </c>
      <c r="I1484" s="11">
        <v>3511</v>
      </c>
    </row>
    <row r="1485" spans="1:9" x14ac:dyDescent="0.2">
      <c r="A1485" s="10">
        <v>6712</v>
      </c>
      <c r="B1485" s="10">
        <v>53</v>
      </c>
      <c r="C1485" s="10" t="s">
        <v>1809</v>
      </c>
      <c r="D1485" s="10">
        <v>5397</v>
      </c>
      <c r="E1485" s="10" t="s">
        <v>1838</v>
      </c>
      <c r="F1485" s="11">
        <v>1809</v>
      </c>
      <c r="G1485" s="11">
        <v>1929</v>
      </c>
      <c r="H1485" s="11">
        <v>3738</v>
      </c>
      <c r="I1485" s="11">
        <v>1414</v>
      </c>
    </row>
    <row r="1486" spans="1:9" x14ac:dyDescent="0.2">
      <c r="A1486" s="10">
        <v>6712</v>
      </c>
      <c r="B1486" s="10">
        <v>53</v>
      </c>
      <c r="C1486" s="10" t="s">
        <v>1809</v>
      </c>
      <c r="D1486" s="10">
        <v>5398</v>
      </c>
      <c r="E1486" s="10" t="s">
        <v>1839</v>
      </c>
      <c r="F1486" s="11">
        <v>1262</v>
      </c>
      <c r="G1486" s="11">
        <v>1492</v>
      </c>
      <c r="H1486" s="11">
        <v>2754</v>
      </c>
      <c r="I1486" s="11">
        <v>1217</v>
      </c>
    </row>
    <row r="1487" spans="1:9" x14ac:dyDescent="0.2">
      <c r="A1487" s="10">
        <v>6712</v>
      </c>
      <c r="B1487" s="10">
        <v>53</v>
      </c>
      <c r="C1487" s="10" t="s">
        <v>1809</v>
      </c>
      <c r="D1487" s="10">
        <v>5399</v>
      </c>
      <c r="E1487" s="10" t="s">
        <v>1840</v>
      </c>
      <c r="F1487" s="11">
        <v>12718</v>
      </c>
      <c r="G1487" s="11">
        <v>15097</v>
      </c>
      <c r="H1487" s="11">
        <v>27815</v>
      </c>
      <c r="I1487" s="11">
        <v>15150</v>
      </c>
    </row>
    <row r="1488" spans="1:9" x14ac:dyDescent="0.2">
      <c r="A1488" s="10">
        <v>6712</v>
      </c>
      <c r="B1488" s="10">
        <v>54</v>
      </c>
      <c r="C1488" s="10" t="s">
        <v>1841</v>
      </c>
      <c r="D1488" s="10">
        <v>5401</v>
      </c>
      <c r="E1488" s="10" t="s">
        <v>1842</v>
      </c>
      <c r="F1488" s="11">
        <v>28699</v>
      </c>
      <c r="G1488" s="11">
        <v>32615</v>
      </c>
      <c r="H1488" s="11">
        <v>61314</v>
      </c>
      <c r="I1488" s="11">
        <v>28617</v>
      </c>
    </row>
    <row r="1489" spans="1:9" x14ac:dyDescent="0.2">
      <c r="A1489" s="10">
        <v>6712</v>
      </c>
      <c r="B1489" s="10">
        <v>54</v>
      </c>
      <c r="C1489" s="10" t="s">
        <v>1841</v>
      </c>
      <c r="D1489" s="10">
        <v>5402</v>
      </c>
      <c r="E1489" s="10" t="s">
        <v>1843</v>
      </c>
      <c r="F1489" s="11">
        <v>16518</v>
      </c>
      <c r="G1489" s="11">
        <v>17855</v>
      </c>
      <c r="H1489" s="11">
        <v>34373</v>
      </c>
      <c r="I1489" s="11">
        <v>13142</v>
      </c>
    </row>
    <row r="1490" spans="1:9" x14ac:dyDescent="0.2">
      <c r="A1490" s="10">
        <v>6712</v>
      </c>
      <c r="B1490" s="10">
        <v>54</v>
      </c>
      <c r="C1490" s="10" t="s">
        <v>1841</v>
      </c>
      <c r="D1490" s="10">
        <v>5403</v>
      </c>
      <c r="E1490" s="10" t="s">
        <v>1844</v>
      </c>
      <c r="F1490" s="11">
        <v>14713</v>
      </c>
      <c r="G1490" s="11">
        <v>14999</v>
      </c>
      <c r="H1490" s="11">
        <v>29712</v>
      </c>
      <c r="I1490" s="11">
        <v>11762</v>
      </c>
    </row>
    <row r="1491" spans="1:9" x14ac:dyDescent="0.2">
      <c r="A1491" s="10">
        <v>6712</v>
      </c>
      <c r="B1491" s="10">
        <v>54</v>
      </c>
      <c r="C1491" s="10" t="s">
        <v>1841</v>
      </c>
      <c r="D1491" s="10">
        <v>5404</v>
      </c>
      <c r="E1491" s="10" t="s">
        <v>1845</v>
      </c>
      <c r="F1491" s="11">
        <v>31494</v>
      </c>
      <c r="G1491" s="11">
        <v>34969</v>
      </c>
      <c r="H1491" s="11">
        <v>66463</v>
      </c>
      <c r="I1491" s="11">
        <v>28710</v>
      </c>
    </row>
    <row r="1492" spans="1:9" x14ac:dyDescent="0.2">
      <c r="A1492" s="10">
        <v>6712</v>
      </c>
      <c r="B1492" s="10">
        <v>54</v>
      </c>
      <c r="C1492" s="10" t="s">
        <v>1841</v>
      </c>
      <c r="D1492" s="10">
        <v>5405</v>
      </c>
      <c r="E1492" s="10" t="s">
        <v>1846</v>
      </c>
      <c r="F1492" s="11">
        <v>9912</v>
      </c>
      <c r="G1492" s="11">
        <v>9446</v>
      </c>
      <c r="H1492" s="11">
        <v>19358</v>
      </c>
      <c r="I1492" s="11">
        <v>8691</v>
      </c>
    </row>
    <row r="1493" spans="1:9" x14ac:dyDescent="0.2">
      <c r="A1493" s="10">
        <v>6712</v>
      </c>
      <c r="B1493" s="10">
        <v>54</v>
      </c>
      <c r="C1493" s="10" t="s">
        <v>1841</v>
      </c>
      <c r="D1493" s="10">
        <v>5406</v>
      </c>
      <c r="E1493" s="10" t="s">
        <v>1847</v>
      </c>
      <c r="F1493" s="11">
        <v>19928</v>
      </c>
      <c r="G1493" s="11">
        <v>20891</v>
      </c>
      <c r="H1493" s="11">
        <v>40819</v>
      </c>
      <c r="I1493" s="11">
        <v>16762</v>
      </c>
    </row>
    <row r="1494" spans="1:9" x14ac:dyDescent="0.2">
      <c r="A1494" s="10">
        <v>6712</v>
      </c>
      <c r="B1494" s="10">
        <v>54</v>
      </c>
      <c r="C1494" s="10" t="s">
        <v>1841</v>
      </c>
      <c r="D1494" s="10">
        <v>5407</v>
      </c>
      <c r="E1494" s="10" t="s">
        <v>1848</v>
      </c>
      <c r="F1494" s="11">
        <v>20605</v>
      </c>
      <c r="G1494" s="11">
        <v>20790</v>
      </c>
      <c r="H1494" s="11">
        <v>41395</v>
      </c>
      <c r="I1494" s="11">
        <v>15835</v>
      </c>
    </row>
    <row r="1495" spans="1:9" x14ac:dyDescent="0.2">
      <c r="A1495" s="10">
        <v>6712</v>
      </c>
      <c r="B1495" s="10">
        <v>54</v>
      </c>
      <c r="C1495" s="10" t="s">
        <v>1841</v>
      </c>
      <c r="D1495" s="10">
        <v>5408</v>
      </c>
      <c r="E1495" s="10" t="s">
        <v>1849</v>
      </c>
      <c r="F1495" s="11">
        <v>5656</v>
      </c>
      <c r="G1495" s="11">
        <v>6514</v>
      </c>
      <c r="H1495" s="11">
        <v>12170</v>
      </c>
      <c r="I1495" s="11">
        <v>5136</v>
      </c>
    </row>
    <row r="1496" spans="1:9" x14ac:dyDescent="0.2">
      <c r="A1496" s="10">
        <v>6712</v>
      </c>
      <c r="B1496" s="10">
        <v>54</v>
      </c>
      <c r="C1496" s="10" t="s">
        <v>1841</v>
      </c>
      <c r="D1496" s="10">
        <v>5482</v>
      </c>
      <c r="E1496" s="10" t="s">
        <v>1850</v>
      </c>
      <c r="F1496" s="11">
        <v>3117</v>
      </c>
      <c r="G1496" s="11">
        <v>3277</v>
      </c>
      <c r="H1496" s="11">
        <v>6394</v>
      </c>
      <c r="I1496" s="11">
        <v>2771</v>
      </c>
    </row>
    <row r="1497" spans="1:9" x14ac:dyDescent="0.2">
      <c r="A1497" s="10">
        <v>6712</v>
      </c>
      <c r="B1497" s="10">
        <v>54</v>
      </c>
      <c r="C1497" s="10" t="s">
        <v>1841</v>
      </c>
      <c r="D1497" s="10">
        <v>5483</v>
      </c>
      <c r="E1497" s="10" t="s">
        <v>1851</v>
      </c>
      <c r="F1497" s="11">
        <v>1403</v>
      </c>
      <c r="G1497" s="11">
        <v>1400</v>
      </c>
      <c r="H1497" s="11">
        <v>2803</v>
      </c>
      <c r="I1497" s="11">
        <v>1173</v>
      </c>
    </row>
    <row r="1498" spans="1:9" x14ac:dyDescent="0.2">
      <c r="A1498" s="10">
        <v>6712</v>
      </c>
      <c r="B1498" s="10">
        <v>54</v>
      </c>
      <c r="C1498" s="10" t="s">
        <v>1841</v>
      </c>
      <c r="D1498" s="10">
        <v>5484</v>
      </c>
      <c r="E1498" s="10" t="s">
        <v>1852</v>
      </c>
      <c r="F1498" s="11">
        <v>3066</v>
      </c>
      <c r="G1498" s="11">
        <v>3034</v>
      </c>
      <c r="H1498" s="11">
        <v>6100</v>
      </c>
      <c r="I1498" s="11">
        <v>2509</v>
      </c>
    </row>
    <row r="1499" spans="1:9" x14ac:dyDescent="0.2">
      <c r="A1499" s="10">
        <v>6712</v>
      </c>
      <c r="B1499" s="10">
        <v>54</v>
      </c>
      <c r="C1499" s="10" t="s">
        <v>1841</v>
      </c>
      <c r="D1499" s="10">
        <v>5485</v>
      </c>
      <c r="E1499" s="10" t="s">
        <v>1853</v>
      </c>
      <c r="F1499" s="11">
        <v>5522</v>
      </c>
      <c r="G1499" s="11">
        <v>6348</v>
      </c>
      <c r="H1499" s="11">
        <v>11870</v>
      </c>
      <c r="I1499" s="11">
        <v>5180</v>
      </c>
    </row>
    <row r="1500" spans="1:9" x14ac:dyDescent="0.2">
      <c r="A1500" s="10">
        <v>6712</v>
      </c>
      <c r="B1500" s="10">
        <v>54</v>
      </c>
      <c r="C1500" s="10" t="s">
        <v>1841</v>
      </c>
      <c r="D1500" s="10">
        <v>5486</v>
      </c>
      <c r="E1500" s="10" t="s">
        <v>1854</v>
      </c>
      <c r="F1500" s="11">
        <v>3376</v>
      </c>
      <c r="G1500" s="11">
        <v>3568</v>
      </c>
      <c r="H1500" s="11">
        <v>6944</v>
      </c>
      <c r="I1500" s="11">
        <v>2781</v>
      </c>
    </row>
    <row r="1501" spans="1:9" x14ac:dyDescent="0.2">
      <c r="A1501" s="10">
        <v>6712</v>
      </c>
      <c r="B1501" s="10">
        <v>54</v>
      </c>
      <c r="C1501" s="10" t="s">
        <v>1841</v>
      </c>
      <c r="D1501" s="10">
        <v>5487</v>
      </c>
      <c r="E1501" s="10" t="s">
        <v>1855</v>
      </c>
      <c r="F1501" s="11">
        <v>1954</v>
      </c>
      <c r="G1501" s="11">
        <v>2280</v>
      </c>
      <c r="H1501" s="11">
        <v>4234</v>
      </c>
      <c r="I1501" s="11">
        <v>1934</v>
      </c>
    </row>
    <row r="1502" spans="1:9" x14ac:dyDescent="0.2">
      <c r="A1502" s="10">
        <v>6712</v>
      </c>
      <c r="B1502" s="10">
        <v>54</v>
      </c>
      <c r="C1502" s="10" t="s">
        <v>1841</v>
      </c>
      <c r="D1502" s="10">
        <v>5488</v>
      </c>
      <c r="E1502" s="10" t="s">
        <v>1856</v>
      </c>
      <c r="F1502" s="11">
        <v>1339</v>
      </c>
      <c r="G1502" s="11">
        <v>1418</v>
      </c>
      <c r="H1502" s="11">
        <v>2757</v>
      </c>
      <c r="I1502" s="11">
        <v>1475</v>
      </c>
    </row>
    <row r="1503" spans="1:9" x14ac:dyDescent="0.2">
      <c r="A1503" s="10">
        <v>6712</v>
      </c>
      <c r="B1503" s="10">
        <v>54</v>
      </c>
      <c r="C1503" s="10" t="s">
        <v>1841</v>
      </c>
      <c r="D1503" s="10">
        <v>5489</v>
      </c>
      <c r="E1503" s="10" t="s">
        <v>1857</v>
      </c>
      <c r="F1503" s="11">
        <v>2840</v>
      </c>
      <c r="G1503" s="11">
        <v>3394</v>
      </c>
      <c r="H1503" s="11">
        <v>6234</v>
      </c>
      <c r="I1503" s="11">
        <v>3181</v>
      </c>
    </row>
    <row r="1504" spans="1:9" x14ac:dyDescent="0.2">
      <c r="A1504" s="10">
        <v>6712</v>
      </c>
      <c r="B1504" s="10">
        <v>54</v>
      </c>
      <c r="C1504" s="10" t="s">
        <v>1841</v>
      </c>
      <c r="D1504" s="10">
        <v>5490</v>
      </c>
      <c r="E1504" s="10" t="s">
        <v>1858</v>
      </c>
      <c r="F1504" s="11">
        <v>1725</v>
      </c>
      <c r="G1504" s="11">
        <v>1890</v>
      </c>
      <c r="H1504" s="11">
        <v>3615</v>
      </c>
      <c r="I1504" s="11">
        <v>1605</v>
      </c>
    </row>
    <row r="1505" spans="1:9" x14ac:dyDescent="0.2">
      <c r="A1505" s="10">
        <v>6712</v>
      </c>
      <c r="B1505" s="10">
        <v>54</v>
      </c>
      <c r="C1505" s="10" t="s">
        <v>1841</v>
      </c>
      <c r="D1505" s="10">
        <v>5491</v>
      </c>
      <c r="E1505" s="10" t="s">
        <v>1859</v>
      </c>
      <c r="F1505" s="11">
        <v>4950</v>
      </c>
      <c r="G1505" s="11">
        <v>5509</v>
      </c>
      <c r="H1505" s="11">
        <v>10459</v>
      </c>
      <c r="I1505" s="11">
        <v>5316</v>
      </c>
    </row>
    <row r="1506" spans="1:9" x14ac:dyDescent="0.2">
      <c r="A1506" s="10">
        <v>6712</v>
      </c>
      <c r="B1506" s="10">
        <v>54</v>
      </c>
      <c r="C1506" s="10" t="s">
        <v>1841</v>
      </c>
      <c r="D1506" s="10">
        <v>5492</v>
      </c>
      <c r="E1506" s="10" t="s">
        <v>1860</v>
      </c>
      <c r="F1506" s="11">
        <v>1650</v>
      </c>
      <c r="G1506" s="11">
        <v>1896</v>
      </c>
      <c r="H1506" s="11">
        <v>3546</v>
      </c>
      <c r="I1506" s="11">
        <v>1967</v>
      </c>
    </row>
    <row r="1507" spans="1:9" x14ac:dyDescent="0.2">
      <c r="A1507" s="10">
        <v>6712</v>
      </c>
      <c r="B1507" s="10">
        <v>54</v>
      </c>
      <c r="C1507" s="10" t="s">
        <v>1841</v>
      </c>
      <c r="D1507" s="10">
        <v>5493</v>
      </c>
      <c r="E1507" s="10" t="s">
        <v>1861</v>
      </c>
      <c r="F1507" s="11">
        <v>2156</v>
      </c>
      <c r="G1507" s="11">
        <v>2440</v>
      </c>
      <c r="H1507" s="11">
        <v>4596</v>
      </c>
      <c r="I1507" s="11">
        <v>2259</v>
      </c>
    </row>
    <row r="1508" spans="1:9" x14ac:dyDescent="0.2">
      <c r="A1508" s="10">
        <v>6712</v>
      </c>
      <c r="B1508" s="10">
        <v>54</v>
      </c>
      <c r="C1508" s="10" t="s">
        <v>1841</v>
      </c>
      <c r="D1508" s="10">
        <v>5494</v>
      </c>
      <c r="E1508" s="10" t="s">
        <v>1862</v>
      </c>
      <c r="F1508" s="10">
        <v>978</v>
      </c>
      <c r="G1508" s="11">
        <v>1159</v>
      </c>
      <c r="H1508" s="11">
        <v>2137</v>
      </c>
      <c r="I1508" s="10">
        <v>834</v>
      </c>
    </row>
    <row r="1509" spans="1:9" x14ac:dyDescent="0.2">
      <c r="A1509" s="10">
        <v>6712</v>
      </c>
      <c r="B1509" s="10">
        <v>54</v>
      </c>
      <c r="C1509" s="10" t="s">
        <v>1841</v>
      </c>
      <c r="D1509" s="10">
        <v>5495</v>
      </c>
      <c r="E1509" s="10" t="s">
        <v>1863</v>
      </c>
      <c r="F1509" s="11">
        <v>5619</v>
      </c>
      <c r="G1509" s="11">
        <v>6310</v>
      </c>
      <c r="H1509" s="11">
        <v>11929</v>
      </c>
      <c r="I1509" s="11">
        <v>6164</v>
      </c>
    </row>
    <row r="1510" spans="1:9" x14ac:dyDescent="0.2">
      <c r="A1510" s="10">
        <v>6712</v>
      </c>
      <c r="B1510" s="10">
        <v>54</v>
      </c>
      <c r="C1510" s="10" t="s">
        <v>1841</v>
      </c>
      <c r="D1510" s="10">
        <v>5496</v>
      </c>
      <c r="E1510" s="10" t="s">
        <v>1864</v>
      </c>
      <c r="F1510" s="11">
        <v>1940</v>
      </c>
      <c r="G1510" s="11">
        <v>2299</v>
      </c>
      <c r="H1510" s="11">
        <v>4239</v>
      </c>
      <c r="I1510" s="11">
        <v>2062</v>
      </c>
    </row>
    <row r="1511" spans="1:9" x14ac:dyDescent="0.2">
      <c r="A1511" s="10">
        <v>6712</v>
      </c>
      <c r="B1511" s="10">
        <v>54</v>
      </c>
      <c r="C1511" s="10" t="s">
        <v>1841</v>
      </c>
      <c r="D1511" s="10">
        <v>5497</v>
      </c>
      <c r="E1511" s="10" t="s">
        <v>1865</v>
      </c>
      <c r="F1511" s="11">
        <v>2812</v>
      </c>
      <c r="G1511" s="11">
        <v>3255</v>
      </c>
      <c r="H1511" s="11">
        <v>6067</v>
      </c>
      <c r="I1511" s="11">
        <v>3322</v>
      </c>
    </row>
    <row r="1512" spans="1:9" x14ac:dyDescent="0.2">
      <c r="A1512" s="10">
        <v>6712</v>
      </c>
      <c r="B1512" s="10">
        <v>54</v>
      </c>
      <c r="C1512" s="10" t="s">
        <v>1841</v>
      </c>
      <c r="D1512" s="10">
        <v>5498</v>
      </c>
      <c r="E1512" s="10" t="s">
        <v>1866</v>
      </c>
      <c r="F1512" s="11">
        <v>4105</v>
      </c>
      <c r="G1512" s="11">
        <v>4396</v>
      </c>
      <c r="H1512" s="11">
        <v>8501</v>
      </c>
      <c r="I1512" s="11">
        <v>3812</v>
      </c>
    </row>
    <row r="1513" spans="1:9" x14ac:dyDescent="0.2">
      <c r="A1513" s="10">
        <v>6712</v>
      </c>
      <c r="B1513" s="10">
        <v>54</v>
      </c>
      <c r="C1513" s="10" t="s">
        <v>1841</v>
      </c>
      <c r="D1513" s="10">
        <v>5499</v>
      </c>
      <c r="E1513" s="10" t="s">
        <v>1867</v>
      </c>
      <c r="F1513" s="11">
        <v>6301</v>
      </c>
      <c r="G1513" s="11">
        <v>7415</v>
      </c>
      <c r="H1513" s="11">
        <v>13716</v>
      </c>
      <c r="I1513" s="11">
        <v>8874</v>
      </c>
    </row>
    <row r="1514" spans="1:9" x14ac:dyDescent="0.2">
      <c r="A1514" s="10">
        <v>6712</v>
      </c>
      <c r="B1514" s="10">
        <v>55</v>
      </c>
      <c r="C1514" s="10" t="s">
        <v>1868</v>
      </c>
      <c r="D1514" s="10">
        <v>5501</v>
      </c>
      <c r="E1514" s="10" t="s">
        <v>1869</v>
      </c>
      <c r="F1514" s="11">
        <v>31351</v>
      </c>
      <c r="G1514" s="11">
        <v>31760</v>
      </c>
      <c r="H1514" s="11">
        <v>63111</v>
      </c>
      <c r="I1514" s="11">
        <v>26511</v>
      </c>
    </row>
    <row r="1515" spans="1:9" x14ac:dyDescent="0.2">
      <c r="A1515" s="10">
        <v>6712</v>
      </c>
      <c r="B1515" s="10">
        <v>55</v>
      </c>
      <c r="C1515" s="10" t="s">
        <v>1868</v>
      </c>
      <c r="D1515" s="10">
        <v>5502</v>
      </c>
      <c r="E1515" s="10" t="s">
        <v>1870</v>
      </c>
      <c r="F1515" s="11">
        <v>8397</v>
      </c>
      <c r="G1515" s="11">
        <v>8025</v>
      </c>
      <c r="H1515" s="11">
        <v>16422</v>
      </c>
      <c r="I1515" s="11">
        <v>5048</v>
      </c>
    </row>
    <row r="1516" spans="1:9" x14ac:dyDescent="0.2">
      <c r="A1516" s="10">
        <v>6712</v>
      </c>
      <c r="B1516" s="10">
        <v>55</v>
      </c>
      <c r="C1516" s="10" t="s">
        <v>1868</v>
      </c>
      <c r="D1516" s="10">
        <v>5503</v>
      </c>
      <c r="E1516" s="10" t="s">
        <v>1871</v>
      </c>
      <c r="F1516" s="11">
        <v>5628</v>
      </c>
      <c r="G1516" s="11">
        <v>5552</v>
      </c>
      <c r="H1516" s="11">
        <v>11180</v>
      </c>
      <c r="I1516" s="11">
        <v>4054</v>
      </c>
    </row>
    <row r="1517" spans="1:9" x14ac:dyDescent="0.2">
      <c r="A1517" s="10">
        <v>6712</v>
      </c>
      <c r="B1517" s="10">
        <v>55</v>
      </c>
      <c r="C1517" s="10" t="s">
        <v>1868</v>
      </c>
      <c r="D1517" s="10">
        <v>5504</v>
      </c>
      <c r="E1517" s="10" t="s">
        <v>1872</v>
      </c>
      <c r="F1517" s="11">
        <v>14745</v>
      </c>
      <c r="G1517" s="11">
        <v>14650</v>
      </c>
      <c r="H1517" s="11">
        <v>29395</v>
      </c>
      <c r="I1517" s="11">
        <v>10803</v>
      </c>
    </row>
    <row r="1518" spans="1:9" x14ac:dyDescent="0.2">
      <c r="A1518" s="10">
        <v>6712</v>
      </c>
      <c r="B1518" s="10">
        <v>55</v>
      </c>
      <c r="C1518" s="10" t="s">
        <v>1868</v>
      </c>
      <c r="D1518" s="10">
        <v>5505</v>
      </c>
      <c r="E1518" s="10" t="s">
        <v>1873</v>
      </c>
      <c r="F1518" s="11">
        <v>26457</v>
      </c>
      <c r="G1518" s="11">
        <v>26887</v>
      </c>
      <c r="H1518" s="11">
        <v>53344</v>
      </c>
      <c r="I1518" s="11">
        <v>16887</v>
      </c>
    </row>
    <row r="1519" spans="1:9" x14ac:dyDescent="0.2">
      <c r="A1519" s="10">
        <v>6712</v>
      </c>
      <c r="B1519" s="10">
        <v>55</v>
      </c>
      <c r="C1519" s="10" t="s">
        <v>1868</v>
      </c>
      <c r="D1519" s="10">
        <v>5506</v>
      </c>
      <c r="E1519" s="10" t="s">
        <v>1874</v>
      </c>
      <c r="F1519" s="11">
        <v>22256</v>
      </c>
      <c r="G1519" s="11">
        <v>22457</v>
      </c>
      <c r="H1519" s="11">
        <v>44713</v>
      </c>
      <c r="I1519" s="11">
        <v>15254</v>
      </c>
    </row>
    <row r="1520" spans="1:9" x14ac:dyDescent="0.2">
      <c r="A1520" s="10">
        <v>6712</v>
      </c>
      <c r="B1520" s="10">
        <v>55</v>
      </c>
      <c r="C1520" s="10" t="s">
        <v>1868</v>
      </c>
      <c r="D1520" s="10">
        <v>5507</v>
      </c>
      <c r="E1520" s="10" t="s">
        <v>1875</v>
      </c>
      <c r="F1520" s="11">
        <v>32759</v>
      </c>
      <c r="G1520" s="11">
        <v>32720</v>
      </c>
      <c r="H1520" s="11">
        <v>65479</v>
      </c>
      <c r="I1520" s="11">
        <v>25695</v>
      </c>
    </row>
    <row r="1521" spans="1:9" x14ac:dyDescent="0.2">
      <c r="A1521" s="10">
        <v>6712</v>
      </c>
      <c r="B1521" s="10">
        <v>55</v>
      </c>
      <c r="C1521" s="10" t="s">
        <v>1868</v>
      </c>
      <c r="D1521" s="10">
        <v>5508</v>
      </c>
      <c r="E1521" s="10" t="s">
        <v>1876</v>
      </c>
      <c r="F1521" s="11">
        <v>7884</v>
      </c>
      <c r="G1521" s="11">
        <v>7774</v>
      </c>
      <c r="H1521" s="11">
        <v>15658</v>
      </c>
      <c r="I1521" s="11">
        <v>5349</v>
      </c>
    </row>
    <row r="1522" spans="1:9" x14ac:dyDescent="0.2">
      <c r="A1522" s="10">
        <v>6712</v>
      </c>
      <c r="B1522" s="10">
        <v>55</v>
      </c>
      <c r="C1522" s="10" t="s">
        <v>1868</v>
      </c>
      <c r="D1522" s="10">
        <v>5509</v>
      </c>
      <c r="E1522" s="10" t="s">
        <v>1877</v>
      </c>
      <c r="F1522" s="11">
        <v>8446</v>
      </c>
      <c r="G1522" s="11">
        <v>8656</v>
      </c>
      <c r="H1522" s="11">
        <v>17102</v>
      </c>
      <c r="I1522" s="11">
        <v>6043</v>
      </c>
    </row>
    <row r="1523" spans="1:9" x14ac:dyDescent="0.2">
      <c r="A1523" s="10">
        <v>6712</v>
      </c>
      <c r="B1523" s="10">
        <v>55</v>
      </c>
      <c r="C1523" s="10" t="s">
        <v>1868</v>
      </c>
      <c r="D1523" s="10">
        <v>5510</v>
      </c>
      <c r="E1523" s="10" t="s">
        <v>1878</v>
      </c>
      <c r="F1523" s="11">
        <v>6950</v>
      </c>
      <c r="G1523" s="11">
        <v>6904</v>
      </c>
      <c r="H1523" s="11">
        <v>13854</v>
      </c>
      <c r="I1523" s="11">
        <v>4652</v>
      </c>
    </row>
    <row r="1524" spans="1:9" x14ac:dyDescent="0.2">
      <c r="A1524" s="10">
        <v>6712</v>
      </c>
      <c r="B1524" s="10">
        <v>55</v>
      </c>
      <c r="C1524" s="10" t="s">
        <v>1868</v>
      </c>
      <c r="D1524" s="10">
        <v>5511</v>
      </c>
      <c r="E1524" s="10" t="s">
        <v>1879</v>
      </c>
      <c r="F1524" s="11">
        <v>7927</v>
      </c>
      <c r="G1524" s="11">
        <v>7544</v>
      </c>
      <c r="H1524" s="11">
        <v>15471</v>
      </c>
      <c r="I1524" s="11">
        <v>5373</v>
      </c>
    </row>
    <row r="1525" spans="1:9" x14ac:dyDescent="0.2">
      <c r="A1525" s="10">
        <v>6712</v>
      </c>
      <c r="B1525" s="10">
        <v>55</v>
      </c>
      <c r="C1525" s="10" t="s">
        <v>1868</v>
      </c>
      <c r="D1525" s="10">
        <v>5512</v>
      </c>
      <c r="E1525" s="10" t="s">
        <v>1880</v>
      </c>
      <c r="F1525" s="11">
        <v>7877</v>
      </c>
      <c r="G1525" s="11">
        <v>7518</v>
      </c>
      <c r="H1525" s="11">
        <v>15395</v>
      </c>
      <c r="I1525" s="11">
        <v>5357</v>
      </c>
    </row>
    <row r="1526" spans="1:9" x14ac:dyDescent="0.2">
      <c r="A1526" s="10">
        <v>6712</v>
      </c>
      <c r="B1526" s="10">
        <v>55</v>
      </c>
      <c r="C1526" s="10" t="s">
        <v>1868</v>
      </c>
      <c r="D1526" s="10">
        <v>5513</v>
      </c>
      <c r="E1526" s="10" t="s">
        <v>1881</v>
      </c>
      <c r="F1526" s="11">
        <v>6390</v>
      </c>
      <c r="G1526" s="11">
        <v>6002</v>
      </c>
      <c r="H1526" s="11">
        <v>12392</v>
      </c>
      <c r="I1526" s="11">
        <v>4034</v>
      </c>
    </row>
    <row r="1527" spans="1:9" x14ac:dyDescent="0.2">
      <c r="A1527" s="10">
        <v>6712</v>
      </c>
      <c r="B1527" s="10">
        <v>55</v>
      </c>
      <c r="C1527" s="10" t="s">
        <v>1868</v>
      </c>
      <c r="D1527" s="10">
        <v>5514</v>
      </c>
      <c r="E1527" s="10" t="s">
        <v>1882</v>
      </c>
      <c r="F1527" s="11">
        <v>17567</v>
      </c>
      <c r="G1527" s="11">
        <v>18134</v>
      </c>
      <c r="H1527" s="11">
        <v>35701</v>
      </c>
      <c r="I1527" s="11">
        <v>14578</v>
      </c>
    </row>
    <row r="1528" spans="1:9" x14ac:dyDescent="0.2">
      <c r="A1528" s="10">
        <v>6712</v>
      </c>
      <c r="B1528" s="10">
        <v>55</v>
      </c>
      <c r="C1528" s="10" t="s">
        <v>1868</v>
      </c>
      <c r="D1528" s="10">
        <v>5515</v>
      </c>
      <c r="E1528" s="10" t="s">
        <v>615</v>
      </c>
      <c r="F1528" s="11">
        <v>5018</v>
      </c>
      <c r="G1528" s="11">
        <v>4752</v>
      </c>
      <c r="H1528" s="11">
        <v>9770</v>
      </c>
      <c r="I1528" s="11">
        <v>3497</v>
      </c>
    </row>
    <row r="1529" spans="1:9" x14ac:dyDescent="0.2">
      <c r="A1529" s="10">
        <v>6712</v>
      </c>
      <c r="B1529" s="10">
        <v>55</v>
      </c>
      <c r="C1529" s="10" t="s">
        <v>1868</v>
      </c>
      <c r="D1529" s="10">
        <v>5592</v>
      </c>
      <c r="E1529" s="10" t="s">
        <v>1883</v>
      </c>
      <c r="F1529" s="11">
        <v>4627</v>
      </c>
      <c r="G1529" s="11">
        <v>4785</v>
      </c>
      <c r="H1529" s="11">
        <v>9412</v>
      </c>
      <c r="I1529" s="11">
        <v>4104</v>
      </c>
    </row>
    <row r="1530" spans="1:9" x14ac:dyDescent="0.2">
      <c r="A1530" s="10">
        <v>6712</v>
      </c>
      <c r="B1530" s="10">
        <v>55</v>
      </c>
      <c r="C1530" s="10" t="s">
        <v>1868</v>
      </c>
      <c r="D1530" s="10">
        <v>5593</v>
      </c>
      <c r="E1530" s="10" t="s">
        <v>1884</v>
      </c>
      <c r="F1530" s="11">
        <v>1625</v>
      </c>
      <c r="G1530" s="11">
        <v>1610</v>
      </c>
      <c r="H1530" s="11">
        <v>3235</v>
      </c>
      <c r="I1530" s="11">
        <v>1469</v>
      </c>
    </row>
    <row r="1531" spans="1:9" x14ac:dyDescent="0.2">
      <c r="A1531" s="10">
        <v>6712</v>
      </c>
      <c r="B1531" s="10">
        <v>55</v>
      </c>
      <c r="C1531" s="10" t="s">
        <v>1868</v>
      </c>
      <c r="D1531" s="10">
        <v>5594</v>
      </c>
      <c r="E1531" s="10" t="s">
        <v>1885</v>
      </c>
      <c r="F1531" s="11">
        <v>1229</v>
      </c>
      <c r="G1531" s="11">
        <v>1434</v>
      </c>
      <c r="H1531" s="11">
        <v>2663</v>
      </c>
      <c r="I1531" s="11">
        <v>1344</v>
      </c>
    </row>
    <row r="1532" spans="1:9" x14ac:dyDescent="0.2">
      <c r="A1532" s="10">
        <v>6712</v>
      </c>
      <c r="B1532" s="10">
        <v>55</v>
      </c>
      <c r="C1532" s="10" t="s">
        <v>1868</v>
      </c>
      <c r="D1532" s="10">
        <v>5595</v>
      </c>
      <c r="E1532" s="10" t="s">
        <v>1886</v>
      </c>
      <c r="F1532" s="11">
        <v>2438</v>
      </c>
      <c r="G1532" s="11">
        <v>2696</v>
      </c>
      <c r="H1532" s="11">
        <v>5134</v>
      </c>
      <c r="I1532" s="11">
        <v>2852</v>
      </c>
    </row>
    <row r="1533" spans="1:9" x14ac:dyDescent="0.2">
      <c r="A1533" s="10">
        <v>6712</v>
      </c>
      <c r="B1533" s="10">
        <v>55</v>
      </c>
      <c r="C1533" s="10" t="s">
        <v>1868</v>
      </c>
      <c r="D1533" s="10">
        <v>5596</v>
      </c>
      <c r="E1533" s="10" t="s">
        <v>1887</v>
      </c>
      <c r="F1533" s="11">
        <v>5003</v>
      </c>
      <c r="G1533" s="11">
        <v>5370</v>
      </c>
      <c r="H1533" s="11">
        <v>10373</v>
      </c>
      <c r="I1533" s="11">
        <v>5223</v>
      </c>
    </row>
    <row r="1534" spans="1:9" x14ac:dyDescent="0.2">
      <c r="A1534" s="10">
        <v>6712</v>
      </c>
      <c r="B1534" s="10">
        <v>55</v>
      </c>
      <c r="C1534" s="10" t="s">
        <v>1868</v>
      </c>
      <c r="D1534" s="10">
        <v>5597</v>
      </c>
      <c r="E1534" s="10" t="s">
        <v>1888</v>
      </c>
      <c r="F1534" s="11">
        <v>1067</v>
      </c>
      <c r="G1534" s="11">
        <v>1219</v>
      </c>
      <c r="H1534" s="11">
        <v>2286</v>
      </c>
      <c r="I1534" s="11">
        <v>1285</v>
      </c>
    </row>
    <row r="1535" spans="1:9" x14ac:dyDescent="0.2">
      <c r="A1535" s="10">
        <v>6712</v>
      </c>
      <c r="B1535" s="10">
        <v>55</v>
      </c>
      <c r="C1535" s="10" t="s">
        <v>1868</v>
      </c>
      <c r="D1535" s="10">
        <v>5599</v>
      </c>
      <c r="E1535" s="10" t="s">
        <v>1889</v>
      </c>
      <c r="F1535" s="11">
        <v>9006</v>
      </c>
      <c r="G1535" s="11">
        <v>9411</v>
      </c>
      <c r="H1535" s="11">
        <v>18417</v>
      </c>
      <c r="I1535" s="11">
        <v>11049</v>
      </c>
    </row>
    <row r="1536" spans="1:9" x14ac:dyDescent="0.2">
      <c r="A1536" s="10">
        <v>6712</v>
      </c>
      <c r="B1536" s="10">
        <v>56</v>
      </c>
      <c r="C1536" s="10" t="s">
        <v>1890</v>
      </c>
      <c r="D1536" s="10">
        <v>5601</v>
      </c>
      <c r="E1536" s="10" t="s">
        <v>1891</v>
      </c>
      <c r="F1536" s="11">
        <v>20441</v>
      </c>
      <c r="G1536" s="11">
        <v>21923</v>
      </c>
      <c r="H1536" s="11">
        <v>42364</v>
      </c>
      <c r="I1536" s="11">
        <v>18085</v>
      </c>
    </row>
    <row r="1537" spans="1:9" x14ac:dyDescent="0.2">
      <c r="A1537" s="10">
        <v>6712</v>
      </c>
      <c r="B1537" s="10">
        <v>56</v>
      </c>
      <c r="C1537" s="10" t="s">
        <v>1890</v>
      </c>
      <c r="D1537" s="10">
        <v>5602</v>
      </c>
      <c r="E1537" s="10" t="s">
        <v>1892</v>
      </c>
      <c r="F1537" s="11">
        <v>8316</v>
      </c>
      <c r="G1537" s="11">
        <v>9244</v>
      </c>
      <c r="H1537" s="11">
        <v>17560</v>
      </c>
      <c r="I1537" s="11">
        <v>7567</v>
      </c>
    </row>
    <row r="1538" spans="1:9" x14ac:dyDescent="0.2">
      <c r="A1538" s="10">
        <v>6712</v>
      </c>
      <c r="B1538" s="10">
        <v>56</v>
      </c>
      <c r="C1538" s="10" t="s">
        <v>1890</v>
      </c>
      <c r="D1538" s="10">
        <v>5603</v>
      </c>
      <c r="E1538" s="10" t="s">
        <v>1893</v>
      </c>
      <c r="F1538" s="11">
        <v>27310</v>
      </c>
      <c r="G1538" s="11">
        <v>27690</v>
      </c>
      <c r="H1538" s="11">
        <v>55000</v>
      </c>
      <c r="I1538" s="11">
        <v>22331</v>
      </c>
    </row>
    <row r="1539" spans="1:9" x14ac:dyDescent="0.2">
      <c r="A1539" s="10">
        <v>6712</v>
      </c>
      <c r="B1539" s="10">
        <v>56</v>
      </c>
      <c r="C1539" s="10" t="s">
        <v>1890</v>
      </c>
      <c r="D1539" s="10">
        <v>5604</v>
      </c>
      <c r="E1539" s="10" t="s">
        <v>1894</v>
      </c>
      <c r="F1539" s="11">
        <v>4644</v>
      </c>
      <c r="G1539" s="11">
        <v>4753</v>
      </c>
      <c r="H1539" s="11">
        <v>9397</v>
      </c>
      <c r="I1539" s="11">
        <v>4060</v>
      </c>
    </row>
    <row r="1540" spans="1:9" x14ac:dyDescent="0.2">
      <c r="A1540" s="10">
        <v>6712</v>
      </c>
      <c r="B1540" s="10">
        <v>56</v>
      </c>
      <c r="C1540" s="10" t="s">
        <v>1890</v>
      </c>
      <c r="D1540" s="10">
        <v>5605</v>
      </c>
      <c r="E1540" s="10" t="s">
        <v>1895</v>
      </c>
      <c r="F1540" s="11">
        <v>18026</v>
      </c>
      <c r="G1540" s="11">
        <v>19064</v>
      </c>
      <c r="H1540" s="11">
        <v>37090</v>
      </c>
      <c r="I1540" s="11">
        <v>15365</v>
      </c>
    </row>
    <row r="1541" spans="1:9" x14ac:dyDescent="0.2">
      <c r="A1541" s="10">
        <v>6712</v>
      </c>
      <c r="B1541" s="10">
        <v>56</v>
      </c>
      <c r="C1541" s="10" t="s">
        <v>1890</v>
      </c>
      <c r="D1541" s="10">
        <v>5606</v>
      </c>
      <c r="E1541" s="10" t="s">
        <v>1896</v>
      </c>
      <c r="F1541" s="11">
        <v>19516</v>
      </c>
      <c r="G1541" s="11">
        <v>19440</v>
      </c>
      <c r="H1541" s="11">
        <v>38956</v>
      </c>
      <c r="I1541" s="11">
        <v>12990</v>
      </c>
    </row>
    <row r="1542" spans="1:9" x14ac:dyDescent="0.2">
      <c r="A1542" s="10">
        <v>6712</v>
      </c>
      <c r="B1542" s="10">
        <v>56</v>
      </c>
      <c r="C1542" s="10" t="s">
        <v>1890</v>
      </c>
      <c r="D1542" s="10">
        <v>5607</v>
      </c>
      <c r="E1542" s="10" t="s">
        <v>1897</v>
      </c>
      <c r="F1542" s="11">
        <v>9510</v>
      </c>
      <c r="G1542" s="11">
        <v>10179</v>
      </c>
      <c r="H1542" s="11">
        <v>19689</v>
      </c>
      <c r="I1542" s="11">
        <v>9722</v>
      </c>
    </row>
    <row r="1543" spans="1:9" x14ac:dyDescent="0.2">
      <c r="A1543" s="10">
        <v>6712</v>
      </c>
      <c r="B1543" s="10">
        <v>56</v>
      </c>
      <c r="C1543" s="10" t="s">
        <v>1890</v>
      </c>
      <c r="D1543" s="10">
        <v>5608</v>
      </c>
      <c r="E1543" s="10" t="s">
        <v>1898</v>
      </c>
      <c r="F1543" s="11">
        <v>11866</v>
      </c>
      <c r="G1543" s="11">
        <v>12197</v>
      </c>
      <c r="H1543" s="11">
        <v>24063</v>
      </c>
      <c r="I1543" s="11">
        <v>9964</v>
      </c>
    </row>
    <row r="1544" spans="1:9" x14ac:dyDescent="0.2">
      <c r="A1544" s="10">
        <v>6712</v>
      </c>
      <c r="B1544" s="10">
        <v>56</v>
      </c>
      <c r="C1544" s="10" t="s">
        <v>1890</v>
      </c>
      <c r="D1544" s="10">
        <v>5609</v>
      </c>
      <c r="E1544" s="10" t="s">
        <v>1899</v>
      </c>
      <c r="F1544" s="11">
        <v>5899</v>
      </c>
      <c r="G1544" s="11">
        <v>6454</v>
      </c>
      <c r="H1544" s="11">
        <v>12353</v>
      </c>
      <c r="I1544" s="11">
        <v>5229</v>
      </c>
    </row>
    <row r="1545" spans="1:9" x14ac:dyDescent="0.2">
      <c r="A1545" s="10">
        <v>6712</v>
      </c>
      <c r="B1545" s="10">
        <v>56</v>
      </c>
      <c r="C1545" s="10" t="s">
        <v>1890</v>
      </c>
      <c r="D1545" s="10">
        <v>5677</v>
      </c>
      <c r="E1545" s="10" t="s">
        <v>1900</v>
      </c>
      <c r="F1545" s="11">
        <v>5725</v>
      </c>
      <c r="G1545" s="11">
        <v>6798</v>
      </c>
      <c r="H1545" s="11">
        <v>12523</v>
      </c>
      <c r="I1545" s="11">
        <v>7678</v>
      </c>
    </row>
    <row r="1546" spans="1:9" x14ac:dyDescent="0.2">
      <c r="A1546" s="10">
        <v>6712</v>
      </c>
      <c r="B1546" s="10">
        <v>56</v>
      </c>
      <c r="C1546" s="10" t="s">
        <v>1890</v>
      </c>
      <c r="D1546" s="10">
        <v>5678</v>
      </c>
      <c r="E1546" s="10" t="s">
        <v>1901</v>
      </c>
      <c r="F1546" s="11">
        <v>4062</v>
      </c>
      <c r="G1546" s="11">
        <v>4446</v>
      </c>
      <c r="H1546" s="11">
        <v>8508</v>
      </c>
      <c r="I1546" s="11">
        <v>3426</v>
      </c>
    </row>
    <row r="1547" spans="1:9" x14ac:dyDescent="0.2">
      <c r="A1547" s="10">
        <v>6712</v>
      </c>
      <c r="B1547" s="10">
        <v>56</v>
      </c>
      <c r="C1547" s="10" t="s">
        <v>1890</v>
      </c>
      <c r="D1547" s="10">
        <v>5679</v>
      </c>
      <c r="E1547" s="10" t="s">
        <v>1902</v>
      </c>
      <c r="F1547" s="11">
        <v>4206</v>
      </c>
      <c r="G1547" s="11">
        <v>4464</v>
      </c>
      <c r="H1547" s="11">
        <v>8670</v>
      </c>
      <c r="I1547" s="11">
        <v>3844</v>
      </c>
    </row>
    <row r="1548" spans="1:9" x14ac:dyDescent="0.2">
      <c r="A1548" s="10">
        <v>6712</v>
      </c>
      <c r="B1548" s="10">
        <v>56</v>
      </c>
      <c r="C1548" s="10" t="s">
        <v>1890</v>
      </c>
      <c r="D1548" s="10">
        <v>5680</v>
      </c>
      <c r="E1548" s="10" t="s">
        <v>1903</v>
      </c>
      <c r="F1548" s="11">
        <v>2842</v>
      </c>
      <c r="G1548" s="11">
        <v>3077</v>
      </c>
      <c r="H1548" s="11">
        <v>5919</v>
      </c>
      <c r="I1548" s="11">
        <v>2742</v>
      </c>
    </row>
    <row r="1549" spans="1:9" x14ac:dyDescent="0.2">
      <c r="A1549" s="10">
        <v>6712</v>
      </c>
      <c r="B1549" s="10">
        <v>56</v>
      </c>
      <c r="C1549" s="10" t="s">
        <v>1890</v>
      </c>
      <c r="D1549" s="10">
        <v>5681</v>
      </c>
      <c r="E1549" s="10" t="s">
        <v>1904</v>
      </c>
      <c r="F1549" s="11">
        <v>3112</v>
      </c>
      <c r="G1549" s="11">
        <v>3372</v>
      </c>
      <c r="H1549" s="11">
        <v>6484</v>
      </c>
      <c r="I1549" s="11">
        <v>2883</v>
      </c>
    </row>
    <row r="1550" spans="1:9" x14ac:dyDescent="0.2">
      <c r="A1550" s="10">
        <v>6712</v>
      </c>
      <c r="B1550" s="10">
        <v>56</v>
      </c>
      <c r="C1550" s="10" t="s">
        <v>1890</v>
      </c>
      <c r="D1550" s="10">
        <v>5682</v>
      </c>
      <c r="E1550" s="10" t="s">
        <v>1905</v>
      </c>
      <c r="F1550" s="11">
        <v>4258</v>
      </c>
      <c r="G1550" s="11">
        <v>4547</v>
      </c>
      <c r="H1550" s="11">
        <v>8805</v>
      </c>
      <c r="I1550" s="11">
        <v>4109</v>
      </c>
    </row>
    <row r="1551" spans="1:9" x14ac:dyDescent="0.2">
      <c r="A1551" s="10">
        <v>6712</v>
      </c>
      <c r="B1551" s="10">
        <v>56</v>
      </c>
      <c r="C1551" s="10" t="s">
        <v>1890</v>
      </c>
      <c r="D1551" s="10">
        <v>5683</v>
      </c>
      <c r="E1551" s="10" t="s">
        <v>1906</v>
      </c>
      <c r="F1551" s="11">
        <v>3653</v>
      </c>
      <c r="G1551" s="11">
        <v>3875</v>
      </c>
      <c r="H1551" s="11">
        <v>7528</v>
      </c>
      <c r="I1551" s="11">
        <v>3059</v>
      </c>
    </row>
    <row r="1552" spans="1:9" x14ac:dyDescent="0.2">
      <c r="A1552" s="10">
        <v>6712</v>
      </c>
      <c r="B1552" s="10">
        <v>56</v>
      </c>
      <c r="C1552" s="10" t="s">
        <v>1890</v>
      </c>
      <c r="D1552" s="10">
        <v>5684</v>
      </c>
      <c r="E1552" s="10" t="s">
        <v>1907</v>
      </c>
      <c r="F1552" s="11">
        <v>6053</v>
      </c>
      <c r="G1552" s="11">
        <v>6589</v>
      </c>
      <c r="H1552" s="11">
        <v>12642</v>
      </c>
      <c r="I1552" s="11">
        <v>7344</v>
      </c>
    </row>
    <row r="1553" spans="1:9" x14ac:dyDescent="0.2">
      <c r="A1553" s="10">
        <v>6712</v>
      </c>
      <c r="B1553" s="10">
        <v>56</v>
      </c>
      <c r="C1553" s="10" t="s">
        <v>1890</v>
      </c>
      <c r="D1553" s="10">
        <v>5685</v>
      </c>
      <c r="E1553" s="10" t="s">
        <v>1908</v>
      </c>
      <c r="F1553" s="11">
        <v>4281</v>
      </c>
      <c r="G1553" s="11">
        <v>4500</v>
      </c>
      <c r="H1553" s="11">
        <v>8781</v>
      </c>
      <c r="I1553" s="11">
        <v>3552</v>
      </c>
    </row>
    <row r="1554" spans="1:9" x14ac:dyDescent="0.2">
      <c r="A1554" s="10">
        <v>6712</v>
      </c>
      <c r="B1554" s="10">
        <v>56</v>
      </c>
      <c r="C1554" s="10" t="s">
        <v>1890</v>
      </c>
      <c r="D1554" s="10">
        <v>5686</v>
      </c>
      <c r="E1554" s="10" t="s">
        <v>1909</v>
      </c>
      <c r="F1554" s="11">
        <v>3352</v>
      </c>
      <c r="G1554" s="11">
        <v>3590</v>
      </c>
      <c r="H1554" s="11">
        <v>6942</v>
      </c>
      <c r="I1554" s="11">
        <v>3373</v>
      </c>
    </row>
    <row r="1555" spans="1:9" x14ac:dyDescent="0.2">
      <c r="A1555" s="10">
        <v>6712</v>
      </c>
      <c r="B1555" s="10">
        <v>56</v>
      </c>
      <c r="C1555" s="10" t="s">
        <v>1890</v>
      </c>
      <c r="D1555" s="10">
        <v>5687</v>
      </c>
      <c r="E1555" s="10" t="s">
        <v>1910</v>
      </c>
      <c r="F1555" s="11">
        <v>7926</v>
      </c>
      <c r="G1555" s="11">
        <v>7772</v>
      </c>
      <c r="H1555" s="11">
        <v>15698</v>
      </c>
      <c r="I1555" s="11">
        <v>10113</v>
      </c>
    </row>
    <row r="1556" spans="1:9" x14ac:dyDescent="0.2">
      <c r="A1556" s="10">
        <v>6712</v>
      </c>
      <c r="B1556" s="10">
        <v>56</v>
      </c>
      <c r="C1556" s="10" t="s">
        <v>1890</v>
      </c>
      <c r="D1556" s="10">
        <v>5688</v>
      </c>
      <c r="E1556" s="10" t="s">
        <v>1911</v>
      </c>
      <c r="F1556" s="11">
        <v>3703</v>
      </c>
      <c r="G1556" s="11">
        <v>4262</v>
      </c>
      <c r="H1556" s="11">
        <v>7965</v>
      </c>
      <c r="I1556" s="11">
        <v>3711</v>
      </c>
    </row>
    <row r="1557" spans="1:9" x14ac:dyDescent="0.2">
      <c r="A1557" s="10">
        <v>6712</v>
      </c>
      <c r="B1557" s="10">
        <v>56</v>
      </c>
      <c r="C1557" s="10" t="s">
        <v>1890</v>
      </c>
      <c r="D1557" s="10">
        <v>5689</v>
      </c>
      <c r="E1557" s="10" t="s">
        <v>1912</v>
      </c>
      <c r="F1557" s="11">
        <v>3970</v>
      </c>
      <c r="G1557" s="11">
        <v>4310</v>
      </c>
      <c r="H1557" s="11">
        <v>8280</v>
      </c>
      <c r="I1557" s="11">
        <v>3669</v>
      </c>
    </row>
    <row r="1558" spans="1:9" x14ac:dyDescent="0.2">
      <c r="A1558" s="10">
        <v>6712</v>
      </c>
      <c r="B1558" s="10">
        <v>56</v>
      </c>
      <c r="C1558" s="10" t="s">
        <v>1890</v>
      </c>
      <c r="D1558" s="10">
        <v>5690</v>
      </c>
      <c r="E1558" s="10" t="s">
        <v>1913</v>
      </c>
      <c r="F1558" s="11">
        <v>2286</v>
      </c>
      <c r="G1558" s="11">
        <v>2488</v>
      </c>
      <c r="H1558" s="11">
        <v>4774</v>
      </c>
      <c r="I1558" s="11">
        <v>2242</v>
      </c>
    </row>
    <row r="1559" spans="1:9" x14ac:dyDescent="0.2">
      <c r="A1559" s="10">
        <v>6712</v>
      </c>
      <c r="B1559" s="10">
        <v>56</v>
      </c>
      <c r="C1559" s="10" t="s">
        <v>1890</v>
      </c>
      <c r="D1559" s="10">
        <v>5691</v>
      </c>
      <c r="E1559" s="10" t="s">
        <v>1914</v>
      </c>
      <c r="F1559" s="11">
        <v>2514</v>
      </c>
      <c r="G1559" s="11">
        <v>2794</v>
      </c>
      <c r="H1559" s="11">
        <v>5308</v>
      </c>
      <c r="I1559" s="11">
        <v>2883</v>
      </c>
    </row>
    <row r="1560" spans="1:9" x14ac:dyDescent="0.2">
      <c r="A1560" s="10">
        <v>6712</v>
      </c>
      <c r="B1560" s="10">
        <v>56</v>
      </c>
      <c r="C1560" s="10" t="s">
        <v>1890</v>
      </c>
      <c r="D1560" s="10">
        <v>5692</v>
      </c>
      <c r="E1560" s="10" t="s">
        <v>1915</v>
      </c>
      <c r="F1560" s="11">
        <v>3198</v>
      </c>
      <c r="G1560" s="11">
        <v>3244</v>
      </c>
      <c r="H1560" s="11">
        <v>6442</v>
      </c>
      <c r="I1560" s="11">
        <v>2543</v>
      </c>
    </row>
    <row r="1561" spans="1:9" x14ac:dyDescent="0.2">
      <c r="A1561" s="10">
        <v>6712</v>
      </c>
      <c r="B1561" s="10">
        <v>56</v>
      </c>
      <c r="C1561" s="10" t="s">
        <v>1890</v>
      </c>
      <c r="D1561" s="10">
        <v>5693</v>
      </c>
      <c r="E1561" s="10" t="s">
        <v>1916</v>
      </c>
      <c r="F1561" s="11">
        <v>5513</v>
      </c>
      <c r="G1561" s="11">
        <v>6479</v>
      </c>
      <c r="H1561" s="11">
        <v>11992</v>
      </c>
      <c r="I1561" s="11">
        <v>5484</v>
      </c>
    </row>
    <row r="1562" spans="1:9" x14ac:dyDescent="0.2">
      <c r="A1562" s="10">
        <v>6712</v>
      </c>
      <c r="B1562" s="10">
        <v>56</v>
      </c>
      <c r="C1562" s="10" t="s">
        <v>1890</v>
      </c>
      <c r="D1562" s="10">
        <v>5694</v>
      </c>
      <c r="E1562" s="10" t="s">
        <v>1917</v>
      </c>
      <c r="F1562" s="11">
        <v>3978</v>
      </c>
      <c r="G1562" s="11">
        <v>3985</v>
      </c>
      <c r="H1562" s="11">
        <v>7963</v>
      </c>
      <c r="I1562" s="11">
        <v>3442</v>
      </c>
    </row>
    <row r="1563" spans="1:9" x14ac:dyDescent="0.2">
      <c r="A1563" s="10">
        <v>6712</v>
      </c>
      <c r="B1563" s="10">
        <v>56</v>
      </c>
      <c r="C1563" s="10" t="s">
        <v>1890</v>
      </c>
      <c r="D1563" s="10">
        <v>5695</v>
      </c>
      <c r="E1563" s="10" t="s">
        <v>1918</v>
      </c>
      <c r="F1563" s="11">
        <v>4105</v>
      </c>
      <c r="G1563" s="11">
        <v>4287</v>
      </c>
      <c r="H1563" s="11">
        <v>8392</v>
      </c>
      <c r="I1563" s="11">
        <v>3970</v>
      </c>
    </row>
    <row r="1564" spans="1:9" x14ac:dyDescent="0.2">
      <c r="A1564" s="10">
        <v>6712</v>
      </c>
      <c r="B1564" s="10">
        <v>56</v>
      </c>
      <c r="C1564" s="10" t="s">
        <v>1890</v>
      </c>
      <c r="D1564" s="10">
        <v>5696</v>
      </c>
      <c r="E1564" s="10" t="s">
        <v>1919</v>
      </c>
      <c r="F1564" s="11">
        <v>2572</v>
      </c>
      <c r="G1564" s="11">
        <v>2727</v>
      </c>
      <c r="H1564" s="11">
        <v>5299</v>
      </c>
      <c r="I1564" s="11">
        <v>2344</v>
      </c>
    </row>
    <row r="1565" spans="1:9" x14ac:dyDescent="0.2">
      <c r="A1565" s="10">
        <v>6712</v>
      </c>
      <c r="B1565" s="10">
        <v>56</v>
      </c>
      <c r="C1565" s="10" t="s">
        <v>1890</v>
      </c>
      <c r="D1565" s="10">
        <v>5697</v>
      </c>
      <c r="E1565" s="10" t="s">
        <v>1920</v>
      </c>
      <c r="F1565" s="11">
        <v>2670</v>
      </c>
      <c r="G1565" s="11">
        <v>3295</v>
      </c>
      <c r="H1565" s="11">
        <v>5965</v>
      </c>
      <c r="I1565" s="11">
        <v>3778</v>
      </c>
    </row>
    <row r="1566" spans="1:9" x14ac:dyDescent="0.2">
      <c r="A1566" s="10">
        <v>6712</v>
      </c>
      <c r="B1566" s="10">
        <v>56</v>
      </c>
      <c r="C1566" s="10" t="s">
        <v>1890</v>
      </c>
      <c r="D1566" s="10">
        <v>5698</v>
      </c>
      <c r="E1566" s="10" t="s">
        <v>1921</v>
      </c>
      <c r="F1566" s="11">
        <v>3804</v>
      </c>
      <c r="G1566" s="11">
        <v>4189</v>
      </c>
      <c r="H1566" s="11">
        <v>7993</v>
      </c>
      <c r="I1566" s="11">
        <v>4473</v>
      </c>
    </row>
    <row r="1567" spans="1:9" x14ac:dyDescent="0.2">
      <c r="A1567" s="10">
        <v>6712</v>
      </c>
      <c r="B1567" s="10">
        <v>56</v>
      </c>
      <c r="C1567" s="10" t="s">
        <v>1890</v>
      </c>
      <c r="D1567" s="10">
        <v>5699</v>
      </c>
      <c r="E1567" s="10" t="s">
        <v>1922</v>
      </c>
      <c r="F1567" s="11">
        <v>7067</v>
      </c>
      <c r="G1567" s="11">
        <v>8352</v>
      </c>
      <c r="H1567" s="11">
        <v>15419</v>
      </c>
      <c r="I1567" s="11">
        <v>8412</v>
      </c>
    </row>
    <row r="1568" spans="1:9" x14ac:dyDescent="0.2">
      <c r="A1568" s="10">
        <v>6712</v>
      </c>
      <c r="B1568" s="10">
        <v>57</v>
      </c>
      <c r="C1568" s="10" t="s">
        <v>1923</v>
      </c>
      <c r="D1568" s="10">
        <v>5701</v>
      </c>
      <c r="E1568" s="10" t="s">
        <v>1924</v>
      </c>
      <c r="F1568" s="11">
        <v>52453</v>
      </c>
      <c r="G1568" s="11">
        <v>57164</v>
      </c>
      <c r="H1568" s="11">
        <v>109617</v>
      </c>
      <c r="I1568" s="11">
        <v>56840</v>
      </c>
    </row>
    <row r="1569" spans="1:9" x14ac:dyDescent="0.2">
      <c r="A1569" s="10">
        <v>6712</v>
      </c>
      <c r="B1569" s="10">
        <v>57</v>
      </c>
      <c r="C1569" s="10" t="s">
        <v>1923</v>
      </c>
      <c r="D1569" s="10">
        <v>5702</v>
      </c>
      <c r="E1569" s="10" t="s">
        <v>1925</v>
      </c>
      <c r="F1569" s="11">
        <v>18740</v>
      </c>
      <c r="G1569" s="11">
        <v>19961</v>
      </c>
      <c r="H1569" s="11">
        <v>38701</v>
      </c>
      <c r="I1569" s="11">
        <v>16544</v>
      </c>
    </row>
    <row r="1570" spans="1:9" x14ac:dyDescent="0.2">
      <c r="A1570" s="10">
        <v>6712</v>
      </c>
      <c r="B1570" s="10">
        <v>57</v>
      </c>
      <c r="C1570" s="10" t="s">
        <v>1923</v>
      </c>
      <c r="D1570" s="10">
        <v>5703</v>
      </c>
      <c r="E1570" s="10" t="s">
        <v>1926</v>
      </c>
      <c r="F1570" s="11">
        <v>12246</v>
      </c>
      <c r="G1570" s="11">
        <v>12689</v>
      </c>
      <c r="H1570" s="11">
        <v>24935</v>
      </c>
      <c r="I1570" s="11">
        <v>11028</v>
      </c>
    </row>
    <row r="1571" spans="1:9" x14ac:dyDescent="0.2">
      <c r="A1571" s="10">
        <v>6712</v>
      </c>
      <c r="B1571" s="10">
        <v>57</v>
      </c>
      <c r="C1571" s="10" t="s">
        <v>1923</v>
      </c>
      <c r="D1571" s="10">
        <v>5704</v>
      </c>
      <c r="E1571" s="10" t="s">
        <v>1927</v>
      </c>
      <c r="F1571" s="11">
        <v>36422</v>
      </c>
      <c r="G1571" s="11">
        <v>37372</v>
      </c>
      <c r="H1571" s="11">
        <v>73794</v>
      </c>
      <c r="I1571" s="11">
        <v>30067</v>
      </c>
    </row>
    <row r="1572" spans="1:9" x14ac:dyDescent="0.2">
      <c r="A1572" s="10">
        <v>6712</v>
      </c>
      <c r="B1572" s="10">
        <v>57</v>
      </c>
      <c r="C1572" s="10" t="s">
        <v>1923</v>
      </c>
      <c r="D1572" s="10">
        <v>5705</v>
      </c>
      <c r="E1572" s="10" t="s">
        <v>1928</v>
      </c>
      <c r="F1572" s="11">
        <v>52555</v>
      </c>
      <c r="G1572" s="11">
        <v>56088</v>
      </c>
      <c r="H1572" s="11">
        <v>108643</v>
      </c>
      <c r="I1572" s="11">
        <v>49947</v>
      </c>
    </row>
    <row r="1573" spans="1:9" x14ac:dyDescent="0.2">
      <c r="A1573" s="10">
        <v>6712</v>
      </c>
      <c r="B1573" s="10">
        <v>57</v>
      </c>
      <c r="C1573" s="10" t="s">
        <v>1923</v>
      </c>
      <c r="D1573" s="10">
        <v>5706</v>
      </c>
      <c r="E1573" s="10" t="s">
        <v>1929</v>
      </c>
      <c r="F1573" s="11">
        <v>5714</v>
      </c>
      <c r="G1573" s="11">
        <v>5872</v>
      </c>
      <c r="H1573" s="11">
        <v>11586</v>
      </c>
      <c r="I1573" s="11">
        <v>4239</v>
      </c>
    </row>
    <row r="1574" spans="1:9" x14ac:dyDescent="0.2">
      <c r="A1574" s="10">
        <v>6712</v>
      </c>
      <c r="B1574" s="10">
        <v>57</v>
      </c>
      <c r="C1574" s="10" t="s">
        <v>1923</v>
      </c>
      <c r="D1574" s="10">
        <v>5707</v>
      </c>
      <c r="E1574" s="10" t="s">
        <v>1930</v>
      </c>
      <c r="F1574" s="11">
        <v>33649</v>
      </c>
      <c r="G1574" s="11">
        <v>36232</v>
      </c>
      <c r="H1574" s="11">
        <v>69881</v>
      </c>
      <c r="I1574" s="11">
        <v>29779</v>
      </c>
    </row>
    <row r="1575" spans="1:9" x14ac:dyDescent="0.2">
      <c r="A1575" s="10">
        <v>6712</v>
      </c>
      <c r="B1575" s="10">
        <v>57</v>
      </c>
      <c r="C1575" s="10" t="s">
        <v>1923</v>
      </c>
      <c r="D1575" s="10">
        <v>5708</v>
      </c>
      <c r="E1575" s="10" t="s">
        <v>1931</v>
      </c>
      <c r="F1575" s="11">
        <v>24047</v>
      </c>
      <c r="G1575" s="11">
        <v>25293</v>
      </c>
      <c r="H1575" s="11">
        <v>49340</v>
      </c>
      <c r="I1575" s="11">
        <v>19727</v>
      </c>
    </row>
    <row r="1576" spans="1:9" x14ac:dyDescent="0.2">
      <c r="A1576" s="10">
        <v>6712</v>
      </c>
      <c r="B1576" s="10">
        <v>57</v>
      </c>
      <c r="C1576" s="10" t="s">
        <v>1923</v>
      </c>
      <c r="D1576" s="10">
        <v>5709</v>
      </c>
      <c r="E1576" s="10" t="s">
        <v>1932</v>
      </c>
      <c r="F1576" s="11">
        <v>36163</v>
      </c>
      <c r="G1576" s="11">
        <v>40677</v>
      </c>
      <c r="H1576" s="11">
        <v>76840</v>
      </c>
      <c r="I1576" s="11">
        <v>31758</v>
      </c>
    </row>
    <row r="1577" spans="1:9" x14ac:dyDescent="0.2">
      <c r="A1577" s="10">
        <v>6712</v>
      </c>
      <c r="B1577" s="10">
        <v>57</v>
      </c>
      <c r="C1577" s="10" t="s">
        <v>1923</v>
      </c>
      <c r="D1577" s="10">
        <v>5710</v>
      </c>
      <c r="E1577" s="10" t="s">
        <v>1933</v>
      </c>
      <c r="F1577" s="11">
        <v>39608</v>
      </c>
      <c r="G1577" s="11">
        <v>39315</v>
      </c>
      <c r="H1577" s="11">
        <v>78923</v>
      </c>
      <c r="I1577" s="11">
        <v>30764</v>
      </c>
    </row>
    <row r="1578" spans="1:9" x14ac:dyDescent="0.2">
      <c r="A1578" s="10">
        <v>6712</v>
      </c>
      <c r="B1578" s="10">
        <v>57</v>
      </c>
      <c r="C1578" s="10" t="s">
        <v>1923</v>
      </c>
      <c r="D1578" s="10">
        <v>5711</v>
      </c>
      <c r="E1578" s="10" t="s">
        <v>1934</v>
      </c>
      <c r="F1578" s="11">
        <v>29852</v>
      </c>
      <c r="G1578" s="11">
        <v>30607</v>
      </c>
      <c r="H1578" s="11">
        <v>60459</v>
      </c>
      <c r="I1578" s="11">
        <v>25740</v>
      </c>
    </row>
    <row r="1579" spans="1:9" x14ac:dyDescent="0.2">
      <c r="A1579" s="10">
        <v>6712</v>
      </c>
      <c r="B1579" s="10">
        <v>57</v>
      </c>
      <c r="C1579" s="10" t="s">
        <v>1923</v>
      </c>
      <c r="D1579" s="10">
        <v>5712</v>
      </c>
      <c r="E1579" s="10" t="s">
        <v>1935</v>
      </c>
      <c r="F1579" s="11">
        <v>13476</v>
      </c>
      <c r="G1579" s="11">
        <v>13772</v>
      </c>
      <c r="H1579" s="11">
        <v>27248</v>
      </c>
      <c r="I1579" s="11">
        <v>10280</v>
      </c>
    </row>
    <row r="1580" spans="1:9" x14ac:dyDescent="0.2">
      <c r="A1580" s="10">
        <v>6712</v>
      </c>
      <c r="B1580" s="10">
        <v>57</v>
      </c>
      <c r="C1580" s="10" t="s">
        <v>1923</v>
      </c>
      <c r="D1580" s="10">
        <v>5713</v>
      </c>
      <c r="E1580" s="10" t="s">
        <v>1936</v>
      </c>
      <c r="F1580" s="11">
        <v>19264</v>
      </c>
      <c r="G1580" s="11">
        <v>18975</v>
      </c>
      <c r="H1580" s="11">
        <v>38239</v>
      </c>
      <c r="I1580" s="11">
        <v>14422</v>
      </c>
    </row>
    <row r="1581" spans="1:9" x14ac:dyDescent="0.2">
      <c r="A1581" s="10">
        <v>6712</v>
      </c>
      <c r="B1581" s="10">
        <v>57</v>
      </c>
      <c r="C1581" s="10" t="s">
        <v>1923</v>
      </c>
      <c r="D1581" s="10">
        <v>5714</v>
      </c>
      <c r="E1581" s="10" t="s">
        <v>1937</v>
      </c>
      <c r="F1581" s="11">
        <v>6781</v>
      </c>
      <c r="G1581" s="11">
        <v>7100</v>
      </c>
      <c r="H1581" s="11">
        <v>13881</v>
      </c>
      <c r="I1581" s="11">
        <v>5798</v>
      </c>
    </row>
    <row r="1582" spans="1:9" x14ac:dyDescent="0.2">
      <c r="A1582" s="10">
        <v>6712</v>
      </c>
      <c r="B1582" s="10">
        <v>57</v>
      </c>
      <c r="C1582" s="10" t="s">
        <v>1923</v>
      </c>
      <c r="D1582" s="10">
        <v>5715</v>
      </c>
      <c r="E1582" s="10" t="s">
        <v>1938</v>
      </c>
      <c r="F1582" s="11">
        <v>38716</v>
      </c>
      <c r="G1582" s="11">
        <v>39069</v>
      </c>
      <c r="H1582" s="11">
        <v>77785</v>
      </c>
      <c r="I1582" s="11">
        <v>26656</v>
      </c>
    </row>
    <row r="1583" spans="1:9" x14ac:dyDescent="0.2">
      <c r="A1583" s="10">
        <v>6712</v>
      </c>
      <c r="B1583" s="10">
        <v>57</v>
      </c>
      <c r="C1583" s="10" t="s">
        <v>1923</v>
      </c>
      <c r="D1583" s="10">
        <v>5716</v>
      </c>
      <c r="E1583" s="10" t="s">
        <v>1939</v>
      </c>
      <c r="F1583" s="11">
        <v>11707</v>
      </c>
      <c r="G1583" s="11">
        <v>12625</v>
      </c>
      <c r="H1583" s="11">
        <v>24332</v>
      </c>
      <c r="I1583" s="11">
        <v>11620</v>
      </c>
    </row>
    <row r="1584" spans="1:9" x14ac:dyDescent="0.2">
      <c r="A1584" s="10">
        <v>6712</v>
      </c>
      <c r="B1584" s="10">
        <v>57</v>
      </c>
      <c r="C1584" s="10" t="s">
        <v>1923</v>
      </c>
      <c r="D1584" s="10">
        <v>5717</v>
      </c>
      <c r="E1584" s="10" t="s">
        <v>1940</v>
      </c>
      <c r="F1584" s="11">
        <v>11623</v>
      </c>
      <c r="G1584" s="11">
        <v>12023</v>
      </c>
      <c r="H1584" s="11">
        <v>23646</v>
      </c>
      <c r="I1584" s="11">
        <v>9772</v>
      </c>
    </row>
    <row r="1585" spans="1:9" x14ac:dyDescent="0.2">
      <c r="A1585" s="10">
        <v>6712</v>
      </c>
      <c r="B1585" s="10">
        <v>57</v>
      </c>
      <c r="C1585" s="10" t="s">
        <v>1923</v>
      </c>
      <c r="D1585" s="10">
        <v>5718</v>
      </c>
      <c r="E1585" s="10" t="s">
        <v>1941</v>
      </c>
      <c r="F1585" s="11">
        <v>9236</v>
      </c>
      <c r="G1585" s="11">
        <v>9253</v>
      </c>
      <c r="H1585" s="11">
        <v>18489</v>
      </c>
      <c r="I1585" s="11">
        <v>9029</v>
      </c>
    </row>
    <row r="1586" spans="1:9" x14ac:dyDescent="0.2">
      <c r="A1586" s="10">
        <v>6712</v>
      </c>
      <c r="B1586" s="10">
        <v>57</v>
      </c>
      <c r="C1586" s="10" t="s">
        <v>1923</v>
      </c>
      <c r="D1586" s="10">
        <v>5764</v>
      </c>
      <c r="E1586" s="10" t="s">
        <v>1942</v>
      </c>
      <c r="F1586" s="11">
        <v>10906</v>
      </c>
      <c r="G1586" s="11">
        <v>11186</v>
      </c>
      <c r="H1586" s="11">
        <v>22092</v>
      </c>
      <c r="I1586" s="11">
        <v>9727</v>
      </c>
    </row>
    <row r="1587" spans="1:9" x14ac:dyDescent="0.2">
      <c r="A1587" s="10">
        <v>6712</v>
      </c>
      <c r="B1587" s="10">
        <v>57</v>
      </c>
      <c r="C1587" s="10" t="s">
        <v>1923</v>
      </c>
      <c r="D1587" s="10">
        <v>5765</v>
      </c>
      <c r="E1587" s="10" t="s">
        <v>1943</v>
      </c>
      <c r="F1587" s="11">
        <v>6002</v>
      </c>
      <c r="G1587" s="11">
        <v>6063</v>
      </c>
      <c r="H1587" s="11">
        <v>12065</v>
      </c>
      <c r="I1587" s="11">
        <v>5411</v>
      </c>
    </row>
    <row r="1588" spans="1:9" x14ac:dyDescent="0.2">
      <c r="A1588" s="10">
        <v>6712</v>
      </c>
      <c r="B1588" s="10">
        <v>57</v>
      </c>
      <c r="C1588" s="10" t="s">
        <v>1923</v>
      </c>
      <c r="D1588" s="10">
        <v>5766</v>
      </c>
      <c r="E1588" s="10" t="s">
        <v>1944</v>
      </c>
      <c r="F1588" s="11">
        <v>5150</v>
      </c>
      <c r="G1588" s="11">
        <v>5184</v>
      </c>
      <c r="H1588" s="11">
        <v>10334</v>
      </c>
      <c r="I1588" s="11">
        <v>3954</v>
      </c>
    </row>
    <row r="1589" spans="1:9" x14ac:dyDescent="0.2">
      <c r="A1589" s="10">
        <v>6712</v>
      </c>
      <c r="B1589" s="10">
        <v>57</v>
      </c>
      <c r="C1589" s="10" t="s">
        <v>1923</v>
      </c>
      <c r="D1589" s="10">
        <v>5767</v>
      </c>
      <c r="E1589" s="10" t="s">
        <v>1945</v>
      </c>
      <c r="F1589" s="11">
        <v>3049</v>
      </c>
      <c r="G1589" s="11">
        <v>3090</v>
      </c>
      <c r="H1589" s="11">
        <v>6139</v>
      </c>
      <c r="I1589" s="11">
        <v>2774</v>
      </c>
    </row>
    <row r="1590" spans="1:9" x14ac:dyDescent="0.2">
      <c r="A1590" s="10">
        <v>6712</v>
      </c>
      <c r="B1590" s="10">
        <v>57</v>
      </c>
      <c r="C1590" s="10" t="s">
        <v>1923</v>
      </c>
      <c r="D1590" s="10">
        <v>5768</v>
      </c>
      <c r="E1590" s="10" t="s">
        <v>1946</v>
      </c>
      <c r="F1590" s="11">
        <v>5475</v>
      </c>
      <c r="G1590" s="11">
        <v>6115</v>
      </c>
      <c r="H1590" s="11">
        <v>11590</v>
      </c>
      <c r="I1590" s="11">
        <v>5935</v>
      </c>
    </row>
    <row r="1591" spans="1:9" x14ac:dyDescent="0.2">
      <c r="A1591" s="10">
        <v>6712</v>
      </c>
      <c r="B1591" s="10">
        <v>57</v>
      </c>
      <c r="C1591" s="10" t="s">
        <v>1923</v>
      </c>
      <c r="D1591" s="10">
        <v>5769</v>
      </c>
      <c r="E1591" s="10" t="s">
        <v>1947</v>
      </c>
      <c r="F1591" s="11">
        <v>5176</v>
      </c>
      <c r="G1591" s="11">
        <v>5458</v>
      </c>
      <c r="H1591" s="11">
        <v>10634</v>
      </c>
      <c r="I1591" s="11">
        <v>4138</v>
      </c>
    </row>
    <row r="1592" spans="1:9" x14ac:dyDescent="0.2">
      <c r="A1592" s="10">
        <v>6712</v>
      </c>
      <c r="B1592" s="10">
        <v>57</v>
      </c>
      <c r="C1592" s="10" t="s">
        <v>1923</v>
      </c>
      <c r="D1592" s="10">
        <v>5770</v>
      </c>
      <c r="E1592" s="10" t="s">
        <v>1919</v>
      </c>
      <c r="F1592" s="11">
        <v>4870</v>
      </c>
      <c r="G1592" s="11">
        <v>5016</v>
      </c>
      <c r="H1592" s="11">
        <v>9886</v>
      </c>
      <c r="I1592" s="11">
        <v>4565</v>
      </c>
    </row>
    <row r="1593" spans="1:9" x14ac:dyDescent="0.2">
      <c r="A1593" s="10">
        <v>6712</v>
      </c>
      <c r="B1593" s="10">
        <v>57</v>
      </c>
      <c r="C1593" s="10" t="s">
        <v>1923</v>
      </c>
      <c r="D1593" s="10">
        <v>5771</v>
      </c>
      <c r="E1593" s="10" t="s">
        <v>1948</v>
      </c>
      <c r="F1593" s="11">
        <v>6077</v>
      </c>
      <c r="G1593" s="11">
        <v>6715</v>
      </c>
      <c r="H1593" s="11">
        <v>12792</v>
      </c>
      <c r="I1593" s="11">
        <v>6968</v>
      </c>
    </row>
    <row r="1594" spans="1:9" x14ac:dyDescent="0.2">
      <c r="A1594" s="10">
        <v>6712</v>
      </c>
      <c r="B1594" s="10">
        <v>57</v>
      </c>
      <c r="C1594" s="10" t="s">
        <v>1923</v>
      </c>
      <c r="D1594" s="10">
        <v>5772</v>
      </c>
      <c r="E1594" s="10" t="s">
        <v>1761</v>
      </c>
      <c r="F1594" s="11">
        <v>5410</v>
      </c>
      <c r="G1594" s="11">
        <v>6124</v>
      </c>
      <c r="H1594" s="11">
        <v>11534</v>
      </c>
      <c r="I1594" s="11">
        <v>5909</v>
      </c>
    </row>
    <row r="1595" spans="1:9" x14ac:dyDescent="0.2">
      <c r="A1595" s="10">
        <v>6712</v>
      </c>
      <c r="B1595" s="10">
        <v>57</v>
      </c>
      <c r="C1595" s="10" t="s">
        <v>1923</v>
      </c>
      <c r="D1595" s="10">
        <v>5773</v>
      </c>
      <c r="E1595" s="10" t="s">
        <v>1949</v>
      </c>
      <c r="F1595" s="11">
        <v>10792</v>
      </c>
      <c r="G1595" s="11">
        <v>12390</v>
      </c>
      <c r="H1595" s="11">
        <v>23182</v>
      </c>
      <c r="I1595" s="11">
        <v>10620</v>
      </c>
    </row>
    <row r="1596" spans="1:9" x14ac:dyDescent="0.2">
      <c r="A1596" s="10">
        <v>6712</v>
      </c>
      <c r="B1596" s="10">
        <v>57</v>
      </c>
      <c r="C1596" s="10" t="s">
        <v>1923</v>
      </c>
      <c r="D1596" s="10">
        <v>5774</v>
      </c>
      <c r="E1596" s="10" t="s">
        <v>1950</v>
      </c>
      <c r="F1596" s="11">
        <v>10403</v>
      </c>
      <c r="G1596" s="11">
        <v>12091</v>
      </c>
      <c r="H1596" s="11">
        <v>22494</v>
      </c>
      <c r="I1596" s="11">
        <v>15768</v>
      </c>
    </row>
    <row r="1597" spans="1:9" x14ac:dyDescent="0.2">
      <c r="A1597" s="10">
        <v>6712</v>
      </c>
      <c r="B1597" s="10">
        <v>57</v>
      </c>
      <c r="C1597" s="10" t="s">
        <v>1923</v>
      </c>
      <c r="D1597" s="10">
        <v>5775</v>
      </c>
      <c r="E1597" s="10" t="s">
        <v>1906</v>
      </c>
      <c r="F1597" s="11">
        <v>1914</v>
      </c>
      <c r="G1597" s="11">
        <v>1955</v>
      </c>
      <c r="H1597" s="11">
        <v>3869</v>
      </c>
      <c r="I1597" s="11">
        <v>1835</v>
      </c>
    </row>
    <row r="1598" spans="1:9" x14ac:dyDescent="0.2">
      <c r="A1598" s="10">
        <v>6712</v>
      </c>
      <c r="B1598" s="10">
        <v>57</v>
      </c>
      <c r="C1598" s="10" t="s">
        <v>1923</v>
      </c>
      <c r="D1598" s="10">
        <v>5776</v>
      </c>
      <c r="E1598" s="10" t="s">
        <v>1951</v>
      </c>
      <c r="F1598" s="10">
        <v>828</v>
      </c>
      <c r="G1598" s="10">
        <v>917</v>
      </c>
      <c r="H1598" s="11">
        <v>1745</v>
      </c>
      <c r="I1598" s="10">
        <v>838</v>
      </c>
    </row>
    <row r="1599" spans="1:9" x14ac:dyDescent="0.2">
      <c r="A1599" s="10">
        <v>6712</v>
      </c>
      <c r="B1599" s="10">
        <v>57</v>
      </c>
      <c r="C1599" s="10" t="s">
        <v>1923</v>
      </c>
      <c r="D1599" s="10">
        <v>5777</v>
      </c>
      <c r="E1599" s="10" t="s">
        <v>1952</v>
      </c>
      <c r="F1599" s="11">
        <v>1960</v>
      </c>
      <c r="G1599" s="11">
        <v>2199</v>
      </c>
      <c r="H1599" s="11">
        <v>4159</v>
      </c>
      <c r="I1599" s="11">
        <v>2089</v>
      </c>
    </row>
    <row r="1600" spans="1:9" x14ac:dyDescent="0.2">
      <c r="A1600" s="10">
        <v>6712</v>
      </c>
      <c r="B1600" s="10">
        <v>57</v>
      </c>
      <c r="C1600" s="10" t="s">
        <v>1923</v>
      </c>
      <c r="D1600" s="10">
        <v>5778</v>
      </c>
      <c r="E1600" s="10" t="s">
        <v>1953</v>
      </c>
      <c r="F1600" s="11">
        <v>2791</v>
      </c>
      <c r="G1600" s="11">
        <v>3038</v>
      </c>
      <c r="H1600" s="11">
        <v>5829</v>
      </c>
      <c r="I1600" s="11">
        <v>2321</v>
      </c>
    </row>
    <row r="1601" spans="1:9" x14ac:dyDescent="0.2">
      <c r="A1601" s="10">
        <v>6712</v>
      </c>
      <c r="B1601" s="10">
        <v>57</v>
      </c>
      <c r="C1601" s="10" t="s">
        <v>1923</v>
      </c>
      <c r="D1601" s="10">
        <v>5779</v>
      </c>
      <c r="E1601" s="10" t="s">
        <v>1954</v>
      </c>
      <c r="F1601" s="11">
        <v>1939</v>
      </c>
      <c r="G1601" s="11">
        <v>2100</v>
      </c>
      <c r="H1601" s="11">
        <v>4039</v>
      </c>
      <c r="I1601" s="11">
        <v>2328</v>
      </c>
    </row>
    <row r="1602" spans="1:9" x14ac:dyDescent="0.2">
      <c r="A1602" s="10">
        <v>6712</v>
      </c>
      <c r="B1602" s="10">
        <v>57</v>
      </c>
      <c r="C1602" s="10" t="s">
        <v>1923</v>
      </c>
      <c r="D1602" s="10">
        <v>5780</v>
      </c>
      <c r="E1602" s="10" t="s">
        <v>1955</v>
      </c>
      <c r="F1602" s="11">
        <v>1875</v>
      </c>
      <c r="G1602" s="11">
        <v>2237</v>
      </c>
      <c r="H1602" s="11">
        <v>4112</v>
      </c>
      <c r="I1602" s="11">
        <v>2431</v>
      </c>
    </row>
    <row r="1603" spans="1:9" x14ac:dyDescent="0.2">
      <c r="A1603" s="10">
        <v>6712</v>
      </c>
      <c r="B1603" s="10">
        <v>57</v>
      </c>
      <c r="C1603" s="10" t="s">
        <v>1923</v>
      </c>
      <c r="D1603" s="10">
        <v>5781</v>
      </c>
      <c r="E1603" s="10" t="s">
        <v>1956</v>
      </c>
      <c r="F1603" s="11">
        <v>1301</v>
      </c>
      <c r="G1603" s="11">
        <v>1487</v>
      </c>
      <c r="H1603" s="11">
        <v>2788</v>
      </c>
      <c r="I1603" s="11">
        <v>1656</v>
      </c>
    </row>
    <row r="1604" spans="1:9" x14ac:dyDescent="0.2">
      <c r="A1604" s="10">
        <v>6712</v>
      </c>
      <c r="B1604" s="10">
        <v>57</v>
      </c>
      <c r="C1604" s="10" t="s">
        <v>1923</v>
      </c>
      <c r="D1604" s="10">
        <v>5782</v>
      </c>
      <c r="E1604" s="10" t="s">
        <v>1957</v>
      </c>
      <c r="F1604" s="11">
        <v>2252</v>
      </c>
      <c r="G1604" s="11">
        <v>2344</v>
      </c>
      <c r="H1604" s="11">
        <v>4596</v>
      </c>
      <c r="I1604" s="11">
        <v>2209</v>
      </c>
    </row>
    <row r="1605" spans="1:9" x14ac:dyDescent="0.2">
      <c r="A1605" s="10">
        <v>6712</v>
      </c>
      <c r="B1605" s="10">
        <v>57</v>
      </c>
      <c r="C1605" s="10" t="s">
        <v>1923</v>
      </c>
      <c r="D1605" s="10">
        <v>5783</v>
      </c>
      <c r="E1605" s="10" t="s">
        <v>1958</v>
      </c>
      <c r="F1605" s="10">
        <v>695</v>
      </c>
      <c r="G1605" s="10">
        <v>743</v>
      </c>
      <c r="H1605" s="11">
        <v>1438</v>
      </c>
      <c r="I1605" s="11">
        <v>1162</v>
      </c>
    </row>
    <row r="1606" spans="1:9" x14ac:dyDescent="0.2">
      <c r="A1606" s="10">
        <v>6712</v>
      </c>
      <c r="B1606" s="10">
        <v>57</v>
      </c>
      <c r="C1606" s="10" t="s">
        <v>1923</v>
      </c>
      <c r="D1606" s="10">
        <v>5784</v>
      </c>
      <c r="E1606" s="10" t="s">
        <v>1959</v>
      </c>
      <c r="F1606" s="11">
        <v>2256</v>
      </c>
      <c r="G1606" s="11">
        <v>2631</v>
      </c>
      <c r="H1606" s="11">
        <v>4887</v>
      </c>
      <c r="I1606" s="11">
        <v>2584</v>
      </c>
    </row>
    <row r="1607" spans="1:9" x14ac:dyDescent="0.2">
      <c r="A1607" s="10">
        <v>6712</v>
      </c>
      <c r="B1607" s="10">
        <v>57</v>
      </c>
      <c r="C1607" s="10" t="s">
        <v>1923</v>
      </c>
      <c r="D1607" s="10">
        <v>5785</v>
      </c>
      <c r="E1607" s="10" t="s">
        <v>1960</v>
      </c>
      <c r="F1607" s="11">
        <v>12943</v>
      </c>
      <c r="G1607" s="11">
        <v>14824</v>
      </c>
      <c r="H1607" s="11">
        <v>27767</v>
      </c>
      <c r="I1607" s="11">
        <v>13969</v>
      </c>
    </row>
    <row r="1608" spans="1:9" x14ac:dyDescent="0.2">
      <c r="A1608" s="10">
        <v>6712</v>
      </c>
      <c r="B1608" s="10">
        <v>57</v>
      </c>
      <c r="C1608" s="10" t="s">
        <v>1923</v>
      </c>
      <c r="D1608" s="10">
        <v>5786</v>
      </c>
      <c r="E1608" s="10" t="s">
        <v>1961</v>
      </c>
      <c r="F1608" s="11">
        <v>2885</v>
      </c>
      <c r="G1608" s="11">
        <v>3225</v>
      </c>
      <c r="H1608" s="11">
        <v>6110</v>
      </c>
      <c r="I1608" s="11">
        <v>3420</v>
      </c>
    </row>
    <row r="1609" spans="1:9" x14ac:dyDescent="0.2">
      <c r="A1609" s="10">
        <v>6712</v>
      </c>
      <c r="B1609" s="10">
        <v>57</v>
      </c>
      <c r="C1609" s="10" t="s">
        <v>1923</v>
      </c>
      <c r="D1609" s="10">
        <v>5787</v>
      </c>
      <c r="E1609" s="10" t="s">
        <v>1962</v>
      </c>
      <c r="F1609" s="11">
        <v>1263</v>
      </c>
      <c r="G1609" s="11">
        <v>1425</v>
      </c>
      <c r="H1609" s="11">
        <v>2688</v>
      </c>
      <c r="I1609" s="11">
        <v>1312</v>
      </c>
    </row>
    <row r="1610" spans="1:9" x14ac:dyDescent="0.2">
      <c r="A1610" s="10">
        <v>6712</v>
      </c>
      <c r="B1610" s="10">
        <v>57</v>
      </c>
      <c r="C1610" s="10" t="s">
        <v>1923</v>
      </c>
      <c r="D1610" s="10">
        <v>5788</v>
      </c>
      <c r="E1610" s="10" t="s">
        <v>1963</v>
      </c>
      <c r="F1610" s="11">
        <v>1627</v>
      </c>
      <c r="G1610" s="11">
        <v>1867</v>
      </c>
      <c r="H1610" s="11">
        <v>3494</v>
      </c>
      <c r="I1610" s="11">
        <v>2475</v>
      </c>
    </row>
    <row r="1611" spans="1:9" x14ac:dyDescent="0.2">
      <c r="A1611" s="10">
        <v>6712</v>
      </c>
      <c r="B1611" s="10">
        <v>57</v>
      </c>
      <c r="C1611" s="10" t="s">
        <v>1923</v>
      </c>
      <c r="D1611" s="10">
        <v>5789</v>
      </c>
      <c r="E1611" s="10" t="s">
        <v>1964</v>
      </c>
      <c r="F1611" s="11">
        <v>2034</v>
      </c>
      <c r="G1611" s="11">
        <v>2296</v>
      </c>
      <c r="H1611" s="11">
        <v>4330</v>
      </c>
      <c r="I1611" s="11">
        <v>2218</v>
      </c>
    </row>
    <row r="1612" spans="1:9" x14ac:dyDescent="0.2">
      <c r="A1612" s="10">
        <v>6712</v>
      </c>
      <c r="B1612" s="10">
        <v>57</v>
      </c>
      <c r="C1612" s="10" t="s">
        <v>1923</v>
      </c>
      <c r="D1612" s="10">
        <v>5790</v>
      </c>
      <c r="E1612" s="10" t="s">
        <v>1965</v>
      </c>
      <c r="F1612" s="11">
        <v>6550</v>
      </c>
      <c r="G1612" s="11">
        <v>7299</v>
      </c>
      <c r="H1612" s="11">
        <v>13849</v>
      </c>
      <c r="I1612" s="11">
        <v>6399</v>
      </c>
    </row>
    <row r="1613" spans="1:9" x14ac:dyDescent="0.2">
      <c r="A1613" s="10">
        <v>6712</v>
      </c>
      <c r="B1613" s="10">
        <v>57</v>
      </c>
      <c r="C1613" s="10" t="s">
        <v>1923</v>
      </c>
      <c r="D1613" s="10">
        <v>5791</v>
      </c>
      <c r="E1613" s="10" t="s">
        <v>1712</v>
      </c>
      <c r="F1613" s="11">
        <v>2990</v>
      </c>
      <c r="G1613" s="11">
        <v>3172</v>
      </c>
      <c r="H1613" s="11">
        <v>6162</v>
      </c>
      <c r="I1613" s="11">
        <v>2579</v>
      </c>
    </row>
    <row r="1614" spans="1:9" x14ac:dyDescent="0.2">
      <c r="A1614" s="10">
        <v>6712</v>
      </c>
      <c r="B1614" s="10">
        <v>57</v>
      </c>
      <c r="C1614" s="10" t="s">
        <v>1923</v>
      </c>
      <c r="D1614" s="10">
        <v>5792</v>
      </c>
      <c r="E1614" s="10" t="s">
        <v>1966</v>
      </c>
      <c r="F1614" s="11">
        <v>3619</v>
      </c>
      <c r="G1614" s="11">
        <v>3725</v>
      </c>
      <c r="H1614" s="11">
        <v>7344</v>
      </c>
      <c r="I1614" s="11">
        <v>3266</v>
      </c>
    </row>
    <row r="1615" spans="1:9" x14ac:dyDescent="0.2">
      <c r="A1615" s="10">
        <v>6712</v>
      </c>
      <c r="B1615" s="10">
        <v>57</v>
      </c>
      <c r="C1615" s="10" t="s">
        <v>1923</v>
      </c>
      <c r="D1615" s="10">
        <v>5793</v>
      </c>
      <c r="E1615" s="10" t="s">
        <v>1967</v>
      </c>
      <c r="F1615" s="11">
        <v>2823</v>
      </c>
      <c r="G1615" s="11">
        <v>3306</v>
      </c>
      <c r="H1615" s="11">
        <v>6129</v>
      </c>
      <c r="I1615" s="11">
        <v>3628</v>
      </c>
    </row>
    <row r="1616" spans="1:9" x14ac:dyDescent="0.2">
      <c r="A1616" s="10">
        <v>6712</v>
      </c>
      <c r="B1616" s="10">
        <v>57</v>
      </c>
      <c r="C1616" s="10" t="s">
        <v>1923</v>
      </c>
      <c r="D1616" s="10">
        <v>5794</v>
      </c>
      <c r="E1616" s="10" t="s">
        <v>1968</v>
      </c>
      <c r="F1616" s="11">
        <v>2280</v>
      </c>
      <c r="G1616" s="11">
        <v>2631</v>
      </c>
      <c r="H1616" s="11">
        <v>4911</v>
      </c>
      <c r="I1616" s="11">
        <v>2907</v>
      </c>
    </row>
    <row r="1617" spans="1:9" x14ac:dyDescent="0.2">
      <c r="A1617" s="10">
        <v>6712</v>
      </c>
      <c r="B1617" s="10">
        <v>57</v>
      </c>
      <c r="C1617" s="10" t="s">
        <v>1923</v>
      </c>
      <c r="D1617" s="10">
        <v>5795</v>
      </c>
      <c r="E1617" s="10" t="s">
        <v>1969</v>
      </c>
      <c r="F1617" s="11">
        <v>1827</v>
      </c>
      <c r="G1617" s="11">
        <v>1987</v>
      </c>
      <c r="H1617" s="11">
        <v>3814</v>
      </c>
      <c r="I1617" s="11">
        <v>1627</v>
      </c>
    </row>
    <row r="1618" spans="1:9" x14ac:dyDescent="0.2">
      <c r="A1618" s="10">
        <v>6712</v>
      </c>
      <c r="B1618" s="10">
        <v>57</v>
      </c>
      <c r="C1618" s="10" t="s">
        <v>1923</v>
      </c>
      <c r="D1618" s="10">
        <v>5796</v>
      </c>
      <c r="E1618" s="10" t="s">
        <v>1970</v>
      </c>
      <c r="F1618" s="11">
        <v>1647</v>
      </c>
      <c r="G1618" s="11">
        <v>1938</v>
      </c>
      <c r="H1618" s="11">
        <v>3585</v>
      </c>
      <c r="I1618" s="11">
        <v>2389</v>
      </c>
    </row>
    <row r="1619" spans="1:9" x14ac:dyDescent="0.2">
      <c r="A1619" s="10">
        <v>6712</v>
      </c>
      <c r="B1619" s="10">
        <v>57</v>
      </c>
      <c r="C1619" s="10" t="s">
        <v>1923</v>
      </c>
      <c r="D1619" s="10">
        <v>5797</v>
      </c>
      <c r="E1619" s="10" t="s">
        <v>1971</v>
      </c>
      <c r="F1619" s="11">
        <v>2774</v>
      </c>
      <c r="G1619" s="11">
        <v>2940</v>
      </c>
      <c r="H1619" s="11">
        <v>5714</v>
      </c>
      <c r="I1619" s="11">
        <v>2579</v>
      </c>
    </row>
    <row r="1620" spans="1:9" x14ac:dyDescent="0.2">
      <c r="A1620" s="10">
        <v>6712</v>
      </c>
      <c r="B1620" s="10">
        <v>57</v>
      </c>
      <c r="C1620" s="10" t="s">
        <v>1923</v>
      </c>
      <c r="D1620" s="10">
        <v>5798</v>
      </c>
      <c r="E1620" s="10" t="s">
        <v>1972</v>
      </c>
      <c r="F1620" s="11">
        <v>3138</v>
      </c>
      <c r="G1620" s="11">
        <v>3591</v>
      </c>
      <c r="H1620" s="11">
        <v>6729</v>
      </c>
      <c r="I1620" s="11">
        <v>3317</v>
      </c>
    </row>
    <row r="1621" spans="1:9" x14ac:dyDescent="0.2">
      <c r="A1621" s="10">
        <v>6712</v>
      </c>
      <c r="B1621" s="10">
        <v>57</v>
      </c>
      <c r="C1621" s="10" t="s">
        <v>1923</v>
      </c>
      <c r="D1621" s="10">
        <v>5799</v>
      </c>
      <c r="E1621" s="10" t="s">
        <v>1973</v>
      </c>
      <c r="F1621" s="11">
        <v>37038</v>
      </c>
      <c r="G1621" s="11">
        <v>41450</v>
      </c>
      <c r="H1621" s="11">
        <v>78488</v>
      </c>
      <c r="I1621" s="11">
        <v>53491</v>
      </c>
    </row>
    <row r="1622" spans="1:9" x14ac:dyDescent="0.2">
      <c r="A1622" s="10">
        <v>6712</v>
      </c>
      <c r="B1622" s="10">
        <v>58</v>
      </c>
      <c r="C1622" s="10" t="s">
        <v>1974</v>
      </c>
      <c r="D1622" s="10">
        <v>5801</v>
      </c>
      <c r="E1622" s="10" t="s">
        <v>1975</v>
      </c>
      <c r="F1622" s="11">
        <v>28508</v>
      </c>
      <c r="G1622" s="11">
        <v>28103</v>
      </c>
      <c r="H1622" s="11">
        <v>56611</v>
      </c>
      <c r="I1622" s="11">
        <v>24753</v>
      </c>
    </row>
    <row r="1623" spans="1:9" x14ac:dyDescent="0.2">
      <c r="A1623" s="10">
        <v>6712</v>
      </c>
      <c r="B1623" s="10">
        <v>58</v>
      </c>
      <c r="C1623" s="10" t="s">
        <v>1974</v>
      </c>
      <c r="D1623" s="10">
        <v>5802</v>
      </c>
      <c r="E1623" s="10" t="s">
        <v>1976</v>
      </c>
      <c r="F1623" s="11">
        <v>10455</v>
      </c>
      <c r="G1623" s="11">
        <v>9921</v>
      </c>
      <c r="H1623" s="11">
        <v>20376</v>
      </c>
      <c r="I1623" s="11">
        <v>8236</v>
      </c>
    </row>
    <row r="1624" spans="1:9" x14ac:dyDescent="0.2">
      <c r="A1624" s="10">
        <v>6712</v>
      </c>
      <c r="B1624" s="10">
        <v>58</v>
      </c>
      <c r="C1624" s="10" t="s">
        <v>1974</v>
      </c>
      <c r="D1624" s="10">
        <v>5803</v>
      </c>
      <c r="E1624" s="10" t="s">
        <v>1977</v>
      </c>
      <c r="F1624" s="11">
        <v>18255</v>
      </c>
      <c r="G1624" s="11">
        <v>17189</v>
      </c>
      <c r="H1624" s="11">
        <v>35444</v>
      </c>
      <c r="I1624" s="11">
        <v>16289</v>
      </c>
    </row>
    <row r="1625" spans="1:9" x14ac:dyDescent="0.2">
      <c r="A1625" s="10">
        <v>6712</v>
      </c>
      <c r="B1625" s="10">
        <v>58</v>
      </c>
      <c r="C1625" s="10" t="s">
        <v>1974</v>
      </c>
      <c r="D1625" s="10">
        <v>5804</v>
      </c>
      <c r="E1625" s="10" t="s">
        <v>1978</v>
      </c>
      <c r="F1625" s="11">
        <v>26495</v>
      </c>
      <c r="G1625" s="11">
        <v>26360</v>
      </c>
      <c r="H1625" s="11">
        <v>52855</v>
      </c>
      <c r="I1625" s="11">
        <v>22922</v>
      </c>
    </row>
    <row r="1626" spans="1:9" x14ac:dyDescent="0.2">
      <c r="A1626" s="10">
        <v>6712</v>
      </c>
      <c r="B1626" s="10">
        <v>58</v>
      </c>
      <c r="C1626" s="10" t="s">
        <v>1974</v>
      </c>
      <c r="D1626" s="10">
        <v>5805</v>
      </c>
      <c r="E1626" s="10" t="s">
        <v>1979</v>
      </c>
      <c r="F1626" s="11">
        <v>16153</v>
      </c>
      <c r="G1626" s="11">
        <v>15985</v>
      </c>
      <c r="H1626" s="11">
        <v>32138</v>
      </c>
      <c r="I1626" s="11">
        <v>11385</v>
      </c>
    </row>
    <row r="1627" spans="1:9" x14ac:dyDescent="0.2">
      <c r="A1627" s="10">
        <v>6712</v>
      </c>
      <c r="B1627" s="10">
        <v>58</v>
      </c>
      <c r="C1627" s="10" t="s">
        <v>1974</v>
      </c>
      <c r="D1627" s="10">
        <v>5806</v>
      </c>
      <c r="E1627" s="10" t="s">
        <v>1980</v>
      </c>
      <c r="F1627" s="11">
        <v>24583</v>
      </c>
      <c r="G1627" s="11">
        <v>23890</v>
      </c>
      <c r="H1627" s="11">
        <v>48473</v>
      </c>
      <c r="I1627" s="11">
        <v>18261</v>
      </c>
    </row>
    <row r="1628" spans="1:9" x14ac:dyDescent="0.2">
      <c r="A1628" s="10">
        <v>6712</v>
      </c>
      <c r="B1628" s="10">
        <v>58</v>
      </c>
      <c r="C1628" s="10" t="s">
        <v>1974</v>
      </c>
      <c r="D1628" s="10">
        <v>5807</v>
      </c>
      <c r="E1628" s="10" t="s">
        <v>1981</v>
      </c>
      <c r="F1628" s="11">
        <v>11535</v>
      </c>
      <c r="G1628" s="11">
        <v>10819</v>
      </c>
      <c r="H1628" s="11">
        <v>22354</v>
      </c>
      <c r="I1628" s="11">
        <v>9415</v>
      </c>
    </row>
    <row r="1629" spans="1:9" x14ac:dyDescent="0.2">
      <c r="A1629" s="10">
        <v>6712</v>
      </c>
      <c r="B1629" s="10">
        <v>58</v>
      </c>
      <c r="C1629" s="10" t="s">
        <v>1974</v>
      </c>
      <c r="D1629" s="10">
        <v>5895</v>
      </c>
      <c r="E1629" s="10" t="s">
        <v>1982</v>
      </c>
      <c r="F1629" s="11">
        <v>1707</v>
      </c>
      <c r="G1629" s="11">
        <v>1757</v>
      </c>
      <c r="H1629" s="11">
        <v>3464</v>
      </c>
      <c r="I1629" s="11">
        <v>1865</v>
      </c>
    </row>
    <row r="1630" spans="1:9" x14ac:dyDescent="0.2">
      <c r="A1630" s="10">
        <v>6712</v>
      </c>
      <c r="B1630" s="10">
        <v>58</v>
      </c>
      <c r="C1630" s="10" t="s">
        <v>1974</v>
      </c>
      <c r="D1630" s="10">
        <v>5896</v>
      </c>
      <c r="E1630" s="10" t="s">
        <v>1983</v>
      </c>
      <c r="F1630" s="11">
        <v>1277</v>
      </c>
      <c r="G1630" s="11">
        <v>1421</v>
      </c>
      <c r="H1630" s="11">
        <v>2698</v>
      </c>
      <c r="I1630" s="11">
        <v>2057</v>
      </c>
    </row>
    <row r="1631" spans="1:9" x14ac:dyDescent="0.2">
      <c r="A1631" s="10">
        <v>6712</v>
      </c>
      <c r="B1631" s="10">
        <v>58</v>
      </c>
      <c r="C1631" s="10" t="s">
        <v>1974</v>
      </c>
      <c r="D1631" s="10">
        <v>5897</v>
      </c>
      <c r="E1631" s="10" t="s">
        <v>1984</v>
      </c>
      <c r="F1631" s="11">
        <v>1636</v>
      </c>
      <c r="G1631" s="11">
        <v>1699</v>
      </c>
      <c r="H1631" s="11">
        <v>3335</v>
      </c>
      <c r="I1631" s="11">
        <v>1963</v>
      </c>
    </row>
    <row r="1632" spans="1:9" x14ac:dyDescent="0.2">
      <c r="A1632" s="10">
        <v>6712</v>
      </c>
      <c r="B1632" s="10">
        <v>58</v>
      </c>
      <c r="C1632" s="10" t="s">
        <v>1974</v>
      </c>
      <c r="D1632" s="10">
        <v>5898</v>
      </c>
      <c r="E1632" s="10" t="s">
        <v>1985</v>
      </c>
      <c r="F1632" s="11">
        <v>1724</v>
      </c>
      <c r="G1632" s="11">
        <v>1789</v>
      </c>
      <c r="H1632" s="11">
        <v>3513</v>
      </c>
      <c r="I1632" s="11">
        <v>1859</v>
      </c>
    </row>
    <row r="1633" spans="1:9" x14ac:dyDescent="0.2">
      <c r="A1633" s="10">
        <v>6712</v>
      </c>
      <c r="B1633" s="10">
        <v>58</v>
      </c>
      <c r="C1633" s="10" t="s">
        <v>1974</v>
      </c>
      <c r="D1633" s="10">
        <v>5899</v>
      </c>
      <c r="E1633" s="10" t="s">
        <v>1986</v>
      </c>
      <c r="F1633" s="11">
        <v>3395</v>
      </c>
      <c r="G1633" s="11">
        <v>3426</v>
      </c>
      <c r="H1633" s="11">
        <v>6821</v>
      </c>
      <c r="I1633" s="11">
        <v>4821</v>
      </c>
    </row>
    <row r="1634" spans="1:9" x14ac:dyDescent="0.2">
      <c r="A1634" s="10">
        <v>6712</v>
      </c>
      <c r="B1634" s="10">
        <v>60</v>
      </c>
      <c r="C1634" s="10" t="s">
        <v>1987</v>
      </c>
      <c r="D1634" s="10">
        <v>6001</v>
      </c>
      <c r="E1634" s="10" t="s">
        <v>1988</v>
      </c>
      <c r="F1634" s="11">
        <v>77626</v>
      </c>
      <c r="G1634" s="11">
        <v>84161</v>
      </c>
      <c r="H1634" s="11">
        <v>161787</v>
      </c>
      <c r="I1634" s="11">
        <v>75749</v>
      </c>
    </row>
    <row r="1635" spans="1:9" x14ac:dyDescent="0.2">
      <c r="A1635" s="10">
        <v>6712</v>
      </c>
      <c r="B1635" s="10">
        <v>60</v>
      </c>
      <c r="C1635" s="10" t="s">
        <v>1987</v>
      </c>
      <c r="D1635" s="10">
        <v>6002</v>
      </c>
      <c r="E1635" s="10" t="s">
        <v>1989</v>
      </c>
      <c r="F1635" s="11">
        <v>12750</v>
      </c>
      <c r="G1635" s="11">
        <v>13488</v>
      </c>
      <c r="H1635" s="11">
        <v>26238</v>
      </c>
      <c r="I1635" s="11">
        <v>10080</v>
      </c>
    </row>
    <row r="1636" spans="1:9" x14ac:dyDescent="0.2">
      <c r="A1636" s="10">
        <v>6712</v>
      </c>
      <c r="B1636" s="10">
        <v>60</v>
      </c>
      <c r="C1636" s="10" t="s">
        <v>1987</v>
      </c>
      <c r="D1636" s="10">
        <v>6003</v>
      </c>
      <c r="E1636" s="10" t="s">
        <v>1990</v>
      </c>
      <c r="F1636" s="11">
        <v>25148</v>
      </c>
      <c r="G1636" s="11">
        <v>26765</v>
      </c>
      <c r="H1636" s="11">
        <v>51913</v>
      </c>
      <c r="I1636" s="11">
        <v>19025</v>
      </c>
    </row>
    <row r="1637" spans="1:9" x14ac:dyDescent="0.2">
      <c r="A1637" s="10">
        <v>6712</v>
      </c>
      <c r="B1637" s="10">
        <v>60</v>
      </c>
      <c r="C1637" s="10" t="s">
        <v>1987</v>
      </c>
      <c r="D1637" s="10">
        <v>6004</v>
      </c>
      <c r="E1637" s="10" t="s">
        <v>1991</v>
      </c>
      <c r="F1637" s="11">
        <v>26352</v>
      </c>
      <c r="G1637" s="11">
        <v>26847</v>
      </c>
      <c r="H1637" s="11">
        <v>53199</v>
      </c>
      <c r="I1637" s="11">
        <v>24157</v>
      </c>
    </row>
    <row r="1638" spans="1:9" x14ac:dyDescent="0.2">
      <c r="A1638" s="10">
        <v>6712</v>
      </c>
      <c r="B1638" s="10">
        <v>60</v>
      </c>
      <c r="C1638" s="10" t="s">
        <v>1987</v>
      </c>
      <c r="D1638" s="10">
        <v>6005</v>
      </c>
      <c r="E1638" s="10" t="s">
        <v>1992</v>
      </c>
      <c r="F1638" s="11">
        <v>38702</v>
      </c>
      <c r="G1638" s="11">
        <v>40327</v>
      </c>
      <c r="H1638" s="11">
        <v>79029</v>
      </c>
      <c r="I1638" s="11">
        <v>29473</v>
      </c>
    </row>
    <row r="1639" spans="1:9" x14ac:dyDescent="0.2">
      <c r="A1639" s="10">
        <v>6712</v>
      </c>
      <c r="B1639" s="10">
        <v>60</v>
      </c>
      <c r="C1639" s="10" t="s">
        <v>1987</v>
      </c>
      <c r="D1639" s="10">
        <v>6006</v>
      </c>
      <c r="E1639" s="10" t="s">
        <v>1993</v>
      </c>
      <c r="F1639" s="11">
        <v>13652</v>
      </c>
      <c r="G1639" s="11">
        <v>14395</v>
      </c>
      <c r="H1639" s="11">
        <v>28047</v>
      </c>
      <c r="I1639" s="11">
        <v>11018</v>
      </c>
    </row>
    <row r="1640" spans="1:9" x14ac:dyDescent="0.2">
      <c r="A1640" s="10">
        <v>6712</v>
      </c>
      <c r="B1640" s="10">
        <v>60</v>
      </c>
      <c r="C1640" s="10" t="s">
        <v>1987</v>
      </c>
      <c r="D1640" s="10">
        <v>6007</v>
      </c>
      <c r="E1640" s="10" t="s">
        <v>1994</v>
      </c>
      <c r="F1640" s="11">
        <v>37323</v>
      </c>
      <c r="G1640" s="11">
        <v>38318</v>
      </c>
      <c r="H1640" s="11">
        <v>75641</v>
      </c>
      <c r="I1640" s="11">
        <v>31157</v>
      </c>
    </row>
    <row r="1641" spans="1:9" x14ac:dyDescent="0.2">
      <c r="A1641" s="10">
        <v>6712</v>
      </c>
      <c r="B1641" s="10">
        <v>60</v>
      </c>
      <c r="C1641" s="10" t="s">
        <v>1987</v>
      </c>
      <c r="D1641" s="10">
        <v>6008</v>
      </c>
      <c r="E1641" s="10" t="s">
        <v>1995</v>
      </c>
      <c r="F1641" s="11">
        <v>28667</v>
      </c>
      <c r="G1641" s="11">
        <v>30097</v>
      </c>
      <c r="H1641" s="11">
        <v>58764</v>
      </c>
      <c r="I1641" s="11">
        <v>24302</v>
      </c>
    </row>
    <row r="1642" spans="1:9" x14ac:dyDescent="0.2">
      <c r="A1642" s="10">
        <v>6712</v>
      </c>
      <c r="B1642" s="10">
        <v>60</v>
      </c>
      <c r="C1642" s="10" t="s">
        <v>1987</v>
      </c>
      <c r="D1642" s="10">
        <v>6009</v>
      </c>
      <c r="E1642" s="10" t="s">
        <v>1996</v>
      </c>
      <c r="F1642" s="11">
        <v>29102</v>
      </c>
      <c r="G1642" s="11">
        <v>29738</v>
      </c>
      <c r="H1642" s="11">
        <v>58840</v>
      </c>
      <c r="I1642" s="11">
        <v>22125</v>
      </c>
    </row>
    <row r="1643" spans="1:9" x14ac:dyDescent="0.2">
      <c r="A1643" s="10">
        <v>6712</v>
      </c>
      <c r="B1643" s="10">
        <v>60</v>
      </c>
      <c r="C1643" s="10" t="s">
        <v>1987</v>
      </c>
      <c r="D1643" s="10">
        <v>6010</v>
      </c>
      <c r="E1643" s="10" t="s">
        <v>1997</v>
      </c>
      <c r="F1643" s="11">
        <v>23856</v>
      </c>
      <c r="G1643" s="11">
        <v>25370</v>
      </c>
      <c r="H1643" s="11">
        <v>49226</v>
      </c>
      <c r="I1643" s="11">
        <v>21914</v>
      </c>
    </row>
    <row r="1644" spans="1:9" x14ac:dyDescent="0.2">
      <c r="A1644" s="10">
        <v>6712</v>
      </c>
      <c r="B1644" s="10">
        <v>60</v>
      </c>
      <c r="C1644" s="10" t="s">
        <v>1987</v>
      </c>
      <c r="D1644" s="10">
        <v>6011</v>
      </c>
      <c r="E1644" s="10" t="s">
        <v>1998</v>
      </c>
      <c r="F1644" s="11">
        <v>35173</v>
      </c>
      <c r="G1644" s="11">
        <v>36633</v>
      </c>
      <c r="H1644" s="11">
        <v>71806</v>
      </c>
      <c r="I1644" s="11">
        <v>27862</v>
      </c>
    </row>
    <row r="1645" spans="1:9" x14ac:dyDescent="0.2">
      <c r="A1645" s="10">
        <v>6712</v>
      </c>
      <c r="B1645" s="10">
        <v>60</v>
      </c>
      <c r="C1645" s="10" t="s">
        <v>1987</v>
      </c>
      <c r="D1645" s="10">
        <v>6012</v>
      </c>
      <c r="E1645" s="10" t="s">
        <v>1999</v>
      </c>
      <c r="F1645" s="11">
        <v>16410</v>
      </c>
      <c r="G1645" s="11">
        <v>16986</v>
      </c>
      <c r="H1645" s="11">
        <v>33396</v>
      </c>
      <c r="I1645" s="11">
        <v>13183</v>
      </c>
    </row>
    <row r="1646" spans="1:9" x14ac:dyDescent="0.2">
      <c r="A1646" s="10">
        <v>6712</v>
      </c>
      <c r="B1646" s="10">
        <v>60</v>
      </c>
      <c r="C1646" s="10" t="s">
        <v>1987</v>
      </c>
      <c r="D1646" s="10">
        <v>6013</v>
      </c>
      <c r="E1646" s="10" t="s">
        <v>2000</v>
      </c>
      <c r="F1646" s="11">
        <v>24370</v>
      </c>
      <c r="G1646" s="11">
        <v>24587</v>
      </c>
      <c r="H1646" s="11">
        <v>48957</v>
      </c>
      <c r="I1646" s="11">
        <v>19342</v>
      </c>
    </row>
    <row r="1647" spans="1:9" x14ac:dyDescent="0.2">
      <c r="A1647" s="10">
        <v>6712</v>
      </c>
      <c r="B1647" s="10">
        <v>60</v>
      </c>
      <c r="C1647" s="10" t="s">
        <v>1987</v>
      </c>
      <c r="D1647" s="10">
        <v>6014</v>
      </c>
      <c r="E1647" s="10" t="s">
        <v>2001</v>
      </c>
      <c r="F1647" s="11">
        <v>10302</v>
      </c>
      <c r="G1647" s="11">
        <v>10286</v>
      </c>
      <c r="H1647" s="11">
        <v>20588</v>
      </c>
      <c r="I1647" s="11">
        <v>6444</v>
      </c>
    </row>
    <row r="1648" spans="1:9" x14ac:dyDescent="0.2">
      <c r="A1648" s="10">
        <v>6712</v>
      </c>
      <c r="B1648" s="10">
        <v>60</v>
      </c>
      <c r="C1648" s="10" t="s">
        <v>1987</v>
      </c>
      <c r="D1648" s="10">
        <v>6015</v>
      </c>
      <c r="E1648" s="10" t="s">
        <v>2002</v>
      </c>
      <c r="F1648" s="11">
        <v>8785</v>
      </c>
      <c r="G1648" s="11">
        <v>8860</v>
      </c>
      <c r="H1648" s="11">
        <v>17645</v>
      </c>
      <c r="I1648" s="11">
        <v>6675</v>
      </c>
    </row>
    <row r="1649" spans="1:9" x14ac:dyDescent="0.2">
      <c r="A1649" s="10">
        <v>6712</v>
      </c>
      <c r="B1649" s="10">
        <v>60</v>
      </c>
      <c r="C1649" s="10" t="s">
        <v>1987</v>
      </c>
      <c r="D1649" s="10">
        <v>6082</v>
      </c>
      <c r="E1649" s="10" t="s">
        <v>2003</v>
      </c>
      <c r="F1649" s="11">
        <v>2477</v>
      </c>
      <c r="G1649" s="11">
        <v>2685</v>
      </c>
      <c r="H1649" s="11">
        <v>5162</v>
      </c>
      <c r="I1649" s="11">
        <v>2872</v>
      </c>
    </row>
    <row r="1650" spans="1:9" x14ac:dyDescent="0.2">
      <c r="A1650" s="10">
        <v>6712</v>
      </c>
      <c r="B1650" s="10">
        <v>60</v>
      </c>
      <c r="C1650" s="10" t="s">
        <v>1987</v>
      </c>
      <c r="D1650" s="10">
        <v>6083</v>
      </c>
      <c r="E1650" s="10" t="s">
        <v>2004</v>
      </c>
      <c r="F1650" s="11">
        <v>2641</v>
      </c>
      <c r="G1650" s="11">
        <v>3002</v>
      </c>
      <c r="H1650" s="11">
        <v>5643</v>
      </c>
      <c r="I1650" s="11">
        <v>3529</v>
      </c>
    </row>
    <row r="1651" spans="1:9" x14ac:dyDescent="0.2">
      <c r="A1651" s="10">
        <v>6712</v>
      </c>
      <c r="B1651" s="10">
        <v>60</v>
      </c>
      <c r="C1651" s="10" t="s">
        <v>1987</v>
      </c>
      <c r="D1651" s="10">
        <v>6084</v>
      </c>
      <c r="E1651" s="10" t="s">
        <v>2005</v>
      </c>
      <c r="F1651" s="11">
        <v>1493</v>
      </c>
      <c r="G1651" s="11">
        <v>1715</v>
      </c>
      <c r="H1651" s="11">
        <v>3208</v>
      </c>
      <c r="I1651" s="11">
        <v>1510</v>
      </c>
    </row>
    <row r="1652" spans="1:9" x14ac:dyDescent="0.2">
      <c r="A1652" s="10">
        <v>6712</v>
      </c>
      <c r="B1652" s="10">
        <v>60</v>
      </c>
      <c r="C1652" s="10" t="s">
        <v>1987</v>
      </c>
      <c r="D1652" s="10">
        <v>6085</v>
      </c>
      <c r="E1652" s="10" t="s">
        <v>2006</v>
      </c>
      <c r="F1652" s="11">
        <v>2485</v>
      </c>
      <c r="G1652" s="11">
        <v>2903</v>
      </c>
      <c r="H1652" s="11">
        <v>5388</v>
      </c>
      <c r="I1652" s="11">
        <v>3056</v>
      </c>
    </row>
    <row r="1653" spans="1:9" x14ac:dyDescent="0.2">
      <c r="A1653" s="10">
        <v>6712</v>
      </c>
      <c r="B1653" s="10">
        <v>60</v>
      </c>
      <c r="C1653" s="10" t="s">
        <v>1987</v>
      </c>
      <c r="D1653" s="10">
        <v>6086</v>
      </c>
      <c r="E1653" s="10" t="s">
        <v>2007</v>
      </c>
      <c r="F1653" s="11">
        <v>2314</v>
      </c>
      <c r="G1653" s="11">
        <v>2560</v>
      </c>
      <c r="H1653" s="11">
        <v>4874</v>
      </c>
      <c r="I1653" s="11">
        <v>2815</v>
      </c>
    </row>
    <row r="1654" spans="1:9" x14ac:dyDescent="0.2">
      <c r="A1654" s="10">
        <v>6712</v>
      </c>
      <c r="B1654" s="10">
        <v>60</v>
      </c>
      <c r="C1654" s="10" t="s">
        <v>1987</v>
      </c>
      <c r="D1654" s="10">
        <v>6087</v>
      </c>
      <c r="E1654" s="10" t="s">
        <v>2008</v>
      </c>
      <c r="F1654" s="11">
        <v>4665</v>
      </c>
      <c r="G1654" s="11">
        <v>5204</v>
      </c>
      <c r="H1654" s="11">
        <v>9869</v>
      </c>
      <c r="I1654" s="11">
        <v>5150</v>
      </c>
    </row>
    <row r="1655" spans="1:9" x14ac:dyDescent="0.2">
      <c r="A1655" s="10">
        <v>6712</v>
      </c>
      <c r="B1655" s="10">
        <v>60</v>
      </c>
      <c r="C1655" s="10" t="s">
        <v>1987</v>
      </c>
      <c r="D1655" s="10">
        <v>6088</v>
      </c>
      <c r="E1655" s="10" t="s">
        <v>2009</v>
      </c>
      <c r="F1655" s="11">
        <v>2472</v>
      </c>
      <c r="G1655" s="11">
        <v>2830</v>
      </c>
      <c r="H1655" s="11">
        <v>5302</v>
      </c>
      <c r="I1655" s="11">
        <v>2960</v>
      </c>
    </row>
    <row r="1656" spans="1:9" x14ac:dyDescent="0.2">
      <c r="A1656" s="10">
        <v>6712</v>
      </c>
      <c r="B1656" s="10">
        <v>60</v>
      </c>
      <c r="C1656" s="10" t="s">
        <v>1987</v>
      </c>
      <c r="D1656" s="10">
        <v>6089</v>
      </c>
      <c r="E1656" s="10" t="s">
        <v>2010</v>
      </c>
      <c r="F1656" s="11">
        <v>1377</v>
      </c>
      <c r="G1656" s="11">
        <v>1513</v>
      </c>
      <c r="H1656" s="11">
        <v>2890</v>
      </c>
      <c r="I1656" s="11">
        <v>1101</v>
      </c>
    </row>
    <row r="1657" spans="1:9" x14ac:dyDescent="0.2">
      <c r="A1657" s="10">
        <v>6712</v>
      </c>
      <c r="B1657" s="10">
        <v>60</v>
      </c>
      <c r="C1657" s="10" t="s">
        <v>1987</v>
      </c>
      <c r="D1657" s="10">
        <v>6090</v>
      </c>
      <c r="E1657" s="10" t="s">
        <v>2011</v>
      </c>
      <c r="F1657" s="11">
        <v>2659</v>
      </c>
      <c r="G1657" s="11">
        <v>2908</v>
      </c>
      <c r="H1657" s="11">
        <v>5567</v>
      </c>
      <c r="I1657" s="11">
        <v>2395</v>
      </c>
    </row>
    <row r="1658" spans="1:9" x14ac:dyDescent="0.2">
      <c r="A1658" s="10">
        <v>6712</v>
      </c>
      <c r="B1658" s="10">
        <v>60</v>
      </c>
      <c r="C1658" s="10" t="s">
        <v>1987</v>
      </c>
      <c r="D1658" s="10">
        <v>6091</v>
      </c>
      <c r="E1658" s="10" t="s">
        <v>2012</v>
      </c>
      <c r="F1658" s="11">
        <v>1691</v>
      </c>
      <c r="G1658" s="11">
        <v>1860</v>
      </c>
      <c r="H1658" s="11">
        <v>3551</v>
      </c>
      <c r="I1658" s="11">
        <v>1904</v>
      </c>
    </row>
    <row r="1659" spans="1:9" x14ac:dyDescent="0.2">
      <c r="A1659" s="10">
        <v>6712</v>
      </c>
      <c r="B1659" s="10">
        <v>60</v>
      </c>
      <c r="C1659" s="10" t="s">
        <v>1987</v>
      </c>
      <c r="D1659" s="10">
        <v>6092</v>
      </c>
      <c r="E1659" s="10" t="s">
        <v>754</v>
      </c>
      <c r="F1659" s="11">
        <v>5322</v>
      </c>
      <c r="G1659" s="11">
        <v>5931</v>
      </c>
      <c r="H1659" s="11">
        <v>11253</v>
      </c>
      <c r="I1659" s="11">
        <v>5235</v>
      </c>
    </row>
    <row r="1660" spans="1:9" x14ac:dyDescent="0.2">
      <c r="A1660" s="10">
        <v>6712</v>
      </c>
      <c r="B1660" s="10">
        <v>60</v>
      </c>
      <c r="C1660" s="10" t="s">
        <v>1987</v>
      </c>
      <c r="D1660" s="10">
        <v>6093</v>
      </c>
      <c r="E1660" s="10" t="s">
        <v>2013</v>
      </c>
      <c r="F1660" s="10">
        <v>992</v>
      </c>
      <c r="G1660" s="11">
        <v>1062</v>
      </c>
      <c r="H1660" s="11">
        <v>2054</v>
      </c>
      <c r="I1660" s="10">
        <v>843</v>
      </c>
    </row>
    <row r="1661" spans="1:9" x14ac:dyDescent="0.2">
      <c r="A1661" s="10">
        <v>6712</v>
      </c>
      <c r="B1661" s="10">
        <v>60</v>
      </c>
      <c r="C1661" s="10" t="s">
        <v>1987</v>
      </c>
      <c r="D1661" s="10">
        <v>6094</v>
      </c>
      <c r="E1661" s="10" t="s">
        <v>2014</v>
      </c>
      <c r="F1661" s="11">
        <v>2416</v>
      </c>
      <c r="G1661" s="11">
        <v>2518</v>
      </c>
      <c r="H1661" s="11">
        <v>4934</v>
      </c>
      <c r="I1661" s="11">
        <v>1653</v>
      </c>
    </row>
    <row r="1662" spans="1:9" x14ac:dyDescent="0.2">
      <c r="A1662" s="10">
        <v>6712</v>
      </c>
      <c r="B1662" s="10">
        <v>60</v>
      </c>
      <c r="C1662" s="10" t="s">
        <v>1987</v>
      </c>
      <c r="D1662" s="10">
        <v>6095</v>
      </c>
      <c r="E1662" s="10" t="s">
        <v>2015</v>
      </c>
      <c r="F1662" s="11">
        <v>1030</v>
      </c>
      <c r="G1662" s="11">
        <v>1120</v>
      </c>
      <c r="H1662" s="11">
        <v>2150</v>
      </c>
      <c r="I1662" s="11">
        <v>1014</v>
      </c>
    </row>
    <row r="1663" spans="1:9" x14ac:dyDescent="0.2">
      <c r="A1663" s="10">
        <v>6712</v>
      </c>
      <c r="B1663" s="10">
        <v>60</v>
      </c>
      <c r="C1663" s="10" t="s">
        <v>1987</v>
      </c>
      <c r="D1663" s="10">
        <v>6096</v>
      </c>
      <c r="E1663" s="10" t="s">
        <v>2016</v>
      </c>
      <c r="F1663" s="11">
        <v>1274</v>
      </c>
      <c r="G1663" s="11">
        <v>1564</v>
      </c>
      <c r="H1663" s="11">
        <v>2838</v>
      </c>
      <c r="I1663" s="11">
        <v>1549</v>
      </c>
    </row>
    <row r="1664" spans="1:9" x14ac:dyDescent="0.2">
      <c r="A1664" s="10">
        <v>6712</v>
      </c>
      <c r="B1664" s="10">
        <v>60</v>
      </c>
      <c r="C1664" s="10" t="s">
        <v>1987</v>
      </c>
      <c r="D1664" s="10">
        <v>6097</v>
      </c>
      <c r="E1664" s="10" t="s">
        <v>2017</v>
      </c>
      <c r="F1664" s="11">
        <v>10464</v>
      </c>
      <c r="G1664" s="11">
        <v>11529</v>
      </c>
      <c r="H1664" s="11">
        <v>21993</v>
      </c>
      <c r="I1664" s="11">
        <v>10222</v>
      </c>
    </row>
    <row r="1665" spans="1:9" x14ac:dyDescent="0.2">
      <c r="A1665" s="10">
        <v>6712</v>
      </c>
      <c r="B1665" s="10">
        <v>60</v>
      </c>
      <c r="C1665" s="10" t="s">
        <v>1987</v>
      </c>
      <c r="D1665" s="10">
        <v>6098</v>
      </c>
      <c r="E1665" s="10" t="s">
        <v>2018</v>
      </c>
      <c r="F1665" s="11">
        <v>3372</v>
      </c>
      <c r="G1665" s="11">
        <v>3775</v>
      </c>
      <c r="H1665" s="11">
        <v>7147</v>
      </c>
      <c r="I1665" s="11">
        <v>3659</v>
      </c>
    </row>
    <row r="1666" spans="1:9" x14ac:dyDescent="0.2">
      <c r="A1666" s="10">
        <v>6712</v>
      </c>
      <c r="B1666" s="10">
        <v>60</v>
      </c>
      <c r="C1666" s="10" t="s">
        <v>1987</v>
      </c>
      <c r="D1666" s="10">
        <v>6099</v>
      </c>
      <c r="E1666" s="10" t="s">
        <v>2019</v>
      </c>
      <c r="F1666" s="11">
        <v>35919</v>
      </c>
      <c r="G1666" s="11">
        <v>39583</v>
      </c>
      <c r="H1666" s="11">
        <v>75502</v>
      </c>
      <c r="I1666" s="11">
        <v>43397</v>
      </c>
    </row>
    <row r="1667" spans="1:9" x14ac:dyDescent="0.2">
      <c r="A1667" s="10">
        <v>6712</v>
      </c>
      <c r="B1667" s="10">
        <v>61</v>
      </c>
      <c r="C1667" s="10" t="s">
        <v>2020</v>
      </c>
      <c r="D1667" s="10">
        <v>6101</v>
      </c>
      <c r="E1667" s="10" t="s">
        <v>2021</v>
      </c>
      <c r="F1667" s="11">
        <v>16774</v>
      </c>
      <c r="G1667" s="11">
        <v>18295</v>
      </c>
      <c r="H1667" s="11">
        <v>35069</v>
      </c>
      <c r="I1667" s="11">
        <v>14621</v>
      </c>
    </row>
    <row r="1668" spans="1:9" x14ac:dyDescent="0.2">
      <c r="A1668" s="10">
        <v>6712</v>
      </c>
      <c r="B1668" s="10">
        <v>61</v>
      </c>
      <c r="C1668" s="10" t="s">
        <v>2020</v>
      </c>
      <c r="D1668" s="10">
        <v>6102</v>
      </c>
      <c r="E1668" s="10" t="s">
        <v>2022</v>
      </c>
      <c r="F1668" s="11">
        <v>7665</v>
      </c>
      <c r="G1668" s="11">
        <v>8048</v>
      </c>
      <c r="H1668" s="11">
        <v>15713</v>
      </c>
      <c r="I1668" s="11">
        <v>5691</v>
      </c>
    </row>
    <row r="1669" spans="1:9" x14ac:dyDescent="0.2">
      <c r="A1669" s="10">
        <v>6712</v>
      </c>
      <c r="B1669" s="10">
        <v>61</v>
      </c>
      <c r="C1669" s="10" t="s">
        <v>2020</v>
      </c>
      <c r="D1669" s="10">
        <v>6103</v>
      </c>
      <c r="E1669" s="10" t="s">
        <v>2023</v>
      </c>
      <c r="F1669" s="11">
        <v>14694</v>
      </c>
      <c r="G1669" s="11">
        <v>14778</v>
      </c>
      <c r="H1669" s="11">
        <v>29472</v>
      </c>
      <c r="I1669" s="11">
        <v>10339</v>
      </c>
    </row>
    <row r="1670" spans="1:9" x14ac:dyDescent="0.2">
      <c r="A1670" s="10">
        <v>6712</v>
      </c>
      <c r="B1670" s="10">
        <v>61</v>
      </c>
      <c r="C1670" s="10" t="s">
        <v>2020</v>
      </c>
      <c r="D1670" s="10">
        <v>6104</v>
      </c>
      <c r="E1670" s="10" t="s">
        <v>2024</v>
      </c>
      <c r="F1670" s="11">
        <v>16210</v>
      </c>
      <c r="G1670" s="11">
        <v>17240</v>
      </c>
      <c r="H1670" s="11">
        <v>33450</v>
      </c>
      <c r="I1670" s="11">
        <v>12418</v>
      </c>
    </row>
    <row r="1671" spans="1:9" x14ac:dyDescent="0.2">
      <c r="A1671" s="10">
        <v>6712</v>
      </c>
      <c r="B1671" s="10">
        <v>61</v>
      </c>
      <c r="C1671" s="10" t="s">
        <v>2020</v>
      </c>
      <c r="D1671" s="10">
        <v>6105</v>
      </c>
      <c r="E1671" s="10" t="s">
        <v>2025</v>
      </c>
      <c r="F1671" s="11">
        <v>7094</v>
      </c>
      <c r="G1671" s="11">
        <v>7970</v>
      </c>
      <c r="H1671" s="11">
        <v>15064</v>
      </c>
      <c r="I1671" s="11">
        <v>6232</v>
      </c>
    </row>
    <row r="1672" spans="1:9" x14ac:dyDescent="0.2">
      <c r="A1672" s="10">
        <v>6712</v>
      </c>
      <c r="B1672" s="10">
        <v>61</v>
      </c>
      <c r="C1672" s="10" t="s">
        <v>2020</v>
      </c>
      <c r="D1672" s="10">
        <v>6106</v>
      </c>
      <c r="E1672" s="10" t="s">
        <v>2026</v>
      </c>
      <c r="F1672" s="11">
        <v>31238</v>
      </c>
      <c r="G1672" s="11">
        <v>31766</v>
      </c>
      <c r="H1672" s="11">
        <v>63004</v>
      </c>
      <c r="I1672" s="11">
        <v>26148</v>
      </c>
    </row>
    <row r="1673" spans="1:9" x14ac:dyDescent="0.2">
      <c r="A1673" s="10">
        <v>6712</v>
      </c>
      <c r="B1673" s="10">
        <v>61</v>
      </c>
      <c r="C1673" s="10" t="s">
        <v>2020</v>
      </c>
      <c r="D1673" s="10">
        <v>6107</v>
      </c>
      <c r="E1673" s="10" t="s">
        <v>2027</v>
      </c>
      <c r="F1673" s="11">
        <v>27178</v>
      </c>
      <c r="G1673" s="11">
        <v>27676</v>
      </c>
      <c r="H1673" s="11">
        <v>54854</v>
      </c>
      <c r="I1673" s="11">
        <v>19905</v>
      </c>
    </row>
    <row r="1674" spans="1:9" x14ac:dyDescent="0.2">
      <c r="A1674" s="10">
        <v>6712</v>
      </c>
      <c r="B1674" s="10">
        <v>61</v>
      </c>
      <c r="C1674" s="10" t="s">
        <v>2020</v>
      </c>
      <c r="D1674" s="10">
        <v>6108</v>
      </c>
      <c r="E1674" s="10" t="s">
        <v>2028</v>
      </c>
      <c r="F1674" s="11">
        <v>9933</v>
      </c>
      <c r="G1674" s="11">
        <v>10192</v>
      </c>
      <c r="H1674" s="11">
        <v>20125</v>
      </c>
      <c r="I1674" s="11">
        <v>7862</v>
      </c>
    </row>
    <row r="1675" spans="1:9" x14ac:dyDescent="0.2">
      <c r="A1675" s="10">
        <v>6712</v>
      </c>
      <c r="B1675" s="10">
        <v>61</v>
      </c>
      <c r="C1675" s="10" t="s">
        <v>2020</v>
      </c>
      <c r="D1675" s="10">
        <v>6189</v>
      </c>
      <c r="E1675" s="10" t="s">
        <v>2029</v>
      </c>
      <c r="F1675" s="10">
        <v>993</v>
      </c>
      <c r="G1675" s="11">
        <v>1121</v>
      </c>
      <c r="H1675" s="11">
        <v>2114</v>
      </c>
      <c r="I1675" s="10">
        <v>702</v>
      </c>
    </row>
    <row r="1676" spans="1:9" x14ac:dyDescent="0.2">
      <c r="A1676" s="10">
        <v>6712</v>
      </c>
      <c r="B1676" s="10">
        <v>61</v>
      </c>
      <c r="C1676" s="10" t="s">
        <v>2020</v>
      </c>
      <c r="D1676" s="10">
        <v>6190</v>
      </c>
      <c r="E1676" s="10" t="s">
        <v>2030</v>
      </c>
      <c r="F1676" s="11">
        <v>1614</v>
      </c>
      <c r="G1676" s="11">
        <v>1659</v>
      </c>
      <c r="H1676" s="11">
        <v>3273</v>
      </c>
      <c r="I1676" s="11">
        <v>2279</v>
      </c>
    </row>
    <row r="1677" spans="1:9" x14ac:dyDescent="0.2">
      <c r="A1677" s="10">
        <v>6712</v>
      </c>
      <c r="B1677" s="10">
        <v>61</v>
      </c>
      <c r="C1677" s="10" t="s">
        <v>2020</v>
      </c>
      <c r="D1677" s="10">
        <v>6191</v>
      </c>
      <c r="E1677" s="10" t="s">
        <v>2031</v>
      </c>
      <c r="F1677" s="11">
        <v>1001</v>
      </c>
      <c r="G1677" s="11">
        <v>1102</v>
      </c>
      <c r="H1677" s="11">
        <v>2103</v>
      </c>
      <c r="I1677" s="11">
        <v>1096</v>
      </c>
    </row>
    <row r="1678" spans="1:9" x14ac:dyDescent="0.2">
      <c r="A1678" s="10">
        <v>6712</v>
      </c>
      <c r="B1678" s="10">
        <v>61</v>
      </c>
      <c r="C1678" s="10" t="s">
        <v>2020</v>
      </c>
      <c r="D1678" s="10">
        <v>6192</v>
      </c>
      <c r="E1678" s="10" t="s">
        <v>2032</v>
      </c>
      <c r="F1678" s="11">
        <v>1178</v>
      </c>
      <c r="G1678" s="11">
        <v>1238</v>
      </c>
      <c r="H1678" s="11">
        <v>2416</v>
      </c>
      <c r="I1678" s="11">
        <v>1450</v>
      </c>
    </row>
    <row r="1679" spans="1:9" x14ac:dyDescent="0.2">
      <c r="A1679" s="10">
        <v>6712</v>
      </c>
      <c r="B1679" s="10">
        <v>61</v>
      </c>
      <c r="C1679" s="10" t="s">
        <v>2020</v>
      </c>
      <c r="D1679" s="10">
        <v>6193</v>
      </c>
      <c r="E1679" s="10" t="s">
        <v>2033</v>
      </c>
      <c r="F1679" s="10">
        <v>263</v>
      </c>
      <c r="G1679" s="10">
        <v>305</v>
      </c>
      <c r="H1679" s="10">
        <v>568</v>
      </c>
      <c r="I1679" s="10">
        <v>354</v>
      </c>
    </row>
    <row r="1680" spans="1:9" x14ac:dyDescent="0.2">
      <c r="A1680" s="10">
        <v>6712</v>
      </c>
      <c r="B1680" s="10">
        <v>61</v>
      </c>
      <c r="C1680" s="10" t="s">
        <v>2020</v>
      </c>
      <c r="D1680" s="10">
        <v>6194</v>
      </c>
      <c r="E1680" s="10" t="s">
        <v>2034</v>
      </c>
      <c r="F1680" s="11">
        <v>1245</v>
      </c>
      <c r="G1680" s="11">
        <v>1414</v>
      </c>
      <c r="H1680" s="11">
        <v>2659</v>
      </c>
      <c r="I1680" s="11">
        <v>1994</v>
      </c>
    </row>
    <row r="1681" spans="1:9" x14ac:dyDescent="0.2">
      <c r="A1681" s="10">
        <v>6712</v>
      </c>
      <c r="B1681" s="10">
        <v>61</v>
      </c>
      <c r="C1681" s="10" t="s">
        <v>2020</v>
      </c>
      <c r="D1681" s="10">
        <v>6195</v>
      </c>
      <c r="E1681" s="10" t="s">
        <v>2035</v>
      </c>
      <c r="F1681" s="11">
        <v>2889</v>
      </c>
      <c r="G1681" s="11">
        <v>3167</v>
      </c>
      <c r="H1681" s="11">
        <v>6056</v>
      </c>
      <c r="I1681" s="11">
        <v>2484</v>
      </c>
    </row>
    <row r="1682" spans="1:9" x14ac:dyDescent="0.2">
      <c r="A1682" s="10">
        <v>6712</v>
      </c>
      <c r="B1682" s="10">
        <v>61</v>
      </c>
      <c r="C1682" s="10" t="s">
        <v>2020</v>
      </c>
      <c r="D1682" s="10">
        <v>6196</v>
      </c>
      <c r="E1682" s="10" t="s">
        <v>2036</v>
      </c>
      <c r="F1682" s="10">
        <v>748</v>
      </c>
      <c r="G1682" s="10">
        <v>820</v>
      </c>
      <c r="H1682" s="11">
        <v>1568</v>
      </c>
      <c r="I1682" s="11">
        <v>1028</v>
      </c>
    </row>
    <row r="1683" spans="1:9" x14ac:dyDescent="0.2">
      <c r="A1683" s="10">
        <v>6712</v>
      </c>
      <c r="B1683" s="10">
        <v>61</v>
      </c>
      <c r="C1683" s="10" t="s">
        <v>2020</v>
      </c>
      <c r="D1683" s="10">
        <v>6197</v>
      </c>
      <c r="E1683" s="10" t="s">
        <v>2037</v>
      </c>
      <c r="F1683" s="11">
        <v>4122</v>
      </c>
      <c r="G1683" s="11">
        <v>4494</v>
      </c>
      <c r="H1683" s="11">
        <v>8616</v>
      </c>
      <c r="I1683" s="11">
        <v>3836</v>
      </c>
    </row>
    <row r="1684" spans="1:9" x14ac:dyDescent="0.2">
      <c r="A1684" s="10">
        <v>6712</v>
      </c>
      <c r="B1684" s="10">
        <v>61</v>
      </c>
      <c r="C1684" s="10" t="s">
        <v>2020</v>
      </c>
      <c r="D1684" s="10">
        <v>6198</v>
      </c>
      <c r="E1684" s="10" t="s">
        <v>2038</v>
      </c>
      <c r="F1684" s="11">
        <v>5386</v>
      </c>
      <c r="G1684" s="11">
        <v>5659</v>
      </c>
      <c r="H1684" s="11">
        <v>11045</v>
      </c>
      <c r="I1684" s="11">
        <v>3795</v>
      </c>
    </row>
    <row r="1685" spans="1:9" x14ac:dyDescent="0.2">
      <c r="A1685" s="10">
        <v>6712</v>
      </c>
      <c r="B1685" s="10">
        <v>61</v>
      </c>
      <c r="C1685" s="10" t="s">
        <v>2020</v>
      </c>
      <c r="D1685" s="10">
        <v>6199</v>
      </c>
      <c r="E1685" s="10" t="s">
        <v>2039</v>
      </c>
      <c r="F1685" s="11">
        <v>6086</v>
      </c>
      <c r="G1685" s="11">
        <v>7190</v>
      </c>
      <c r="H1685" s="11">
        <v>13276</v>
      </c>
      <c r="I1685" s="11">
        <v>9816</v>
      </c>
    </row>
    <row r="1686" spans="1:9" x14ac:dyDescent="0.2">
      <c r="A1686" s="10">
        <v>6712</v>
      </c>
      <c r="B1686" s="10">
        <v>62</v>
      </c>
      <c r="C1686" s="10" t="s">
        <v>2040</v>
      </c>
      <c r="D1686" s="10">
        <v>6201</v>
      </c>
      <c r="E1686" s="10" t="s">
        <v>2041</v>
      </c>
      <c r="F1686" s="11">
        <v>66087</v>
      </c>
      <c r="G1686" s="11">
        <v>68691</v>
      </c>
      <c r="H1686" s="11">
        <v>134778</v>
      </c>
      <c r="I1686" s="11">
        <v>55772</v>
      </c>
    </row>
    <row r="1687" spans="1:9" x14ac:dyDescent="0.2">
      <c r="A1687" s="10">
        <v>6712</v>
      </c>
      <c r="B1687" s="10">
        <v>62</v>
      </c>
      <c r="C1687" s="10" t="s">
        <v>2040</v>
      </c>
      <c r="D1687" s="10">
        <v>6202</v>
      </c>
      <c r="E1687" s="10" t="s">
        <v>2042</v>
      </c>
      <c r="F1687" s="11">
        <v>22013</v>
      </c>
      <c r="G1687" s="11">
        <v>22412</v>
      </c>
      <c r="H1687" s="11">
        <v>44425</v>
      </c>
      <c r="I1687" s="11">
        <v>15521</v>
      </c>
    </row>
    <row r="1688" spans="1:9" x14ac:dyDescent="0.2">
      <c r="A1688" s="10">
        <v>6712</v>
      </c>
      <c r="B1688" s="10">
        <v>62</v>
      </c>
      <c r="C1688" s="10" t="s">
        <v>2040</v>
      </c>
      <c r="D1688" s="10">
        <v>6203</v>
      </c>
      <c r="E1688" s="10" t="s">
        <v>2043</v>
      </c>
      <c r="F1688" s="11">
        <v>19903</v>
      </c>
      <c r="G1688" s="11">
        <v>19460</v>
      </c>
      <c r="H1688" s="11">
        <v>39363</v>
      </c>
      <c r="I1688" s="11">
        <v>15701</v>
      </c>
    </row>
    <row r="1689" spans="1:9" x14ac:dyDescent="0.2">
      <c r="A1689" s="10">
        <v>6712</v>
      </c>
      <c r="B1689" s="10">
        <v>62</v>
      </c>
      <c r="C1689" s="10" t="s">
        <v>2040</v>
      </c>
      <c r="D1689" s="10">
        <v>6204</v>
      </c>
      <c r="E1689" s="10" t="s">
        <v>2044</v>
      </c>
      <c r="F1689" s="11">
        <v>33394</v>
      </c>
      <c r="G1689" s="11">
        <v>33970</v>
      </c>
      <c r="H1689" s="11">
        <v>67364</v>
      </c>
      <c r="I1689" s="11">
        <v>26662</v>
      </c>
    </row>
    <row r="1690" spans="1:9" x14ac:dyDescent="0.2">
      <c r="A1690" s="10">
        <v>6712</v>
      </c>
      <c r="B1690" s="10">
        <v>62</v>
      </c>
      <c r="C1690" s="10" t="s">
        <v>2040</v>
      </c>
      <c r="D1690" s="10">
        <v>6205</v>
      </c>
      <c r="E1690" s="10" t="s">
        <v>2045</v>
      </c>
      <c r="F1690" s="11">
        <v>26805</v>
      </c>
      <c r="G1690" s="11">
        <v>27926</v>
      </c>
      <c r="H1690" s="11">
        <v>54731</v>
      </c>
      <c r="I1690" s="11">
        <v>24394</v>
      </c>
    </row>
    <row r="1691" spans="1:9" x14ac:dyDescent="0.2">
      <c r="A1691" s="10">
        <v>6712</v>
      </c>
      <c r="B1691" s="10">
        <v>62</v>
      </c>
      <c r="C1691" s="10" t="s">
        <v>2040</v>
      </c>
      <c r="D1691" s="10">
        <v>6206</v>
      </c>
      <c r="E1691" s="10" t="s">
        <v>2046</v>
      </c>
      <c r="F1691" s="11">
        <v>24025</v>
      </c>
      <c r="G1691" s="11">
        <v>24196</v>
      </c>
      <c r="H1691" s="11">
        <v>48221</v>
      </c>
      <c r="I1691" s="11">
        <v>16841</v>
      </c>
    </row>
    <row r="1692" spans="1:9" x14ac:dyDescent="0.2">
      <c r="A1692" s="10">
        <v>6712</v>
      </c>
      <c r="B1692" s="10">
        <v>62</v>
      </c>
      <c r="C1692" s="10" t="s">
        <v>2040</v>
      </c>
      <c r="D1692" s="10">
        <v>6207</v>
      </c>
      <c r="E1692" s="10" t="s">
        <v>2047</v>
      </c>
      <c r="F1692" s="11">
        <v>16073</v>
      </c>
      <c r="G1692" s="11">
        <v>16156</v>
      </c>
      <c r="H1692" s="11">
        <v>32229</v>
      </c>
      <c r="I1692" s="11">
        <v>11655</v>
      </c>
    </row>
    <row r="1693" spans="1:9" x14ac:dyDescent="0.2">
      <c r="A1693" s="10">
        <v>6712</v>
      </c>
      <c r="B1693" s="10">
        <v>62</v>
      </c>
      <c r="C1693" s="10" t="s">
        <v>2040</v>
      </c>
      <c r="D1693" s="10">
        <v>6208</v>
      </c>
      <c r="E1693" s="10" t="s">
        <v>2048</v>
      </c>
      <c r="F1693" s="11">
        <v>6819</v>
      </c>
      <c r="G1693" s="11">
        <v>6866</v>
      </c>
      <c r="H1693" s="11">
        <v>13685</v>
      </c>
      <c r="I1693" s="11">
        <v>4314</v>
      </c>
    </row>
    <row r="1694" spans="1:9" x14ac:dyDescent="0.2">
      <c r="A1694" s="10">
        <v>6712</v>
      </c>
      <c r="B1694" s="10">
        <v>62</v>
      </c>
      <c r="C1694" s="10" t="s">
        <v>2040</v>
      </c>
      <c r="D1694" s="10">
        <v>6209</v>
      </c>
      <c r="E1694" s="10" t="s">
        <v>2049</v>
      </c>
      <c r="F1694" s="11">
        <v>14877</v>
      </c>
      <c r="G1694" s="11">
        <v>14905</v>
      </c>
      <c r="H1694" s="11">
        <v>29782</v>
      </c>
      <c r="I1694" s="11">
        <v>11693</v>
      </c>
    </row>
    <row r="1695" spans="1:9" x14ac:dyDescent="0.2">
      <c r="A1695" s="10">
        <v>6712</v>
      </c>
      <c r="B1695" s="10">
        <v>62</v>
      </c>
      <c r="C1695" s="10" t="s">
        <v>2040</v>
      </c>
      <c r="D1695" s="10">
        <v>6210</v>
      </c>
      <c r="E1695" s="10" t="s">
        <v>2050</v>
      </c>
      <c r="F1695" s="11">
        <v>8958</v>
      </c>
      <c r="G1695" s="11">
        <v>9030</v>
      </c>
      <c r="H1695" s="11">
        <v>17988</v>
      </c>
      <c r="I1695" s="11">
        <v>7609</v>
      </c>
    </row>
    <row r="1696" spans="1:9" x14ac:dyDescent="0.2">
      <c r="A1696" s="10">
        <v>6712</v>
      </c>
      <c r="B1696" s="10">
        <v>62</v>
      </c>
      <c r="C1696" s="10" t="s">
        <v>2040</v>
      </c>
      <c r="D1696" s="10">
        <v>6211</v>
      </c>
      <c r="E1696" s="10" t="s">
        <v>2051</v>
      </c>
      <c r="F1696" s="11">
        <v>13768</v>
      </c>
      <c r="G1696" s="11">
        <v>13764</v>
      </c>
      <c r="H1696" s="11">
        <v>27532</v>
      </c>
      <c r="I1696" s="11">
        <v>11187</v>
      </c>
    </row>
    <row r="1697" spans="1:9" x14ac:dyDescent="0.2">
      <c r="A1697" s="10">
        <v>6712</v>
      </c>
      <c r="B1697" s="10">
        <v>62</v>
      </c>
      <c r="C1697" s="10" t="s">
        <v>2040</v>
      </c>
      <c r="D1697" s="10">
        <v>6278</v>
      </c>
      <c r="E1697" s="10" t="s">
        <v>2052</v>
      </c>
      <c r="F1697" s="11">
        <v>8616</v>
      </c>
      <c r="G1697" s="11">
        <v>8709</v>
      </c>
      <c r="H1697" s="11">
        <v>17325</v>
      </c>
      <c r="I1697" s="11">
        <v>6982</v>
      </c>
    </row>
    <row r="1698" spans="1:9" x14ac:dyDescent="0.2">
      <c r="A1698" s="10">
        <v>6712</v>
      </c>
      <c r="B1698" s="10">
        <v>62</v>
      </c>
      <c r="C1698" s="10" t="s">
        <v>2040</v>
      </c>
      <c r="D1698" s="10">
        <v>6279</v>
      </c>
      <c r="E1698" s="10" t="s">
        <v>2053</v>
      </c>
      <c r="F1698" s="11">
        <v>3535</v>
      </c>
      <c r="G1698" s="11">
        <v>3535</v>
      </c>
      <c r="H1698" s="11">
        <v>7070</v>
      </c>
      <c r="I1698" s="11">
        <v>3056</v>
      </c>
    </row>
    <row r="1699" spans="1:9" x14ac:dyDescent="0.2">
      <c r="A1699" s="10">
        <v>6712</v>
      </c>
      <c r="B1699" s="10">
        <v>62</v>
      </c>
      <c r="C1699" s="10" t="s">
        <v>2040</v>
      </c>
      <c r="D1699" s="10">
        <v>6280</v>
      </c>
      <c r="E1699" s="10" t="s">
        <v>2054</v>
      </c>
      <c r="F1699" s="11">
        <v>3497</v>
      </c>
      <c r="G1699" s="11">
        <v>3647</v>
      </c>
      <c r="H1699" s="11">
        <v>7144</v>
      </c>
      <c r="I1699" s="11">
        <v>3720</v>
      </c>
    </row>
    <row r="1700" spans="1:9" x14ac:dyDescent="0.2">
      <c r="A1700" s="10">
        <v>6712</v>
      </c>
      <c r="B1700" s="10">
        <v>62</v>
      </c>
      <c r="C1700" s="10" t="s">
        <v>2040</v>
      </c>
      <c r="D1700" s="10">
        <v>6281</v>
      </c>
      <c r="E1700" s="10" t="s">
        <v>2055</v>
      </c>
      <c r="F1700" s="11">
        <v>2802</v>
      </c>
      <c r="G1700" s="11">
        <v>2947</v>
      </c>
      <c r="H1700" s="11">
        <v>5749</v>
      </c>
      <c r="I1700" s="11">
        <v>2322</v>
      </c>
    </row>
    <row r="1701" spans="1:9" x14ac:dyDescent="0.2">
      <c r="A1701" s="10">
        <v>6712</v>
      </c>
      <c r="B1701" s="10">
        <v>62</v>
      </c>
      <c r="C1701" s="10" t="s">
        <v>2040</v>
      </c>
      <c r="D1701" s="10">
        <v>6282</v>
      </c>
      <c r="E1701" s="10" t="s">
        <v>2056</v>
      </c>
      <c r="F1701" s="11">
        <v>4416</v>
      </c>
      <c r="G1701" s="11">
        <v>4585</v>
      </c>
      <c r="H1701" s="11">
        <v>9001</v>
      </c>
      <c r="I1701" s="11">
        <v>3758</v>
      </c>
    </row>
    <row r="1702" spans="1:9" x14ac:dyDescent="0.2">
      <c r="A1702" s="10">
        <v>6712</v>
      </c>
      <c r="B1702" s="10">
        <v>62</v>
      </c>
      <c r="C1702" s="10" t="s">
        <v>2040</v>
      </c>
      <c r="D1702" s="10">
        <v>6283</v>
      </c>
      <c r="E1702" s="10" t="s">
        <v>2057</v>
      </c>
      <c r="F1702" s="11">
        <v>2622</v>
      </c>
      <c r="G1702" s="11">
        <v>2730</v>
      </c>
      <c r="H1702" s="11">
        <v>5352</v>
      </c>
      <c r="I1702" s="11">
        <v>2170</v>
      </c>
    </row>
    <row r="1703" spans="1:9" x14ac:dyDescent="0.2">
      <c r="A1703" s="10">
        <v>6712</v>
      </c>
      <c r="B1703" s="10">
        <v>62</v>
      </c>
      <c r="C1703" s="10" t="s">
        <v>2040</v>
      </c>
      <c r="D1703" s="10">
        <v>6284</v>
      </c>
      <c r="E1703" s="10" t="s">
        <v>2058</v>
      </c>
      <c r="F1703" s="11">
        <v>4133</v>
      </c>
      <c r="G1703" s="11">
        <v>4337</v>
      </c>
      <c r="H1703" s="11">
        <v>8470</v>
      </c>
      <c r="I1703" s="11">
        <v>3379</v>
      </c>
    </row>
    <row r="1704" spans="1:9" x14ac:dyDescent="0.2">
      <c r="A1704" s="10">
        <v>6712</v>
      </c>
      <c r="B1704" s="10">
        <v>62</v>
      </c>
      <c r="C1704" s="10" t="s">
        <v>2040</v>
      </c>
      <c r="D1704" s="10">
        <v>6285</v>
      </c>
      <c r="E1704" s="10" t="s">
        <v>2059</v>
      </c>
      <c r="F1704" s="11">
        <v>9772</v>
      </c>
      <c r="G1704" s="11">
        <v>10350</v>
      </c>
      <c r="H1704" s="11">
        <v>20122</v>
      </c>
      <c r="I1704" s="11">
        <v>8895</v>
      </c>
    </row>
    <row r="1705" spans="1:9" x14ac:dyDescent="0.2">
      <c r="A1705" s="10">
        <v>6712</v>
      </c>
      <c r="B1705" s="10">
        <v>62</v>
      </c>
      <c r="C1705" s="10" t="s">
        <v>2040</v>
      </c>
      <c r="D1705" s="10">
        <v>6286</v>
      </c>
      <c r="E1705" s="10" t="s">
        <v>2060</v>
      </c>
      <c r="F1705" s="11">
        <v>10809</v>
      </c>
      <c r="G1705" s="11">
        <v>11268</v>
      </c>
      <c r="H1705" s="11">
        <v>22077</v>
      </c>
      <c r="I1705" s="11">
        <v>8793</v>
      </c>
    </row>
    <row r="1706" spans="1:9" x14ac:dyDescent="0.2">
      <c r="A1706" s="10">
        <v>6712</v>
      </c>
      <c r="B1706" s="10">
        <v>62</v>
      </c>
      <c r="C1706" s="10" t="s">
        <v>2040</v>
      </c>
      <c r="D1706" s="10">
        <v>6287</v>
      </c>
      <c r="E1706" s="10" t="s">
        <v>2061</v>
      </c>
      <c r="F1706" s="11">
        <v>2841</v>
      </c>
      <c r="G1706" s="11">
        <v>2854</v>
      </c>
      <c r="H1706" s="11">
        <v>5695</v>
      </c>
      <c r="I1706" s="11">
        <v>1837</v>
      </c>
    </row>
    <row r="1707" spans="1:9" x14ac:dyDescent="0.2">
      <c r="A1707" s="10">
        <v>6712</v>
      </c>
      <c r="B1707" s="10">
        <v>62</v>
      </c>
      <c r="C1707" s="10" t="s">
        <v>2040</v>
      </c>
      <c r="D1707" s="10">
        <v>6288</v>
      </c>
      <c r="E1707" s="10" t="s">
        <v>2062</v>
      </c>
      <c r="F1707" s="11">
        <v>2119</v>
      </c>
      <c r="G1707" s="11">
        <v>2191</v>
      </c>
      <c r="H1707" s="11">
        <v>4310</v>
      </c>
      <c r="I1707" s="11">
        <v>2649</v>
      </c>
    </row>
    <row r="1708" spans="1:9" x14ac:dyDescent="0.2">
      <c r="A1708" s="10">
        <v>6712</v>
      </c>
      <c r="B1708" s="10">
        <v>62</v>
      </c>
      <c r="C1708" s="10" t="s">
        <v>2040</v>
      </c>
      <c r="D1708" s="10">
        <v>6289</v>
      </c>
      <c r="E1708" s="10" t="s">
        <v>2063</v>
      </c>
      <c r="F1708" s="11">
        <v>3938</v>
      </c>
      <c r="G1708" s="11">
        <v>4307</v>
      </c>
      <c r="H1708" s="11">
        <v>8245</v>
      </c>
      <c r="I1708" s="11">
        <v>3782</v>
      </c>
    </row>
    <row r="1709" spans="1:9" x14ac:dyDescent="0.2">
      <c r="A1709" s="10">
        <v>6712</v>
      </c>
      <c r="B1709" s="10">
        <v>62</v>
      </c>
      <c r="C1709" s="10" t="s">
        <v>2040</v>
      </c>
      <c r="D1709" s="10">
        <v>6290</v>
      </c>
      <c r="E1709" s="10" t="s">
        <v>2064</v>
      </c>
      <c r="F1709" s="11">
        <v>1769</v>
      </c>
      <c r="G1709" s="11">
        <v>1901</v>
      </c>
      <c r="H1709" s="11">
        <v>3670</v>
      </c>
      <c r="I1709" s="11">
        <v>2081</v>
      </c>
    </row>
    <row r="1710" spans="1:9" x14ac:dyDescent="0.2">
      <c r="A1710" s="10">
        <v>6712</v>
      </c>
      <c r="B1710" s="10">
        <v>62</v>
      </c>
      <c r="C1710" s="10" t="s">
        <v>2040</v>
      </c>
      <c r="D1710" s="10">
        <v>6291</v>
      </c>
      <c r="E1710" s="10" t="s">
        <v>2065</v>
      </c>
      <c r="F1710" s="10">
        <v>718</v>
      </c>
      <c r="G1710" s="10">
        <v>749</v>
      </c>
      <c r="H1710" s="11">
        <v>1467</v>
      </c>
      <c r="I1710" s="10">
        <v>660</v>
      </c>
    </row>
    <row r="1711" spans="1:9" x14ac:dyDescent="0.2">
      <c r="A1711" s="10">
        <v>6712</v>
      </c>
      <c r="B1711" s="10">
        <v>62</v>
      </c>
      <c r="C1711" s="10" t="s">
        <v>2040</v>
      </c>
      <c r="D1711" s="10">
        <v>6292</v>
      </c>
      <c r="E1711" s="10" t="s">
        <v>2066</v>
      </c>
      <c r="F1711" s="10">
        <v>935</v>
      </c>
      <c r="G1711" s="10">
        <v>960</v>
      </c>
      <c r="H1711" s="11">
        <v>1895</v>
      </c>
      <c r="I1711" s="11">
        <v>1040</v>
      </c>
    </row>
    <row r="1712" spans="1:9" x14ac:dyDescent="0.2">
      <c r="A1712" s="10">
        <v>6712</v>
      </c>
      <c r="B1712" s="10">
        <v>62</v>
      </c>
      <c r="C1712" s="10" t="s">
        <v>2040</v>
      </c>
      <c r="D1712" s="10">
        <v>6293</v>
      </c>
      <c r="E1712" s="10" t="s">
        <v>2067</v>
      </c>
      <c r="F1712" s="11">
        <v>3729</v>
      </c>
      <c r="G1712" s="11">
        <v>4097</v>
      </c>
      <c r="H1712" s="11">
        <v>7826</v>
      </c>
      <c r="I1712" s="11">
        <v>4552</v>
      </c>
    </row>
    <row r="1713" spans="1:9" x14ac:dyDescent="0.2">
      <c r="A1713" s="10">
        <v>6712</v>
      </c>
      <c r="B1713" s="10">
        <v>62</v>
      </c>
      <c r="C1713" s="10" t="s">
        <v>2040</v>
      </c>
      <c r="D1713" s="10">
        <v>6294</v>
      </c>
      <c r="E1713" s="10" t="s">
        <v>2068</v>
      </c>
      <c r="F1713" s="11">
        <v>3733</v>
      </c>
      <c r="G1713" s="11">
        <v>4004</v>
      </c>
      <c r="H1713" s="11">
        <v>7737</v>
      </c>
      <c r="I1713" s="11">
        <v>3539</v>
      </c>
    </row>
    <row r="1714" spans="1:9" x14ac:dyDescent="0.2">
      <c r="A1714" s="10">
        <v>6712</v>
      </c>
      <c r="B1714" s="10">
        <v>62</v>
      </c>
      <c r="C1714" s="10" t="s">
        <v>2040</v>
      </c>
      <c r="D1714" s="10">
        <v>6295</v>
      </c>
      <c r="E1714" s="10" t="s">
        <v>2069</v>
      </c>
      <c r="F1714" s="11">
        <v>2319</v>
      </c>
      <c r="G1714" s="11">
        <v>2555</v>
      </c>
      <c r="H1714" s="11">
        <v>4874</v>
      </c>
      <c r="I1714" s="11">
        <v>2583</v>
      </c>
    </row>
    <row r="1715" spans="1:9" x14ac:dyDescent="0.2">
      <c r="A1715" s="10">
        <v>6712</v>
      </c>
      <c r="B1715" s="10">
        <v>62</v>
      </c>
      <c r="C1715" s="10" t="s">
        <v>2040</v>
      </c>
      <c r="D1715" s="10">
        <v>6296</v>
      </c>
      <c r="E1715" s="10" t="s">
        <v>2070</v>
      </c>
      <c r="F1715" s="11">
        <v>1478</v>
      </c>
      <c r="G1715" s="11">
        <v>1619</v>
      </c>
      <c r="H1715" s="11">
        <v>3097</v>
      </c>
      <c r="I1715" s="11">
        <v>1365</v>
      </c>
    </row>
    <row r="1716" spans="1:9" x14ac:dyDescent="0.2">
      <c r="A1716" s="10">
        <v>6712</v>
      </c>
      <c r="B1716" s="10">
        <v>62</v>
      </c>
      <c r="C1716" s="10" t="s">
        <v>2040</v>
      </c>
      <c r="D1716" s="10">
        <v>6297</v>
      </c>
      <c r="E1716" s="10" t="s">
        <v>2071</v>
      </c>
      <c r="F1716" s="11">
        <v>3106</v>
      </c>
      <c r="G1716" s="11">
        <v>3518</v>
      </c>
      <c r="H1716" s="11">
        <v>6624</v>
      </c>
      <c r="I1716" s="11">
        <v>3593</v>
      </c>
    </row>
    <row r="1717" spans="1:9" x14ac:dyDescent="0.2">
      <c r="A1717" s="10">
        <v>6712</v>
      </c>
      <c r="B1717" s="10">
        <v>62</v>
      </c>
      <c r="C1717" s="10" t="s">
        <v>2040</v>
      </c>
      <c r="D1717" s="10">
        <v>6298</v>
      </c>
      <c r="E1717" s="10" t="s">
        <v>2072</v>
      </c>
      <c r="F1717" s="11">
        <v>2776</v>
      </c>
      <c r="G1717" s="11">
        <v>2923</v>
      </c>
      <c r="H1717" s="11">
        <v>5699</v>
      </c>
      <c r="I1717" s="11">
        <v>2533</v>
      </c>
    </row>
    <row r="1718" spans="1:9" x14ac:dyDescent="0.2">
      <c r="A1718" s="10">
        <v>6712</v>
      </c>
      <c r="B1718" s="10">
        <v>62</v>
      </c>
      <c r="C1718" s="10" t="s">
        <v>2040</v>
      </c>
      <c r="D1718" s="10">
        <v>6299</v>
      </c>
      <c r="E1718" s="10" t="s">
        <v>2073</v>
      </c>
      <c r="F1718" s="11">
        <v>12781</v>
      </c>
      <c r="G1718" s="11">
        <v>14534</v>
      </c>
      <c r="H1718" s="11">
        <v>27315</v>
      </c>
      <c r="I1718" s="11">
        <v>16911</v>
      </c>
    </row>
    <row r="1719" spans="1:9" x14ac:dyDescent="0.2">
      <c r="A1719" s="10">
        <v>6712</v>
      </c>
      <c r="B1719" s="10">
        <v>63</v>
      </c>
      <c r="C1719" s="10" t="s">
        <v>2074</v>
      </c>
      <c r="D1719" s="10">
        <v>6301</v>
      </c>
      <c r="E1719" s="10" t="s">
        <v>2075</v>
      </c>
      <c r="F1719" s="11">
        <v>36761</v>
      </c>
      <c r="G1719" s="11">
        <v>37458</v>
      </c>
      <c r="H1719" s="11">
        <v>74219</v>
      </c>
      <c r="I1719" s="11">
        <v>29973</v>
      </c>
    </row>
    <row r="1720" spans="1:9" x14ac:dyDescent="0.2">
      <c r="A1720" s="10">
        <v>6712</v>
      </c>
      <c r="B1720" s="10">
        <v>63</v>
      </c>
      <c r="C1720" s="10" t="s">
        <v>2074</v>
      </c>
      <c r="D1720" s="10">
        <v>6302</v>
      </c>
      <c r="E1720" s="10" t="s">
        <v>2076</v>
      </c>
      <c r="F1720" s="11">
        <v>15192</v>
      </c>
      <c r="G1720" s="11">
        <v>15558</v>
      </c>
      <c r="H1720" s="11">
        <v>30750</v>
      </c>
      <c r="I1720" s="11">
        <v>11386</v>
      </c>
    </row>
    <row r="1721" spans="1:9" x14ac:dyDescent="0.2">
      <c r="A1721" s="10">
        <v>6712</v>
      </c>
      <c r="B1721" s="10">
        <v>63</v>
      </c>
      <c r="C1721" s="10" t="s">
        <v>2074</v>
      </c>
      <c r="D1721" s="10">
        <v>6303</v>
      </c>
      <c r="E1721" s="10" t="s">
        <v>2077</v>
      </c>
      <c r="F1721" s="11">
        <v>12327</v>
      </c>
      <c r="G1721" s="11">
        <v>12661</v>
      </c>
      <c r="H1721" s="11">
        <v>24988</v>
      </c>
      <c r="I1721" s="11">
        <v>9820</v>
      </c>
    </row>
    <row r="1722" spans="1:9" x14ac:dyDescent="0.2">
      <c r="A1722" s="10">
        <v>6712</v>
      </c>
      <c r="B1722" s="10">
        <v>63</v>
      </c>
      <c r="C1722" s="10" t="s">
        <v>2074</v>
      </c>
      <c r="D1722" s="10">
        <v>6304</v>
      </c>
      <c r="E1722" s="10" t="s">
        <v>2078</v>
      </c>
      <c r="F1722" s="11">
        <v>26265</v>
      </c>
      <c r="G1722" s="11">
        <v>24932</v>
      </c>
      <c r="H1722" s="11">
        <v>51197</v>
      </c>
      <c r="I1722" s="11">
        <v>17900</v>
      </c>
    </row>
    <row r="1723" spans="1:9" x14ac:dyDescent="0.2">
      <c r="A1723" s="10">
        <v>6712</v>
      </c>
      <c r="B1723" s="10">
        <v>63</v>
      </c>
      <c r="C1723" s="10" t="s">
        <v>2074</v>
      </c>
      <c r="D1723" s="10">
        <v>6305</v>
      </c>
      <c r="E1723" s="10" t="s">
        <v>2079</v>
      </c>
      <c r="F1723" s="11">
        <v>49437</v>
      </c>
      <c r="G1723" s="11">
        <v>46717</v>
      </c>
      <c r="H1723" s="11">
        <v>96154</v>
      </c>
      <c r="I1723" s="11">
        <v>25740</v>
      </c>
    </row>
    <row r="1724" spans="1:9" x14ac:dyDescent="0.2">
      <c r="A1724" s="10">
        <v>6712</v>
      </c>
      <c r="B1724" s="10">
        <v>63</v>
      </c>
      <c r="C1724" s="10" t="s">
        <v>2074</v>
      </c>
      <c r="D1724" s="10">
        <v>6306</v>
      </c>
      <c r="E1724" s="10" t="s">
        <v>2080</v>
      </c>
      <c r="F1724" s="11">
        <v>53030</v>
      </c>
      <c r="G1724" s="11">
        <v>51965</v>
      </c>
      <c r="H1724" s="11">
        <v>104995</v>
      </c>
      <c r="I1724" s="11">
        <v>40494</v>
      </c>
    </row>
    <row r="1725" spans="1:9" x14ac:dyDescent="0.2">
      <c r="A1725" s="10">
        <v>6712</v>
      </c>
      <c r="B1725" s="10">
        <v>63</v>
      </c>
      <c r="C1725" s="10" t="s">
        <v>2074</v>
      </c>
      <c r="D1725" s="10">
        <v>6307</v>
      </c>
      <c r="E1725" s="10" t="s">
        <v>2081</v>
      </c>
      <c r="F1725" s="11">
        <v>47042</v>
      </c>
      <c r="G1725" s="11">
        <v>45272</v>
      </c>
      <c r="H1725" s="11">
        <v>92314</v>
      </c>
      <c r="I1725" s="11">
        <v>22051</v>
      </c>
    </row>
    <row r="1726" spans="1:9" x14ac:dyDescent="0.2">
      <c r="A1726" s="10">
        <v>6712</v>
      </c>
      <c r="B1726" s="10">
        <v>63</v>
      </c>
      <c r="C1726" s="10" t="s">
        <v>2074</v>
      </c>
      <c r="D1726" s="10">
        <v>6308</v>
      </c>
      <c r="E1726" s="10" t="s">
        <v>2082</v>
      </c>
      <c r="F1726" s="11">
        <v>24541</v>
      </c>
      <c r="G1726" s="11">
        <v>22687</v>
      </c>
      <c r="H1726" s="11">
        <v>47228</v>
      </c>
      <c r="I1726" s="11">
        <v>12341</v>
      </c>
    </row>
    <row r="1727" spans="1:9" x14ac:dyDescent="0.2">
      <c r="A1727" s="10">
        <v>6712</v>
      </c>
      <c r="B1727" s="10">
        <v>63</v>
      </c>
      <c r="C1727" s="10" t="s">
        <v>2074</v>
      </c>
      <c r="D1727" s="10">
        <v>6309</v>
      </c>
      <c r="E1727" s="10" t="s">
        <v>2083</v>
      </c>
      <c r="F1727" s="11">
        <v>15328</v>
      </c>
      <c r="G1727" s="11">
        <v>15221</v>
      </c>
      <c r="H1727" s="11">
        <v>30549</v>
      </c>
      <c r="I1727" s="11">
        <v>9746</v>
      </c>
    </row>
    <row r="1728" spans="1:9" x14ac:dyDescent="0.2">
      <c r="A1728" s="10">
        <v>6712</v>
      </c>
      <c r="B1728" s="10">
        <v>63</v>
      </c>
      <c r="C1728" s="10" t="s">
        <v>2074</v>
      </c>
      <c r="D1728" s="10">
        <v>6386</v>
      </c>
      <c r="E1728" s="10" t="s">
        <v>2084</v>
      </c>
      <c r="F1728" s="11">
        <v>6259</v>
      </c>
      <c r="G1728" s="11">
        <v>5190</v>
      </c>
      <c r="H1728" s="11">
        <v>11449</v>
      </c>
      <c r="I1728" s="11">
        <v>6594</v>
      </c>
    </row>
    <row r="1729" spans="1:9" x14ac:dyDescent="0.2">
      <c r="A1729" s="10">
        <v>6712</v>
      </c>
      <c r="B1729" s="10">
        <v>63</v>
      </c>
      <c r="C1729" s="10" t="s">
        <v>2074</v>
      </c>
      <c r="D1729" s="10">
        <v>6387</v>
      </c>
      <c r="E1729" s="10" t="s">
        <v>2085</v>
      </c>
      <c r="F1729" s="11">
        <v>2090</v>
      </c>
      <c r="G1729" s="11">
        <v>2086</v>
      </c>
      <c r="H1729" s="11">
        <v>4176</v>
      </c>
      <c r="I1729" s="11">
        <v>2012</v>
      </c>
    </row>
    <row r="1730" spans="1:9" x14ac:dyDescent="0.2">
      <c r="A1730" s="10">
        <v>6712</v>
      </c>
      <c r="B1730" s="10">
        <v>63</v>
      </c>
      <c r="C1730" s="10" t="s">
        <v>2074</v>
      </c>
      <c r="D1730" s="10">
        <v>6388</v>
      </c>
      <c r="E1730" s="10" t="s">
        <v>2086</v>
      </c>
      <c r="F1730" s="11">
        <v>2573</v>
      </c>
      <c r="G1730" s="11">
        <v>2405</v>
      </c>
      <c r="H1730" s="11">
        <v>4978</v>
      </c>
      <c r="I1730" s="10">
        <v>950</v>
      </c>
    </row>
    <row r="1731" spans="1:9" x14ac:dyDescent="0.2">
      <c r="A1731" s="10">
        <v>6712</v>
      </c>
      <c r="B1731" s="10">
        <v>63</v>
      </c>
      <c r="C1731" s="10" t="s">
        <v>2074</v>
      </c>
      <c r="D1731" s="10">
        <v>6389</v>
      </c>
      <c r="E1731" s="10" t="s">
        <v>2087</v>
      </c>
      <c r="F1731" s="11">
        <v>3668</v>
      </c>
      <c r="G1731" s="11">
        <v>3468</v>
      </c>
      <c r="H1731" s="11">
        <v>7136</v>
      </c>
      <c r="I1731" s="11">
        <v>3002</v>
      </c>
    </row>
    <row r="1732" spans="1:9" x14ac:dyDescent="0.2">
      <c r="A1732" s="10">
        <v>6712</v>
      </c>
      <c r="B1732" s="10">
        <v>63</v>
      </c>
      <c r="C1732" s="10" t="s">
        <v>2074</v>
      </c>
      <c r="D1732" s="10">
        <v>6390</v>
      </c>
      <c r="E1732" s="10" t="s">
        <v>2088</v>
      </c>
      <c r="F1732" s="11">
        <v>3244</v>
      </c>
      <c r="G1732" s="11">
        <v>3399</v>
      </c>
      <c r="H1732" s="11">
        <v>6643</v>
      </c>
      <c r="I1732" s="11">
        <v>3269</v>
      </c>
    </row>
    <row r="1733" spans="1:9" x14ac:dyDescent="0.2">
      <c r="A1733" s="10">
        <v>6712</v>
      </c>
      <c r="B1733" s="10">
        <v>63</v>
      </c>
      <c r="C1733" s="10" t="s">
        <v>2074</v>
      </c>
      <c r="D1733" s="10">
        <v>6391</v>
      </c>
      <c r="E1733" s="10" t="s">
        <v>2089</v>
      </c>
      <c r="F1733" s="11">
        <v>12320</v>
      </c>
      <c r="G1733" s="11">
        <v>11635</v>
      </c>
      <c r="H1733" s="11">
        <v>23955</v>
      </c>
      <c r="I1733" s="11">
        <v>5075</v>
      </c>
    </row>
    <row r="1734" spans="1:9" x14ac:dyDescent="0.2">
      <c r="A1734" s="10">
        <v>6712</v>
      </c>
      <c r="B1734" s="10">
        <v>63</v>
      </c>
      <c r="C1734" s="10" t="s">
        <v>2074</v>
      </c>
      <c r="D1734" s="10">
        <v>6392</v>
      </c>
      <c r="E1734" s="10" t="s">
        <v>2090</v>
      </c>
      <c r="F1734" s="11">
        <v>2276</v>
      </c>
      <c r="G1734" s="11">
        <v>2333</v>
      </c>
      <c r="H1734" s="11">
        <v>4609</v>
      </c>
      <c r="I1734" s="11">
        <v>1467</v>
      </c>
    </row>
    <row r="1735" spans="1:9" x14ac:dyDescent="0.2">
      <c r="A1735" s="10">
        <v>6712</v>
      </c>
      <c r="B1735" s="10">
        <v>63</v>
      </c>
      <c r="C1735" s="10" t="s">
        <v>2074</v>
      </c>
      <c r="D1735" s="10">
        <v>6393</v>
      </c>
      <c r="E1735" s="10" t="s">
        <v>2091</v>
      </c>
      <c r="F1735" s="11">
        <v>1896</v>
      </c>
      <c r="G1735" s="11">
        <v>1928</v>
      </c>
      <c r="H1735" s="11">
        <v>3824</v>
      </c>
      <c r="I1735" s="11">
        <v>1912</v>
      </c>
    </row>
    <row r="1736" spans="1:9" x14ac:dyDescent="0.2">
      <c r="A1736" s="10">
        <v>6712</v>
      </c>
      <c r="B1736" s="10">
        <v>63</v>
      </c>
      <c r="C1736" s="10" t="s">
        <v>2074</v>
      </c>
      <c r="D1736" s="10">
        <v>6394</v>
      </c>
      <c r="E1736" s="10" t="s">
        <v>2092</v>
      </c>
      <c r="F1736" s="11">
        <v>2442</v>
      </c>
      <c r="G1736" s="11">
        <v>2596</v>
      </c>
      <c r="H1736" s="11">
        <v>5038</v>
      </c>
      <c r="I1736" s="11">
        <v>2206</v>
      </c>
    </row>
    <row r="1737" spans="1:9" x14ac:dyDescent="0.2">
      <c r="A1737" s="10">
        <v>6712</v>
      </c>
      <c r="B1737" s="10">
        <v>63</v>
      </c>
      <c r="C1737" s="10" t="s">
        <v>2074</v>
      </c>
      <c r="D1737" s="10">
        <v>6395</v>
      </c>
      <c r="E1737" s="10" t="s">
        <v>2093</v>
      </c>
      <c r="F1737" s="11">
        <v>2067</v>
      </c>
      <c r="G1737" s="11">
        <v>2292</v>
      </c>
      <c r="H1737" s="11">
        <v>4359</v>
      </c>
      <c r="I1737" s="11">
        <v>2223</v>
      </c>
    </row>
    <row r="1738" spans="1:9" x14ac:dyDescent="0.2">
      <c r="A1738" s="10">
        <v>6712</v>
      </c>
      <c r="B1738" s="10">
        <v>63</v>
      </c>
      <c r="C1738" s="10" t="s">
        <v>2074</v>
      </c>
      <c r="D1738" s="10">
        <v>6396</v>
      </c>
      <c r="E1738" s="10" t="s">
        <v>2094</v>
      </c>
      <c r="F1738" s="11">
        <v>2859</v>
      </c>
      <c r="G1738" s="11">
        <v>3379</v>
      </c>
      <c r="H1738" s="11">
        <v>6238</v>
      </c>
      <c r="I1738" s="11">
        <v>2772</v>
      </c>
    </row>
    <row r="1739" spans="1:9" x14ac:dyDescent="0.2">
      <c r="A1739" s="10">
        <v>6712</v>
      </c>
      <c r="B1739" s="10">
        <v>63</v>
      </c>
      <c r="C1739" s="10" t="s">
        <v>2074</v>
      </c>
      <c r="D1739" s="10">
        <v>6397</v>
      </c>
      <c r="E1739" s="10" t="s">
        <v>2095</v>
      </c>
      <c r="F1739" s="11">
        <v>2902</v>
      </c>
      <c r="G1739" s="11">
        <v>2964</v>
      </c>
      <c r="H1739" s="11">
        <v>5866</v>
      </c>
      <c r="I1739" s="11">
        <v>2183</v>
      </c>
    </row>
    <row r="1740" spans="1:9" x14ac:dyDescent="0.2">
      <c r="A1740" s="10">
        <v>6712</v>
      </c>
      <c r="B1740" s="10">
        <v>63</v>
      </c>
      <c r="C1740" s="10" t="s">
        <v>2074</v>
      </c>
      <c r="D1740" s="10">
        <v>6398</v>
      </c>
      <c r="E1740" s="10" t="s">
        <v>2096</v>
      </c>
      <c r="F1740" s="11">
        <v>21349</v>
      </c>
      <c r="G1740" s="11">
        <v>21525</v>
      </c>
      <c r="H1740" s="11">
        <v>42874</v>
      </c>
      <c r="I1740" s="11">
        <v>20802</v>
      </c>
    </row>
    <row r="1741" spans="1:9" x14ac:dyDescent="0.2">
      <c r="A1741" s="10">
        <v>6712</v>
      </c>
      <c r="B1741" s="10">
        <v>63</v>
      </c>
      <c r="C1741" s="10" t="s">
        <v>2074</v>
      </c>
      <c r="D1741" s="10">
        <v>6399</v>
      </c>
      <c r="E1741" s="10" t="s">
        <v>2097</v>
      </c>
      <c r="F1741" s="11">
        <v>7065</v>
      </c>
      <c r="G1741" s="11">
        <v>7993</v>
      </c>
      <c r="H1741" s="11">
        <v>15058</v>
      </c>
      <c r="I1741" s="11">
        <v>7599</v>
      </c>
    </row>
    <row r="1742" spans="1:9" x14ac:dyDescent="0.2">
      <c r="A1742" s="10">
        <v>6712</v>
      </c>
      <c r="B1742" s="10">
        <v>64</v>
      </c>
      <c r="C1742" s="10" t="s">
        <v>2098</v>
      </c>
      <c r="D1742" s="10">
        <v>6401</v>
      </c>
      <c r="E1742" s="10" t="s">
        <v>2099</v>
      </c>
      <c r="F1742" s="11">
        <v>28840</v>
      </c>
      <c r="G1742" s="11">
        <v>31136</v>
      </c>
      <c r="H1742" s="11">
        <v>59976</v>
      </c>
      <c r="I1742" s="11">
        <v>23787</v>
      </c>
    </row>
    <row r="1743" spans="1:9" x14ac:dyDescent="0.2">
      <c r="A1743" s="10">
        <v>6712</v>
      </c>
      <c r="B1743" s="10">
        <v>64</v>
      </c>
      <c r="C1743" s="10" t="s">
        <v>2098</v>
      </c>
      <c r="D1743" s="10">
        <v>6402</v>
      </c>
      <c r="E1743" s="10" t="s">
        <v>2100</v>
      </c>
      <c r="F1743" s="11">
        <v>21876</v>
      </c>
      <c r="G1743" s="11">
        <v>22173</v>
      </c>
      <c r="H1743" s="11">
        <v>44049</v>
      </c>
      <c r="I1743" s="11">
        <v>15097</v>
      </c>
    </row>
    <row r="1744" spans="1:9" x14ac:dyDescent="0.2">
      <c r="A1744" s="10">
        <v>6712</v>
      </c>
      <c r="B1744" s="10">
        <v>64</v>
      </c>
      <c r="C1744" s="10" t="s">
        <v>2098</v>
      </c>
      <c r="D1744" s="10">
        <v>6403</v>
      </c>
      <c r="E1744" s="10" t="s">
        <v>2101</v>
      </c>
      <c r="F1744" s="11">
        <v>22494</v>
      </c>
      <c r="G1744" s="11">
        <v>23070</v>
      </c>
      <c r="H1744" s="11">
        <v>45564</v>
      </c>
      <c r="I1744" s="11">
        <v>14916</v>
      </c>
    </row>
    <row r="1745" spans="1:9" x14ac:dyDescent="0.2">
      <c r="A1745" s="10">
        <v>6712</v>
      </c>
      <c r="B1745" s="10">
        <v>64</v>
      </c>
      <c r="C1745" s="10" t="s">
        <v>2098</v>
      </c>
      <c r="D1745" s="10">
        <v>6404</v>
      </c>
      <c r="E1745" s="10" t="s">
        <v>2102</v>
      </c>
      <c r="F1745" s="11">
        <v>28261</v>
      </c>
      <c r="G1745" s="11">
        <v>29822</v>
      </c>
      <c r="H1745" s="11">
        <v>58083</v>
      </c>
      <c r="I1745" s="11">
        <v>21194</v>
      </c>
    </row>
    <row r="1746" spans="1:9" x14ac:dyDescent="0.2">
      <c r="A1746" s="10">
        <v>6712</v>
      </c>
      <c r="B1746" s="10">
        <v>64</v>
      </c>
      <c r="C1746" s="10" t="s">
        <v>2098</v>
      </c>
      <c r="D1746" s="10">
        <v>6405</v>
      </c>
      <c r="E1746" s="10" t="s">
        <v>2103</v>
      </c>
      <c r="F1746" s="11">
        <v>33764</v>
      </c>
      <c r="G1746" s="11">
        <v>35097</v>
      </c>
      <c r="H1746" s="11">
        <v>68861</v>
      </c>
      <c r="I1746" s="11">
        <v>27910</v>
      </c>
    </row>
    <row r="1747" spans="1:9" x14ac:dyDescent="0.2">
      <c r="A1747" s="10">
        <v>6712</v>
      </c>
      <c r="B1747" s="10">
        <v>64</v>
      </c>
      <c r="C1747" s="10" t="s">
        <v>2098</v>
      </c>
      <c r="D1747" s="10">
        <v>6406</v>
      </c>
      <c r="E1747" s="10" t="s">
        <v>2104</v>
      </c>
      <c r="F1747" s="11">
        <v>28734</v>
      </c>
      <c r="G1747" s="11">
        <v>31204</v>
      </c>
      <c r="H1747" s="11">
        <v>59938</v>
      </c>
      <c r="I1747" s="11">
        <v>23244</v>
      </c>
    </row>
    <row r="1748" spans="1:9" x14ac:dyDescent="0.2">
      <c r="A1748" s="10">
        <v>6712</v>
      </c>
      <c r="B1748" s="10">
        <v>64</v>
      </c>
      <c r="C1748" s="10" t="s">
        <v>2098</v>
      </c>
      <c r="D1748" s="10">
        <v>6407</v>
      </c>
      <c r="E1748" s="10" t="s">
        <v>2105</v>
      </c>
      <c r="F1748" s="11">
        <v>23522</v>
      </c>
      <c r="G1748" s="11">
        <v>25651</v>
      </c>
      <c r="H1748" s="11">
        <v>49173</v>
      </c>
      <c r="I1748" s="11">
        <v>20740</v>
      </c>
    </row>
    <row r="1749" spans="1:9" x14ac:dyDescent="0.2">
      <c r="A1749" s="10">
        <v>6712</v>
      </c>
      <c r="B1749" s="10">
        <v>64</v>
      </c>
      <c r="C1749" s="10" t="s">
        <v>2098</v>
      </c>
      <c r="D1749" s="10">
        <v>6408</v>
      </c>
      <c r="E1749" s="10" t="s">
        <v>2106</v>
      </c>
      <c r="F1749" s="11">
        <v>10601</v>
      </c>
      <c r="G1749" s="11">
        <v>11306</v>
      </c>
      <c r="H1749" s="11">
        <v>21907</v>
      </c>
      <c r="I1749" s="11">
        <v>8404</v>
      </c>
    </row>
    <row r="1750" spans="1:9" x14ac:dyDescent="0.2">
      <c r="A1750" s="10">
        <v>6712</v>
      </c>
      <c r="B1750" s="10">
        <v>64</v>
      </c>
      <c r="C1750" s="10" t="s">
        <v>2098</v>
      </c>
      <c r="D1750" s="10">
        <v>6409</v>
      </c>
      <c r="E1750" s="10" t="s">
        <v>2107</v>
      </c>
      <c r="F1750" s="11">
        <v>20175</v>
      </c>
      <c r="G1750" s="11">
        <v>20797</v>
      </c>
      <c r="H1750" s="11">
        <v>40972</v>
      </c>
      <c r="I1750" s="11">
        <v>15441</v>
      </c>
    </row>
    <row r="1751" spans="1:9" x14ac:dyDescent="0.2">
      <c r="A1751" s="10">
        <v>6712</v>
      </c>
      <c r="B1751" s="10">
        <v>64</v>
      </c>
      <c r="C1751" s="10" t="s">
        <v>2098</v>
      </c>
      <c r="D1751" s="10">
        <v>6484</v>
      </c>
      <c r="E1751" s="10" t="s">
        <v>1829</v>
      </c>
      <c r="F1751" s="11">
        <v>3946</v>
      </c>
      <c r="G1751" s="11">
        <v>4136</v>
      </c>
      <c r="H1751" s="11">
        <v>8082</v>
      </c>
      <c r="I1751" s="11">
        <v>3514</v>
      </c>
    </row>
    <row r="1752" spans="1:9" x14ac:dyDescent="0.2">
      <c r="A1752" s="10">
        <v>6712</v>
      </c>
      <c r="B1752" s="10">
        <v>64</v>
      </c>
      <c r="C1752" s="10" t="s">
        <v>2098</v>
      </c>
      <c r="D1752" s="10">
        <v>6485</v>
      </c>
      <c r="E1752" s="10" t="s">
        <v>2108</v>
      </c>
      <c r="F1752" s="11">
        <v>3627</v>
      </c>
      <c r="G1752" s="11">
        <v>3902</v>
      </c>
      <c r="H1752" s="11">
        <v>7529</v>
      </c>
      <c r="I1752" s="11">
        <v>2861</v>
      </c>
    </row>
    <row r="1753" spans="1:9" x14ac:dyDescent="0.2">
      <c r="A1753" s="10">
        <v>6712</v>
      </c>
      <c r="B1753" s="10">
        <v>64</v>
      </c>
      <c r="C1753" s="10" t="s">
        <v>2098</v>
      </c>
      <c r="D1753" s="10">
        <v>6486</v>
      </c>
      <c r="E1753" s="10" t="s">
        <v>589</v>
      </c>
      <c r="F1753" s="11">
        <v>7396</v>
      </c>
      <c r="G1753" s="11">
        <v>8346</v>
      </c>
      <c r="H1753" s="11">
        <v>15742</v>
      </c>
      <c r="I1753" s="11">
        <v>7465</v>
      </c>
    </row>
    <row r="1754" spans="1:9" x14ac:dyDescent="0.2">
      <c r="A1754" s="10">
        <v>6712</v>
      </c>
      <c r="B1754" s="10">
        <v>64</v>
      </c>
      <c r="C1754" s="10" t="s">
        <v>2098</v>
      </c>
      <c r="D1754" s="10">
        <v>6487</v>
      </c>
      <c r="E1754" s="10" t="s">
        <v>2109</v>
      </c>
      <c r="F1754" s="11">
        <v>3334</v>
      </c>
      <c r="G1754" s="11">
        <v>3687</v>
      </c>
      <c r="H1754" s="11">
        <v>7021</v>
      </c>
      <c r="I1754" s="11">
        <v>3106</v>
      </c>
    </row>
    <row r="1755" spans="1:9" x14ac:dyDescent="0.2">
      <c r="A1755" s="10">
        <v>6712</v>
      </c>
      <c r="B1755" s="10">
        <v>64</v>
      </c>
      <c r="C1755" s="10" t="s">
        <v>2098</v>
      </c>
      <c r="D1755" s="10">
        <v>6488</v>
      </c>
      <c r="E1755" s="10" t="s">
        <v>2110</v>
      </c>
      <c r="F1755" s="11">
        <v>1383</v>
      </c>
      <c r="G1755" s="11">
        <v>1591</v>
      </c>
      <c r="H1755" s="11">
        <v>2974</v>
      </c>
      <c r="I1755" s="11">
        <v>1724</v>
      </c>
    </row>
    <row r="1756" spans="1:9" x14ac:dyDescent="0.2">
      <c r="A1756" s="10">
        <v>6712</v>
      </c>
      <c r="B1756" s="10">
        <v>64</v>
      </c>
      <c r="C1756" s="10" t="s">
        <v>2098</v>
      </c>
      <c r="D1756" s="10">
        <v>6489</v>
      </c>
      <c r="E1756" s="10" t="s">
        <v>2111</v>
      </c>
      <c r="F1756" s="11">
        <v>3280</v>
      </c>
      <c r="G1756" s="11">
        <v>3802</v>
      </c>
      <c r="H1756" s="11">
        <v>7082</v>
      </c>
      <c r="I1756" s="11">
        <v>3614</v>
      </c>
    </row>
    <row r="1757" spans="1:9" x14ac:dyDescent="0.2">
      <c r="A1757" s="10">
        <v>6712</v>
      </c>
      <c r="B1757" s="10">
        <v>64</v>
      </c>
      <c r="C1757" s="10" t="s">
        <v>2098</v>
      </c>
      <c r="D1757" s="10">
        <v>6490</v>
      </c>
      <c r="E1757" s="10" t="s">
        <v>2112</v>
      </c>
      <c r="F1757" s="11">
        <v>2955</v>
      </c>
      <c r="G1757" s="11">
        <v>3335</v>
      </c>
      <c r="H1757" s="11">
        <v>6290</v>
      </c>
      <c r="I1757" s="11">
        <v>3722</v>
      </c>
    </row>
    <row r="1758" spans="1:9" x14ac:dyDescent="0.2">
      <c r="A1758" s="10">
        <v>6712</v>
      </c>
      <c r="B1758" s="10">
        <v>64</v>
      </c>
      <c r="C1758" s="10" t="s">
        <v>2098</v>
      </c>
      <c r="D1758" s="10">
        <v>6491</v>
      </c>
      <c r="E1758" s="10" t="s">
        <v>2113</v>
      </c>
      <c r="F1758" s="11">
        <v>6961</v>
      </c>
      <c r="G1758" s="11">
        <v>7619</v>
      </c>
      <c r="H1758" s="11">
        <v>14580</v>
      </c>
      <c r="I1758" s="11">
        <v>5984</v>
      </c>
    </row>
    <row r="1759" spans="1:9" x14ac:dyDescent="0.2">
      <c r="A1759" s="10">
        <v>6712</v>
      </c>
      <c r="B1759" s="10">
        <v>64</v>
      </c>
      <c r="C1759" s="10" t="s">
        <v>2098</v>
      </c>
      <c r="D1759" s="10">
        <v>6492</v>
      </c>
      <c r="E1759" s="10" t="s">
        <v>2114</v>
      </c>
      <c r="F1759" s="11">
        <v>1877</v>
      </c>
      <c r="G1759" s="11">
        <v>2088</v>
      </c>
      <c r="H1759" s="11">
        <v>3965</v>
      </c>
      <c r="I1759" s="11">
        <v>2090</v>
      </c>
    </row>
    <row r="1760" spans="1:9" x14ac:dyDescent="0.2">
      <c r="A1760" s="10">
        <v>6712</v>
      </c>
      <c r="B1760" s="10">
        <v>64</v>
      </c>
      <c r="C1760" s="10" t="s">
        <v>2098</v>
      </c>
      <c r="D1760" s="10">
        <v>6493</v>
      </c>
      <c r="E1760" s="10" t="s">
        <v>2115</v>
      </c>
      <c r="F1760" s="11">
        <v>1375</v>
      </c>
      <c r="G1760" s="11">
        <v>1551</v>
      </c>
      <c r="H1760" s="11">
        <v>2926</v>
      </c>
      <c r="I1760" s="11">
        <v>1685</v>
      </c>
    </row>
    <row r="1761" spans="1:9" x14ac:dyDescent="0.2">
      <c r="A1761" s="10">
        <v>6712</v>
      </c>
      <c r="B1761" s="10">
        <v>64</v>
      </c>
      <c r="C1761" s="10" t="s">
        <v>2098</v>
      </c>
      <c r="D1761" s="10">
        <v>6494</v>
      </c>
      <c r="E1761" s="10" t="s">
        <v>2116</v>
      </c>
      <c r="F1761" s="11">
        <v>3277</v>
      </c>
      <c r="G1761" s="11">
        <v>3626</v>
      </c>
      <c r="H1761" s="11">
        <v>6903</v>
      </c>
      <c r="I1761" s="11">
        <v>2472</v>
      </c>
    </row>
    <row r="1762" spans="1:9" x14ac:dyDescent="0.2">
      <c r="A1762" s="10">
        <v>6712</v>
      </c>
      <c r="B1762" s="10">
        <v>64</v>
      </c>
      <c r="C1762" s="10" t="s">
        <v>2098</v>
      </c>
      <c r="D1762" s="10">
        <v>6495</v>
      </c>
      <c r="E1762" s="10" t="s">
        <v>2117</v>
      </c>
      <c r="F1762" s="11">
        <v>1645</v>
      </c>
      <c r="G1762" s="11">
        <v>1792</v>
      </c>
      <c r="H1762" s="11">
        <v>3437</v>
      </c>
      <c r="I1762" s="11">
        <v>1761</v>
      </c>
    </row>
    <row r="1763" spans="1:9" x14ac:dyDescent="0.2">
      <c r="A1763" s="10">
        <v>6712</v>
      </c>
      <c r="B1763" s="10">
        <v>64</v>
      </c>
      <c r="C1763" s="10" t="s">
        <v>2098</v>
      </c>
      <c r="D1763" s="10">
        <v>6496</v>
      </c>
      <c r="E1763" s="10" t="s">
        <v>833</v>
      </c>
      <c r="F1763" s="11">
        <v>3238</v>
      </c>
      <c r="G1763" s="11">
        <v>3783</v>
      </c>
      <c r="H1763" s="11">
        <v>7021</v>
      </c>
      <c r="I1763" s="11">
        <v>2721</v>
      </c>
    </row>
    <row r="1764" spans="1:9" x14ac:dyDescent="0.2">
      <c r="A1764" s="10">
        <v>6712</v>
      </c>
      <c r="B1764" s="10">
        <v>64</v>
      </c>
      <c r="C1764" s="10" t="s">
        <v>2098</v>
      </c>
      <c r="D1764" s="10">
        <v>6497</v>
      </c>
      <c r="E1764" s="10" t="s">
        <v>2118</v>
      </c>
      <c r="F1764" s="11">
        <v>1927</v>
      </c>
      <c r="G1764" s="11">
        <v>2151</v>
      </c>
      <c r="H1764" s="11">
        <v>4078</v>
      </c>
      <c r="I1764" s="11">
        <v>1735</v>
      </c>
    </row>
    <row r="1765" spans="1:9" x14ac:dyDescent="0.2">
      <c r="A1765" s="10">
        <v>6712</v>
      </c>
      <c r="B1765" s="10">
        <v>64</v>
      </c>
      <c r="C1765" s="10" t="s">
        <v>2098</v>
      </c>
      <c r="D1765" s="10">
        <v>6498</v>
      </c>
      <c r="E1765" s="10" t="s">
        <v>2119</v>
      </c>
      <c r="F1765" s="11">
        <v>6506</v>
      </c>
      <c r="G1765" s="11">
        <v>7398</v>
      </c>
      <c r="H1765" s="11">
        <v>13904</v>
      </c>
      <c r="I1765" s="11">
        <v>6855</v>
      </c>
    </row>
    <row r="1766" spans="1:9" x14ac:dyDescent="0.2">
      <c r="A1766" s="10">
        <v>6712</v>
      </c>
      <c r="B1766" s="10">
        <v>64</v>
      </c>
      <c r="C1766" s="10" t="s">
        <v>2098</v>
      </c>
      <c r="D1766" s="10">
        <v>6499</v>
      </c>
      <c r="E1766" s="10" t="s">
        <v>2120</v>
      </c>
      <c r="F1766" s="11">
        <v>6185</v>
      </c>
      <c r="G1766" s="11">
        <v>7146</v>
      </c>
      <c r="H1766" s="11">
        <v>13331</v>
      </c>
      <c r="I1766" s="11">
        <v>7193</v>
      </c>
    </row>
    <row r="1767" spans="1:9" x14ac:dyDescent="0.2">
      <c r="A1767" s="10">
        <v>6712</v>
      </c>
      <c r="B1767" s="10">
        <v>65</v>
      </c>
      <c r="C1767" s="10" t="s">
        <v>2121</v>
      </c>
      <c r="D1767" s="10">
        <v>6501</v>
      </c>
      <c r="E1767" s="10" t="s">
        <v>2122</v>
      </c>
      <c r="F1767" s="11">
        <v>87748</v>
      </c>
      <c r="G1767" s="11">
        <v>94344</v>
      </c>
      <c r="H1767" s="11">
        <v>182092</v>
      </c>
      <c r="I1767" s="11">
        <v>92279</v>
      </c>
    </row>
    <row r="1768" spans="1:9" x14ac:dyDescent="0.2">
      <c r="A1768" s="10">
        <v>6712</v>
      </c>
      <c r="B1768" s="10">
        <v>65</v>
      </c>
      <c r="C1768" s="10" t="s">
        <v>2121</v>
      </c>
      <c r="D1768" s="10">
        <v>6502</v>
      </c>
      <c r="E1768" s="10" t="s">
        <v>2123</v>
      </c>
      <c r="F1768" s="11">
        <v>32799</v>
      </c>
      <c r="G1768" s="11">
        <v>33301</v>
      </c>
      <c r="H1768" s="11">
        <v>66100</v>
      </c>
      <c r="I1768" s="11">
        <v>24693</v>
      </c>
    </row>
    <row r="1769" spans="1:9" x14ac:dyDescent="0.2">
      <c r="A1769" s="10">
        <v>6712</v>
      </c>
      <c r="B1769" s="10">
        <v>65</v>
      </c>
      <c r="C1769" s="10" t="s">
        <v>2121</v>
      </c>
      <c r="D1769" s="10">
        <v>6503</v>
      </c>
      <c r="E1769" s="10" t="s">
        <v>2124</v>
      </c>
      <c r="F1769" s="11">
        <v>18303</v>
      </c>
      <c r="G1769" s="11">
        <v>17984</v>
      </c>
      <c r="H1769" s="11">
        <v>36287</v>
      </c>
      <c r="I1769" s="11">
        <v>12891</v>
      </c>
    </row>
    <row r="1770" spans="1:9" x14ac:dyDescent="0.2">
      <c r="A1770" s="10">
        <v>6712</v>
      </c>
      <c r="B1770" s="10">
        <v>65</v>
      </c>
      <c r="C1770" s="10" t="s">
        <v>2121</v>
      </c>
      <c r="D1770" s="10">
        <v>6504</v>
      </c>
      <c r="E1770" s="10" t="s">
        <v>2125</v>
      </c>
      <c r="F1770" s="11">
        <v>36094</v>
      </c>
      <c r="G1770" s="11">
        <v>37438</v>
      </c>
      <c r="H1770" s="11">
        <v>73532</v>
      </c>
      <c r="I1770" s="11">
        <v>27265</v>
      </c>
    </row>
    <row r="1771" spans="1:9" x14ac:dyDescent="0.2">
      <c r="A1771" s="10">
        <v>6712</v>
      </c>
      <c r="B1771" s="10">
        <v>65</v>
      </c>
      <c r="C1771" s="10" t="s">
        <v>2121</v>
      </c>
      <c r="D1771" s="10">
        <v>6505</v>
      </c>
      <c r="E1771" s="10" t="s">
        <v>2126</v>
      </c>
      <c r="F1771" s="11">
        <v>15503</v>
      </c>
      <c r="G1771" s="11">
        <v>16434</v>
      </c>
      <c r="H1771" s="11">
        <v>31937</v>
      </c>
      <c r="I1771" s="11">
        <v>12352</v>
      </c>
    </row>
    <row r="1772" spans="1:9" x14ac:dyDescent="0.2">
      <c r="A1772" s="10">
        <v>6712</v>
      </c>
      <c r="B1772" s="10">
        <v>65</v>
      </c>
      <c r="C1772" s="10" t="s">
        <v>2121</v>
      </c>
      <c r="D1772" s="10">
        <v>6506</v>
      </c>
      <c r="E1772" s="10" t="s">
        <v>2127</v>
      </c>
      <c r="F1772" s="11">
        <v>38585</v>
      </c>
      <c r="G1772" s="11">
        <v>40733</v>
      </c>
      <c r="H1772" s="11">
        <v>79318</v>
      </c>
      <c r="I1772" s="11">
        <v>31721</v>
      </c>
    </row>
    <row r="1773" spans="1:9" x14ac:dyDescent="0.2">
      <c r="A1773" s="10">
        <v>6712</v>
      </c>
      <c r="B1773" s="10">
        <v>65</v>
      </c>
      <c r="C1773" s="10" t="s">
        <v>2121</v>
      </c>
      <c r="D1773" s="10">
        <v>6507</v>
      </c>
      <c r="E1773" s="10" t="s">
        <v>2128</v>
      </c>
      <c r="F1773" s="11">
        <v>14342</v>
      </c>
      <c r="G1773" s="11">
        <v>14685</v>
      </c>
      <c r="H1773" s="11">
        <v>29027</v>
      </c>
      <c r="I1773" s="11">
        <v>11675</v>
      </c>
    </row>
    <row r="1774" spans="1:9" x14ac:dyDescent="0.2">
      <c r="A1774" s="10">
        <v>6712</v>
      </c>
      <c r="B1774" s="10">
        <v>65</v>
      </c>
      <c r="C1774" s="10" t="s">
        <v>2121</v>
      </c>
      <c r="D1774" s="10">
        <v>6508</v>
      </c>
      <c r="E1774" s="10" t="s">
        <v>2129</v>
      </c>
      <c r="F1774" s="11">
        <v>55920</v>
      </c>
      <c r="G1774" s="11">
        <v>57530</v>
      </c>
      <c r="H1774" s="11">
        <v>113450</v>
      </c>
      <c r="I1774" s="11">
        <v>45986</v>
      </c>
    </row>
    <row r="1775" spans="1:9" x14ac:dyDescent="0.2">
      <c r="A1775" s="10">
        <v>6712</v>
      </c>
      <c r="B1775" s="10">
        <v>65</v>
      </c>
      <c r="C1775" s="10" t="s">
        <v>2121</v>
      </c>
      <c r="D1775" s="10">
        <v>6509</v>
      </c>
      <c r="E1775" s="10" t="s">
        <v>2130</v>
      </c>
      <c r="F1775" s="11">
        <v>18860</v>
      </c>
      <c r="G1775" s="11">
        <v>19082</v>
      </c>
      <c r="H1775" s="11">
        <v>37942</v>
      </c>
      <c r="I1775" s="11">
        <v>15431</v>
      </c>
    </row>
    <row r="1776" spans="1:9" x14ac:dyDescent="0.2">
      <c r="A1776" s="10">
        <v>6712</v>
      </c>
      <c r="B1776" s="10">
        <v>65</v>
      </c>
      <c r="C1776" s="10" t="s">
        <v>2121</v>
      </c>
      <c r="D1776" s="10">
        <v>6580</v>
      </c>
      <c r="E1776" s="10" t="s">
        <v>2131</v>
      </c>
      <c r="F1776" s="11">
        <v>15918</v>
      </c>
      <c r="G1776" s="11">
        <v>13364</v>
      </c>
      <c r="H1776" s="11">
        <v>29282</v>
      </c>
      <c r="I1776" s="11">
        <v>14707</v>
      </c>
    </row>
    <row r="1777" spans="1:9" x14ac:dyDescent="0.2">
      <c r="A1777" s="10">
        <v>6712</v>
      </c>
      <c r="B1777" s="10">
        <v>65</v>
      </c>
      <c r="C1777" s="10" t="s">
        <v>2121</v>
      </c>
      <c r="D1777" s="10">
        <v>6581</v>
      </c>
      <c r="E1777" s="10" t="s">
        <v>2132</v>
      </c>
      <c r="F1777" s="11">
        <v>3395</v>
      </c>
      <c r="G1777" s="11">
        <v>3447</v>
      </c>
      <c r="H1777" s="11">
        <v>6842</v>
      </c>
      <c r="I1777" s="11">
        <v>2773</v>
      </c>
    </row>
    <row r="1778" spans="1:9" x14ac:dyDescent="0.2">
      <c r="A1778" s="10">
        <v>6712</v>
      </c>
      <c r="B1778" s="10">
        <v>65</v>
      </c>
      <c r="C1778" s="10" t="s">
        <v>2121</v>
      </c>
      <c r="D1778" s="10">
        <v>6582</v>
      </c>
      <c r="E1778" s="10" t="s">
        <v>2133</v>
      </c>
      <c r="F1778" s="11">
        <v>2115</v>
      </c>
      <c r="G1778" s="11">
        <v>2259</v>
      </c>
      <c r="H1778" s="11">
        <v>4374</v>
      </c>
      <c r="I1778" s="11">
        <v>1733</v>
      </c>
    </row>
    <row r="1779" spans="1:9" x14ac:dyDescent="0.2">
      <c r="A1779" s="10">
        <v>6712</v>
      </c>
      <c r="B1779" s="10">
        <v>65</v>
      </c>
      <c r="C1779" s="10" t="s">
        <v>2121</v>
      </c>
      <c r="D1779" s="10">
        <v>6583</v>
      </c>
      <c r="E1779" s="10" t="s">
        <v>2134</v>
      </c>
      <c r="F1779" s="11">
        <v>3796</v>
      </c>
      <c r="G1779" s="11">
        <v>4276</v>
      </c>
      <c r="H1779" s="11">
        <v>8072</v>
      </c>
      <c r="I1779" s="11">
        <v>4608</v>
      </c>
    </row>
    <row r="1780" spans="1:9" x14ac:dyDescent="0.2">
      <c r="A1780" s="10">
        <v>6712</v>
      </c>
      <c r="B1780" s="10">
        <v>65</v>
      </c>
      <c r="C1780" s="10" t="s">
        <v>2121</v>
      </c>
      <c r="D1780" s="10">
        <v>6584</v>
      </c>
      <c r="E1780" s="10" t="s">
        <v>2135</v>
      </c>
      <c r="F1780" s="11">
        <v>2955</v>
      </c>
      <c r="G1780" s="11">
        <v>3023</v>
      </c>
      <c r="H1780" s="11">
        <v>5978</v>
      </c>
      <c r="I1780" s="11">
        <v>2159</v>
      </c>
    </row>
    <row r="1781" spans="1:9" x14ac:dyDescent="0.2">
      <c r="A1781" s="10">
        <v>6712</v>
      </c>
      <c r="B1781" s="10">
        <v>65</v>
      </c>
      <c r="C1781" s="10" t="s">
        <v>2121</v>
      </c>
      <c r="D1781" s="10">
        <v>6585</v>
      </c>
      <c r="E1781" s="10" t="s">
        <v>2136</v>
      </c>
      <c r="F1781" s="11">
        <v>4089</v>
      </c>
      <c r="G1781" s="11">
        <v>4213</v>
      </c>
      <c r="H1781" s="11">
        <v>8302</v>
      </c>
      <c r="I1781" s="11">
        <v>3282</v>
      </c>
    </row>
    <row r="1782" spans="1:9" x14ac:dyDescent="0.2">
      <c r="A1782" s="10">
        <v>6712</v>
      </c>
      <c r="B1782" s="10">
        <v>65</v>
      </c>
      <c r="C1782" s="10" t="s">
        <v>2121</v>
      </c>
      <c r="D1782" s="10">
        <v>6586</v>
      </c>
      <c r="E1782" s="10" t="s">
        <v>2137</v>
      </c>
      <c r="F1782" s="11">
        <v>5130</v>
      </c>
      <c r="G1782" s="11">
        <v>5002</v>
      </c>
      <c r="H1782" s="11">
        <v>10132</v>
      </c>
      <c r="I1782" s="11">
        <v>4971</v>
      </c>
    </row>
    <row r="1783" spans="1:9" x14ac:dyDescent="0.2">
      <c r="A1783" s="10">
        <v>6712</v>
      </c>
      <c r="B1783" s="10">
        <v>65</v>
      </c>
      <c r="C1783" s="10" t="s">
        <v>2121</v>
      </c>
      <c r="D1783" s="10">
        <v>6587</v>
      </c>
      <c r="E1783" s="10" t="s">
        <v>2138</v>
      </c>
      <c r="F1783" s="11">
        <v>1620</v>
      </c>
      <c r="G1783" s="11">
        <v>1778</v>
      </c>
      <c r="H1783" s="11">
        <v>3398</v>
      </c>
      <c r="I1783" s="11">
        <v>1704</v>
      </c>
    </row>
    <row r="1784" spans="1:9" x14ac:dyDescent="0.2">
      <c r="A1784" s="10">
        <v>6712</v>
      </c>
      <c r="B1784" s="10">
        <v>65</v>
      </c>
      <c r="C1784" s="10" t="s">
        <v>2121</v>
      </c>
      <c r="D1784" s="10">
        <v>6588</v>
      </c>
      <c r="E1784" s="10" t="s">
        <v>2139</v>
      </c>
      <c r="F1784" s="11">
        <v>1852</v>
      </c>
      <c r="G1784" s="11">
        <v>2139</v>
      </c>
      <c r="H1784" s="11">
        <v>3991</v>
      </c>
      <c r="I1784" s="11">
        <v>1751</v>
      </c>
    </row>
    <row r="1785" spans="1:9" x14ac:dyDescent="0.2">
      <c r="A1785" s="10">
        <v>6712</v>
      </c>
      <c r="B1785" s="10">
        <v>65</v>
      </c>
      <c r="C1785" s="10" t="s">
        <v>2121</v>
      </c>
      <c r="D1785" s="10">
        <v>6589</v>
      </c>
      <c r="E1785" s="10" t="s">
        <v>2140</v>
      </c>
      <c r="F1785" s="11">
        <v>3688</v>
      </c>
      <c r="G1785" s="11">
        <v>4138</v>
      </c>
      <c r="H1785" s="11">
        <v>7826</v>
      </c>
      <c r="I1785" s="11">
        <v>4216</v>
      </c>
    </row>
    <row r="1786" spans="1:9" x14ac:dyDescent="0.2">
      <c r="A1786" s="10">
        <v>6712</v>
      </c>
      <c r="B1786" s="10">
        <v>65</v>
      </c>
      <c r="C1786" s="10" t="s">
        <v>2121</v>
      </c>
      <c r="D1786" s="10">
        <v>6590</v>
      </c>
      <c r="E1786" s="10" t="s">
        <v>2141</v>
      </c>
      <c r="F1786" s="11">
        <v>1472</v>
      </c>
      <c r="G1786" s="11">
        <v>1534</v>
      </c>
      <c r="H1786" s="11">
        <v>3006</v>
      </c>
      <c r="I1786" s="11">
        <v>1600</v>
      </c>
    </row>
    <row r="1787" spans="1:9" x14ac:dyDescent="0.2">
      <c r="A1787" s="10">
        <v>6712</v>
      </c>
      <c r="B1787" s="10">
        <v>65</v>
      </c>
      <c r="C1787" s="10" t="s">
        <v>2121</v>
      </c>
      <c r="D1787" s="10">
        <v>6591</v>
      </c>
      <c r="E1787" s="10" t="s">
        <v>2142</v>
      </c>
      <c r="F1787" s="10">
        <v>500</v>
      </c>
      <c r="G1787" s="10">
        <v>603</v>
      </c>
      <c r="H1787" s="11">
        <v>1103</v>
      </c>
      <c r="I1787" s="10">
        <v>556</v>
      </c>
    </row>
    <row r="1788" spans="1:9" x14ac:dyDescent="0.2">
      <c r="A1788" s="10">
        <v>6712</v>
      </c>
      <c r="B1788" s="10">
        <v>65</v>
      </c>
      <c r="C1788" s="10" t="s">
        <v>2121</v>
      </c>
      <c r="D1788" s="10">
        <v>6592</v>
      </c>
      <c r="E1788" s="10" t="s">
        <v>2143</v>
      </c>
      <c r="F1788" s="10">
        <v>747</v>
      </c>
      <c r="G1788" s="10">
        <v>770</v>
      </c>
      <c r="H1788" s="11">
        <v>1517</v>
      </c>
      <c r="I1788" s="10">
        <v>625</v>
      </c>
    </row>
    <row r="1789" spans="1:9" x14ac:dyDescent="0.2">
      <c r="A1789" s="10">
        <v>6712</v>
      </c>
      <c r="B1789" s="10">
        <v>65</v>
      </c>
      <c r="C1789" s="10" t="s">
        <v>2121</v>
      </c>
      <c r="D1789" s="10">
        <v>6593</v>
      </c>
      <c r="E1789" s="10" t="s">
        <v>2144</v>
      </c>
      <c r="F1789" s="11">
        <v>5591</v>
      </c>
      <c r="G1789" s="11">
        <v>5878</v>
      </c>
      <c r="H1789" s="11">
        <v>11469</v>
      </c>
      <c r="I1789" s="11">
        <v>4699</v>
      </c>
    </row>
    <row r="1790" spans="1:9" x14ac:dyDescent="0.2">
      <c r="A1790" s="10">
        <v>6712</v>
      </c>
      <c r="B1790" s="10">
        <v>65</v>
      </c>
      <c r="C1790" s="10" t="s">
        <v>2121</v>
      </c>
      <c r="D1790" s="10">
        <v>6594</v>
      </c>
      <c r="E1790" s="10" t="s">
        <v>2145</v>
      </c>
      <c r="F1790" s="11">
        <v>1653</v>
      </c>
      <c r="G1790" s="11">
        <v>1813</v>
      </c>
      <c r="H1790" s="11">
        <v>3466</v>
      </c>
      <c r="I1790" s="11">
        <v>1361</v>
      </c>
    </row>
    <row r="1791" spans="1:9" x14ac:dyDescent="0.2">
      <c r="A1791" s="10">
        <v>6712</v>
      </c>
      <c r="B1791" s="10">
        <v>65</v>
      </c>
      <c r="C1791" s="10" t="s">
        <v>2121</v>
      </c>
      <c r="D1791" s="10">
        <v>6595</v>
      </c>
      <c r="E1791" s="10" t="s">
        <v>2146</v>
      </c>
      <c r="F1791" s="11">
        <v>1891</v>
      </c>
      <c r="G1791" s="11">
        <v>2117</v>
      </c>
      <c r="H1791" s="11">
        <v>4008</v>
      </c>
      <c r="I1791" s="11">
        <v>2041</v>
      </c>
    </row>
    <row r="1792" spans="1:9" x14ac:dyDescent="0.2">
      <c r="A1792" s="10">
        <v>6712</v>
      </c>
      <c r="B1792" s="10">
        <v>65</v>
      </c>
      <c r="C1792" s="10" t="s">
        <v>2121</v>
      </c>
      <c r="D1792" s="10">
        <v>6596</v>
      </c>
      <c r="E1792" s="10" t="s">
        <v>2147</v>
      </c>
      <c r="F1792" s="11">
        <v>2546</v>
      </c>
      <c r="G1792" s="11">
        <v>2712</v>
      </c>
      <c r="H1792" s="11">
        <v>5258</v>
      </c>
      <c r="I1792" s="11">
        <v>2690</v>
      </c>
    </row>
    <row r="1793" spans="1:9" x14ac:dyDescent="0.2">
      <c r="A1793" s="10">
        <v>6712</v>
      </c>
      <c r="B1793" s="10">
        <v>65</v>
      </c>
      <c r="C1793" s="10" t="s">
        <v>2121</v>
      </c>
      <c r="D1793" s="10">
        <v>6597</v>
      </c>
      <c r="E1793" s="10" t="s">
        <v>2148</v>
      </c>
      <c r="F1793" s="11">
        <v>4195</v>
      </c>
      <c r="G1793" s="11">
        <v>4501</v>
      </c>
      <c r="H1793" s="11">
        <v>8696</v>
      </c>
      <c r="I1793" s="11">
        <v>4202</v>
      </c>
    </row>
    <row r="1794" spans="1:9" x14ac:dyDescent="0.2">
      <c r="A1794" s="10">
        <v>6712</v>
      </c>
      <c r="B1794" s="10">
        <v>65</v>
      </c>
      <c r="C1794" s="10" t="s">
        <v>2121</v>
      </c>
      <c r="D1794" s="10">
        <v>6598</v>
      </c>
      <c r="E1794" s="10" t="s">
        <v>1800</v>
      </c>
      <c r="F1794" s="10">
        <v>894</v>
      </c>
      <c r="G1794" s="10">
        <v>990</v>
      </c>
      <c r="H1794" s="11">
        <v>1884</v>
      </c>
      <c r="I1794" s="10">
        <v>827</v>
      </c>
    </row>
    <row r="1795" spans="1:9" x14ac:dyDescent="0.2">
      <c r="A1795" s="10">
        <v>6712</v>
      </c>
      <c r="B1795" s="10">
        <v>65</v>
      </c>
      <c r="C1795" s="10" t="s">
        <v>2121</v>
      </c>
      <c r="D1795" s="10">
        <v>6599</v>
      </c>
      <c r="E1795" s="10" t="s">
        <v>2149</v>
      </c>
      <c r="F1795" s="11">
        <v>27395</v>
      </c>
      <c r="G1795" s="11">
        <v>33432</v>
      </c>
      <c r="H1795" s="11">
        <v>60827</v>
      </c>
      <c r="I1795" s="11">
        <v>37942</v>
      </c>
    </row>
    <row r="1796" spans="1:9" x14ac:dyDescent="0.2">
      <c r="A1796" s="10">
        <v>6712</v>
      </c>
      <c r="B1796" s="10">
        <v>66</v>
      </c>
      <c r="C1796" s="10" t="s">
        <v>2150</v>
      </c>
      <c r="D1796" s="10">
        <v>6601</v>
      </c>
      <c r="E1796" s="10" t="s">
        <v>2151</v>
      </c>
      <c r="F1796" s="11">
        <v>34873</v>
      </c>
      <c r="G1796" s="11">
        <v>37236</v>
      </c>
      <c r="H1796" s="11">
        <v>72109</v>
      </c>
      <c r="I1796" s="11">
        <v>27851</v>
      </c>
    </row>
    <row r="1797" spans="1:9" x14ac:dyDescent="0.2">
      <c r="A1797" s="10">
        <v>6712</v>
      </c>
      <c r="B1797" s="10">
        <v>66</v>
      </c>
      <c r="C1797" s="10" t="s">
        <v>2150</v>
      </c>
      <c r="D1797" s="10">
        <v>6602</v>
      </c>
      <c r="E1797" s="10" t="s">
        <v>2152</v>
      </c>
      <c r="F1797" s="11">
        <v>8362</v>
      </c>
      <c r="G1797" s="11">
        <v>8635</v>
      </c>
      <c r="H1797" s="11">
        <v>16997</v>
      </c>
      <c r="I1797" s="11">
        <v>6110</v>
      </c>
    </row>
    <row r="1798" spans="1:9" x14ac:dyDescent="0.2">
      <c r="A1798" s="10">
        <v>6712</v>
      </c>
      <c r="B1798" s="10">
        <v>66</v>
      </c>
      <c r="C1798" s="10" t="s">
        <v>2150</v>
      </c>
      <c r="D1798" s="10">
        <v>6603</v>
      </c>
      <c r="E1798" s="10" t="s">
        <v>2153</v>
      </c>
      <c r="F1798" s="11">
        <v>16603</v>
      </c>
      <c r="G1798" s="11">
        <v>17065</v>
      </c>
      <c r="H1798" s="11">
        <v>33668</v>
      </c>
      <c r="I1798" s="11">
        <v>12035</v>
      </c>
    </row>
    <row r="1799" spans="1:9" x14ac:dyDescent="0.2">
      <c r="A1799" s="10">
        <v>6712</v>
      </c>
      <c r="B1799" s="10">
        <v>66</v>
      </c>
      <c r="C1799" s="10" t="s">
        <v>2150</v>
      </c>
      <c r="D1799" s="10">
        <v>6604</v>
      </c>
      <c r="E1799" s="10" t="s">
        <v>2154</v>
      </c>
      <c r="F1799" s="11">
        <v>21200</v>
      </c>
      <c r="G1799" s="11">
        <v>22435</v>
      </c>
      <c r="H1799" s="11">
        <v>43635</v>
      </c>
      <c r="I1799" s="11">
        <v>16534</v>
      </c>
    </row>
    <row r="1800" spans="1:9" x14ac:dyDescent="0.2">
      <c r="A1800" s="10">
        <v>6712</v>
      </c>
      <c r="B1800" s="10">
        <v>66</v>
      </c>
      <c r="C1800" s="10" t="s">
        <v>2150</v>
      </c>
      <c r="D1800" s="10">
        <v>6605</v>
      </c>
      <c r="E1800" s="10" t="s">
        <v>2155</v>
      </c>
      <c r="F1800" s="11">
        <v>9561</v>
      </c>
      <c r="G1800" s="11">
        <v>10267</v>
      </c>
      <c r="H1800" s="11">
        <v>19828</v>
      </c>
      <c r="I1800" s="11">
        <v>8198</v>
      </c>
    </row>
    <row r="1801" spans="1:9" x14ac:dyDescent="0.2">
      <c r="A1801" s="10">
        <v>6712</v>
      </c>
      <c r="B1801" s="10">
        <v>66</v>
      </c>
      <c r="C1801" s="10" t="s">
        <v>2150</v>
      </c>
      <c r="D1801" s="10">
        <v>6606</v>
      </c>
      <c r="E1801" s="10" t="s">
        <v>2156</v>
      </c>
      <c r="F1801" s="11">
        <v>26120</v>
      </c>
      <c r="G1801" s="11">
        <v>27296</v>
      </c>
      <c r="H1801" s="11">
        <v>53416</v>
      </c>
      <c r="I1801" s="11">
        <v>19461</v>
      </c>
    </row>
    <row r="1802" spans="1:9" x14ac:dyDescent="0.2">
      <c r="A1802" s="10">
        <v>6712</v>
      </c>
      <c r="B1802" s="10">
        <v>66</v>
      </c>
      <c r="C1802" s="10" t="s">
        <v>2150</v>
      </c>
      <c r="D1802" s="10">
        <v>6607</v>
      </c>
      <c r="E1802" s="10" t="s">
        <v>2157</v>
      </c>
      <c r="F1802" s="11">
        <v>12436</v>
      </c>
      <c r="G1802" s="11">
        <v>12757</v>
      </c>
      <c r="H1802" s="11">
        <v>25193</v>
      </c>
      <c r="I1802" s="11">
        <v>9050</v>
      </c>
    </row>
    <row r="1803" spans="1:9" x14ac:dyDescent="0.2">
      <c r="A1803" s="10">
        <v>6712</v>
      </c>
      <c r="B1803" s="10">
        <v>66</v>
      </c>
      <c r="C1803" s="10" t="s">
        <v>2150</v>
      </c>
      <c r="D1803" s="10">
        <v>6608</v>
      </c>
      <c r="E1803" s="10" t="s">
        <v>2158</v>
      </c>
      <c r="F1803" s="11">
        <v>16149</v>
      </c>
      <c r="G1803" s="11">
        <v>16770</v>
      </c>
      <c r="H1803" s="11">
        <v>32919</v>
      </c>
      <c r="I1803" s="11">
        <v>13175</v>
      </c>
    </row>
    <row r="1804" spans="1:9" x14ac:dyDescent="0.2">
      <c r="A1804" s="10">
        <v>6712</v>
      </c>
      <c r="B1804" s="10">
        <v>66</v>
      </c>
      <c r="C1804" s="10" t="s">
        <v>2150</v>
      </c>
      <c r="D1804" s="10">
        <v>6609</v>
      </c>
      <c r="E1804" s="10" t="s">
        <v>2159</v>
      </c>
      <c r="F1804" s="11">
        <v>8724</v>
      </c>
      <c r="G1804" s="11">
        <v>8850</v>
      </c>
      <c r="H1804" s="11">
        <v>17574</v>
      </c>
      <c r="I1804" s="11">
        <v>6349</v>
      </c>
    </row>
    <row r="1805" spans="1:9" x14ac:dyDescent="0.2">
      <c r="A1805" s="10">
        <v>6712</v>
      </c>
      <c r="B1805" s="10">
        <v>66</v>
      </c>
      <c r="C1805" s="10" t="s">
        <v>2150</v>
      </c>
      <c r="D1805" s="10">
        <v>6610</v>
      </c>
      <c r="E1805" s="10" t="s">
        <v>2160</v>
      </c>
      <c r="F1805" s="11">
        <v>13972</v>
      </c>
      <c r="G1805" s="11">
        <v>14588</v>
      </c>
      <c r="H1805" s="11">
        <v>28560</v>
      </c>
      <c r="I1805" s="11">
        <v>11128</v>
      </c>
    </row>
    <row r="1806" spans="1:9" x14ac:dyDescent="0.2">
      <c r="A1806" s="10">
        <v>6712</v>
      </c>
      <c r="B1806" s="10">
        <v>66</v>
      </c>
      <c r="C1806" s="10" t="s">
        <v>2150</v>
      </c>
      <c r="D1806" s="10">
        <v>6611</v>
      </c>
      <c r="E1806" s="10" t="s">
        <v>2161</v>
      </c>
      <c r="F1806" s="11">
        <v>8248</v>
      </c>
      <c r="G1806" s="11">
        <v>8524</v>
      </c>
      <c r="H1806" s="11">
        <v>16772</v>
      </c>
      <c r="I1806" s="11">
        <v>6604</v>
      </c>
    </row>
    <row r="1807" spans="1:9" x14ac:dyDescent="0.2">
      <c r="A1807" s="10">
        <v>6712</v>
      </c>
      <c r="B1807" s="10">
        <v>66</v>
      </c>
      <c r="C1807" s="10" t="s">
        <v>2150</v>
      </c>
      <c r="D1807" s="10">
        <v>6612</v>
      </c>
      <c r="E1807" s="10" t="s">
        <v>2162</v>
      </c>
      <c r="F1807" s="11">
        <v>15139</v>
      </c>
      <c r="G1807" s="11">
        <v>15524</v>
      </c>
      <c r="H1807" s="11">
        <v>30663</v>
      </c>
      <c r="I1807" s="11">
        <v>11520</v>
      </c>
    </row>
    <row r="1808" spans="1:9" x14ac:dyDescent="0.2">
      <c r="A1808" s="10">
        <v>6712</v>
      </c>
      <c r="B1808" s="10">
        <v>66</v>
      </c>
      <c r="C1808" s="10" t="s">
        <v>2150</v>
      </c>
      <c r="D1808" s="10">
        <v>6676</v>
      </c>
      <c r="E1808" s="10" t="s">
        <v>2163</v>
      </c>
      <c r="F1808" s="11">
        <v>3280</v>
      </c>
      <c r="G1808" s="11">
        <v>3442</v>
      </c>
      <c r="H1808" s="11">
        <v>6722</v>
      </c>
      <c r="I1808" s="11">
        <v>2419</v>
      </c>
    </row>
    <row r="1809" spans="1:9" x14ac:dyDescent="0.2">
      <c r="A1809" s="10">
        <v>6712</v>
      </c>
      <c r="B1809" s="10">
        <v>66</v>
      </c>
      <c r="C1809" s="10" t="s">
        <v>2150</v>
      </c>
      <c r="D1809" s="10">
        <v>6677</v>
      </c>
      <c r="E1809" s="10" t="s">
        <v>2164</v>
      </c>
      <c r="F1809" s="11">
        <v>1641</v>
      </c>
      <c r="G1809" s="11">
        <v>1694</v>
      </c>
      <c r="H1809" s="11">
        <v>3335</v>
      </c>
      <c r="I1809" s="11">
        <v>1192</v>
      </c>
    </row>
    <row r="1810" spans="1:9" x14ac:dyDescent="0.2">
      <c r="A1810" s="10">
        <v>6712</v>
      </c>
      <c r="B1810" s="10">
        <v>66</v>
      </c>
      <c r="C1810" s="10" t="s">
        <v>2150</v>
      </c>
      <c r="D1810" s="10">
        <v>6678</v>
      </c>
      <c r="E1810" s="10" t="s">
        <v>2165</v>
      </c>
      <c r="F1810" s="11">
        <v>3173</v>
      </c>
      <c r="G1810" s="11">
        <v>3486</v>
      </c>
      <c r="H1810" s="11">
        <v>6659</v>
      </c>
      <c r="I1810" s="11">
        <v>3145</v>
      </c>
    </row>
    <row r="1811" spans="1:9" x14ac:dyDescent="0.2">
      <c r="A1811" s="10">
        <v>6712</v>
      </c>
      <c r="B1811" s="10">
        <v>66</v>
      </c>
      <c r="C1811" s="10" t="s">
        <v>2150</v>
      </c>
      <c r="D1811" s="10">
        <v>6679</v>
      </c>
      <c r="E1811" s="10" t="s">
        <v>2166</v>
      </c>
      <c r="F1811" s="11">
        <v>2811</v>
      </c>
      <c r="G1811" s="11">
        <v>2991</v>
      </c>
      <c r="H1811" s="11">
        <v>5802</v>
      </c>
      <c r="I1811" s="11">
        <v>2787</v>
      </c>
    </row>
    <row r="1812" spans="1:9" x14ac:dyDescent="0.2">
      <c r="A1812" s="10">
        <v>6712</v>
      </c>
      <c r="B1812" s="10">
        <v>66</v>
      </c>
      <c r="C1812" s="10" t="s">
        <v>2150</v>
      </c>
      <c r="D1812" s="10">
        <v>6680</v>
      </c>
      <c r="E1812" s="10" t="s">
        <v>2167</v>
      </c>
      <c r="F1812" s="11">
        <v>2281</v>
      </c>
      <c r="G1812" s="11">
        <v>2372</v>
      </c>
      <c r="H1812" s="11">
        <v>4653</v>
      </c>
      <c r="I1812" s="11">
        <v>1656</v>
      </c>
    </row>
    <row r="1813" spans="1:9" x14ac:dyDescent="0.2">
      <c r="A1813" s="10">
        <v>6712</v>
      </c>
      <c r="B1813" s="10">
        <v>66</v>
      </c>
      <c r="C1813" s="10" t="s">
        <v>2150</v>
      </c>
      <c r="D1813" s="10">
        <v>6681</v>
      </c>
      <c r="E1813" s="10" t="s">
        <v>2168</v>
      </c>
      <c r="F1813" s="11">
        <v>4458</v>
      </c>
      <c r="G1813" s="11">
        <v>4521</v>
      </c>
      <c r="H1813" s="11">
        <v>8979</v>
      </c>
      <c r="I1813" s="11">
        <v>3230</v>
      </c>
    </row>
    <row r="1814" spans="1:9" x14ac:dyDescent="0.2">
      <c r="A1814" s="10">
        <v>6712</v>
      </c>
      <c r="B1814" s="10">
        <v>66</v>
      </c>
      <c r="C1814" s="10" t="s">
        <v>2150</v>
      </c>
      <c r="D1814" s="10">
        <v>6682</v>
      </c>
      <c r="E1814" s="10" t="s">
        <v>2169</v>
      </c>
      <c r="F1814" s="11">
        <v>1057</v>
      </c>
      <c r="G1814" s="11">
        <v>1069</v>
      </c>
      <c r="H1814" s="11">
        <v>2126</v>
      </c>
      <c r="I1814" s="10">
        <v>934</v>
      </c>
    </row>
    <row r="1815" spans="1:9" x14ac:dyDescent="0.2">
      <c r="A1815" s="10">
        <v>6712</v>
      </c>
      <c r="B1815" s="10">
        <v>66</v>
      </c>
      <c r="C1815" s="10" t="s">
        <v>2150</v>
      </c>
      <c r="D1815" s="10">
        <v>6683</v>
      </c>
      <c r="E1815" s="10" t="s">
        <v>2170</v>
      </c>
      <c r="F1815" s="11">
        <v>2450</v>
      </c>
      <c r="G1815" s="11">
        <v>2700</v>
      </c>
      <c r="H1815" s="11">
        <v>5150</v>
      </c>
      <c r="I1815" s="11">
        <v>2464</v>
      </c>
    </row>
    <row r="1816" spans="1:9" x14ac:dyDescent="0.2">
      <c r="A1816" s="10">
        <v>6712</v>
      </c>
      <c r="B1816" s="10">
        <v>66</v>
      </c>
      <c r="C1816" s="10" t="s">
        <v>2150</v>
      </c>
      <c r="D1816" s="10">
        <v>6684</v>
      </c>
      <c r="E1816" s="10" t="s">
        <v>2171</v>
      </c>
      <c r="F1816" s="11">
        <v>1931</v>
      </c>
      <c r="G1816" s="11">
        <v>2103</v>
      </c>
      <c r="H1816" s="11">
        <v>4034</v>
      </c>
      <c r="I1816" s="11">
        <v>1810</v>
      </c>
    </row>
    <row r="1817" spans="1:9" x14ac:dyDescent="0.2">
      <c r="A1817" s="10">
        <v>6712</v>
      </c>
      <c r="B1817" s="10">
        <v>66</v>
      </c>
      <c r="C1817" s="10" t="s">
        <v>2150</v>
      </c>
      <c r="D1817" s="10">
        <v>6685</v>
      </c>
      <c r="E1817" s="10" t="s">
        <v>2172</v>
      </c>
      <c r="F1817" s="11">
        <v>2019</v>
      </c>
      <c r="G1817" s="11">
        <v>2072</v>
      </c>
      <c r="H1817" s="11">
        <v>4091</v>
      </c>
      <c r="I1817" s="11">
        <v>1945</v>
      </c>
    </row>
    <row r="1818" spans="1:9" x14ac:dyDescent="0.2">
      <c r="A1818" s="10">
        <v>6712</v>
      </c>
      <c r="B1818" s="10">
        <v>66</v>
      </c>
      <c r="C1818" s="10" t="s">
        <v>2150</v>
      </c>
      <c r="D1818" s="10">
        <v>6686</v>
      </c>
      <c r="E1818" s="10" t="s">
        <v>2173</v>
      </c>
      <c r="F1818" s="11">
        <v>2115</v>
      </c>
      <c r="G1818" s="11">
        <v>2444</v>
      </c>
      <c r="H1818" s="11">
        <v>4559</v>
      </c>
      <c r="I1818" s="11">
        <v>2293</v>
      </c>
    </row>
    <row r="1819" spans="1:9" x14ac:dyDescent="0.2">
      <c r="A1819" s="10">
        <v>6712</v>
      </c>
      <c r="B1819" s="10">
        <v>66</v>
      </c>
      <c r="C1819" s="10" t="s">
        <v>2150</v>
      </c>
      <c r="D1819" s="10">
        <v>6687</v>
      </c>
      <c r="E1819" s="10" t="s">
        <v>2174</v>
      </c>
      <c r="F1819" s="11">
        <v>1010</v>
      </c>
      <c r="G1819" s="11">
        <v>1097</v>
      </c>
      <c r="H1819" s="11">
        <v>2107</v>
      </c>
      <c r="I1819" s="10">
        <v>833</v>
      </c>
    </row>
    <row r="1820" spans="1:9" x14ac:dyDescent="0.2">
      <c r="A1820" s="10">
        <v>6712</v>
      </c>
      <c r="B1820" s="10">
        <v>66</v>
      </c>
      <c r="C1820" s="10" t="s">
        <v>2150</v>
      </c>
      <c r="D1820" s="10">
        <v>6688</v>
      </c>
      <c r="E1820" s="10" t="s">
        <v>2175</v>
      </c>
      <c r="F1820" s="11">
        <v>1118</v>
      </c>
      <c r="G1820" s="11">
        <v>1200</v>
      </c>
      <c r="H1820" s="11">
        <v>2318</v>
      </c>
      <c r="I1820" s="11">
        <v>1041</v>
      </c>
    </row>
    <row r="1821" spans="1:9" x14ac:dyDescent="0.2">
      <c r="A1821" s="10">
        <v>6712</v>
      </c>
      <c r="B1821" s="10">
        <v>66</v>
      </c>
      <c r="C1821" s="10" t="s">
        <v>2150</v>
      </c>
      <c r="D1821" s="10">
        <v>6689</v>
      </c>
      <c r="E1821" s="10" t="s">
        <v>1819</v>
      </c>
      <c r="F1821" s="10">
        <v>739</v>
      </c>
      <c r="G1821" s="10">
        <v>719</v>
      </c>
      <c r="H1821" s="11">
        <v>1458</v>
      </c>
      <c r="I1821" s="10">
        <v>538</v>
      </c>
    </row>
    <row r="1822" spans="1:9" x14ac:dyDescent="0.2">
      <c r="A1822" s="10">
        <v>6712</v>
      </c>
      <c r="B1822" s="10">
        <v>66</v>
      </c>
      <c r="C1822" s="10" t="s">
        <v>2150</v>
      </c>
      <c r="D1822" s="10">
        <v>6690</v>
      </c>
      <c r="E1822" s="10" t="s">
        <v>2176</v>
      </c>
      <c r="F1822" s="10">
        <v>778</v>
      </c>
      <c r="G1822" s="10">
        <v>771</v>
      </c>
      <c r="H1822" s="11">
        <v>1549</v>
      </c>
      <c r="I1822" s="10">
        <v>660</v>
      </c>
    </row>
    <row r="1823" spans="1:9" x14ac:dyDescent="0.2">
      <c r="A1823" s="10">
        <v>6712</v>
      </c>
      <c r="B1823" s="10">
        <v>66</v>
      </c>
      <c r="C1823" s="10" t="s">
        <v>2150</v>
      </c>
      <c r="D1823" s="10">
        <v>6691</v>
      </c>
      <c r="E1823" s="10" t="s">
        <v>2177</v>
      </c>
      <c r="F1823" s="10">
        <v>696</v>
      </c>
      <c r="G1823" s="10">
        <v>761</v>
      </c>
      <c r="H1823" s="11">
        <v>1457</v>
      </c>
      <c r="I1823" s="10">
        <v>651</v>
      </c>
    </row>
    <row r="1824" spans="1:9" x14ac:dyDescent="0.2">
      <c r="A1824" s="10">
        <v>6712</v>
      </c>
      <c r="B1824" s="10">
        <v>66</v>
      </c>
      <c r="C1824" s="10" t="s">
        <v>2150</v>
      </c>
      <c r="D1824" s="10">
        <v>6692</v>
      </c>
      <c r="E1824" s="10" t="s">
        <v>2178</v>
      </c>
      <c r="F1824" s="11">
        <v>4288</v>
      </c>
      <c r="G1824" s="11">
        <v>4553</v>
      </c>
      <c r="H1824" s="11">
        <v>8841</v>
      </c>
      <c r="I1824" s="11">
        <v>3671</v>
      </c>
    </row>
    <row r="1825" spans="1:9" x14ac:dyDescent="0.2">
      <c r="A1825" s="10">
        <v>6712</v>
      </c>
      <c r="B1825" s="10">
        <v>66</v>
      </c>
      <c r="C1825" s="10" t="s">
        <v>2150</v>
      </c>
      <c r="D1825" s="10">
        <v>6693</v>
      </c>
      <c r="E1825" s="10" t="s">
        <v>2179</v>
      </c>
      <c r="F1825" s="11">
        <v>1573</v>
      </c>
      <c r="G1825" s="11">
        <v>1629</v>
      </c>
      <c r="H1825" s="11">
        <v>3202</v>
      </c>
      <c r="I1825" s="11">
        <v>1303</v>
      </c>
    </row>
    <row r="1826" spans="1:9" x14ac:dyDescent="0.2">
      <c r="A1826" s="10">
        <v>6712</v>
      </c>
      <c r="B1826" s="10">
        <v>66</v>
      </c>
      <c r="C1826" s="10" t="s">
        <v>2150</v>
      </c>
      <c r="D1826" s="10">
        <v>6694</v>
      </c>
      <c r="E1826" s="10" t="s">
        <v>1827</v>
      </c>
      <c r="F1826" s="11">
        <v>1432</v>
      </c>
      <c r="G1826" s="11">
        <v>1535</v>
      </c>
      <c r="H1826" s="11">
        <v>2967</v>
      </c>
      <c r="I1826" s="11">
        <v>1220</v>
      </c>
    </row>
    <row r="1827" spans="1:9" x14ac:dyDescent="0.2">
      <c r="A1827" s="10">
        <v>6712</v>
      </c>
      <c r="B1827" s="10">
        <v>66</v>
      </c>
      <c r="C1827" s="10" t="s">
        <v>2150</v>
      </c>
      <c r="D1827" s="10">
        <v>6695</v>
      </c>
      <c r="E1827" s="10" t="s">
        <v>2180</v>
      </c>
      <c r="F1827" s="11">
        <v>1419</v>
      </c>
      <c r="G1827" s="11">
        <v>1462</v>
      </c>
      <c r="H1827" s="11">
        <v>2881</v>
      </c>
      <c r="I1827" s="11">
        <v>1077</v>
      </c>
    </row>
    <row r="1828" spans="1:9" x14ac:dyDescent="0.2">
      <c r="A1828" s="10">
        <v>6712</v>
      </c>
      <c r="B1828" s="10">
        <v>66</v>
      </c>
      <c r="C1828" s="10" t="s">
        <v>2150</v>
      </c>
      <c r="D1828" s="10">
        <v>6696</v>
      </c>
      <c r="E1828" s="10" t="s">
        <v>2181</v>
      </c>
      <c r="F1828" s="11">
        <v>1489</v>
      </c>
      <c r="G1828" s="11">
        <v>1625</v>
      </c>
      <c r="H1828" s="11">
        <v>3114</v>
      </c>
      <c r="I1828" s="11">
        <v>1232</v>
      </c>
    </row>
    <row r="1829" spans="1:9" x14ac:dyDescent="0.2">
      <c r="A1829" s="10">
        <v>6712</v>
      </c>
      <c r="B1829" s="10">
        <v>66</v>
      </c>
      <c r="C1829" s="10" t="s">
        <v>2150</v>
      </c>
      <c r="D1829" s="10">
        <v>6697</v>
      </c>
      <c r="E1829" s="10" t="s">
        <v>2182</v>
      </c>
      <c r="F1829" s="11">
        <v>3495</v>
      </c>
      <c r="G1829" s="11">
        <v>3924</v>
      </c>
      <c r="H1829" s="11">
        <v>7419</v>
      </c>
      <c r="I1829" s="11">
        <v>3736</v>
      </c>
    </row>
    <row r="1830" spans="1:9" x14ac:dyDescent="0.2">
      <c r="A1830" s="10">
        <v>6712</v>
      </c>
      <c r="B1830" s="10">
        <v>66</v>
      </c>
      <c r="C1830" s="10" t="s">
        <v>2150</v>
      </c>
      <c r="D1830" s="10">
        <v>6698</v>
      </c>
      <c r="E1830" s="10" t="s">
        <v>2183</v>
      </c>
      <c r="F1830" s="11">
        <v>5767</v>
      </c>
      <c r="G1830" s="11">
        <v>6674</v>
      </c>
      <c r="H1830" s="11">
        <v>12441</v>
      </c>
      <c r="I1830" s="11">
        <v>6387</v>
      </c>
    </row>
    <row r="1831" spans="1:9" x14ac:dyDescent="0.2">
      <c r="A1831" s="10">
        <v>6712</v>
      </c>
      <c r="B1831" s="10">
        <v>66</v>
      </c>
      <c r="C1831" s="10" t="s">
        <v>2150</v>
      </c>
      <c r="D1831" s="10">
        <v>6699</v>
      </c>
      <c r="E1831" s="10" t="s">
        <v>2184</v>
      </c>
      <c r="F1831" s="11">
        <v>9380</v>
      </c>
      <c r="G1831" s="11">
        <v>10730</v>
      </c>
      <c r="H1831" s="11">
        <v>20110</v>
      </c>
      <c r="I1831" s="11">
        <v>12727</v>
      </c>
    </row>
    <row r="1832" spans="1:9" x14ac:dyDescent="0.2">
      <c r="A1832" s="10">
        <v>6712</v>
      </c>
      <c r="B1832" s="10">
        <v>67</v>
      </c>
      <c r="C1832" s="10" t="s">
        <v>2185</v>
      </c>
      <c r="D1832" s="10">
        <v>6701</v>
      </c>
      <c r="E1832" s="10" t="s">
        <v>2186</v>
      </c>
      <c r="F1832" s="11">
        <v>78298</v>
      </c>
      <c r="G1832" s="11">
        <v>78940</v>
      </c>
      <c r="H1832" s="11">
        <v>157238</v>
      </c>
      <c r="I1832" s="11">
        <v>65186</v>
      </c>
    </row>
    <row r="1833" spans="1:9" x14ac:dyDescent="0.2">
      <c r="A1833" s="10">
        <v>6712</v>
      </c>
      <c r="B1833" s="10">
        <v>67</v>
      </c>
      <c r="C1833" s="10" t="s">
        <v>2185</v>
      </c>
      <c r="D1833" s="10">
        <v>6702</v>
      </c>
      <c r="E1833" s="10" t="s">
        <v>2187</v>
      </c>
      <c r="F1833" s="11">
        <v>33181</v>
      </c>
      <c r="G1833" s="11">
        <v>33447</v>
      </c>
      <c r="H1833" s="11">
        <v>66628</v>
      </c>
      <c r="I1833" s="11">
        <v>28853</v>
      </c>
    </row>
    <row r="1834" spans="1:9" x14ac:dyDescent="0.2">
      <c r="A1834" s="10">
        <v>6712</v>
      </c>
      <c r="B1834" s="10">
        <v>67</v>
      </c>
      <c r="C1834" s="10" t="s">
        <v>2185</v>
      </c>
      <c r="D1834" s="10">
        <v>6703</v>
      </c>
      <c r="E1834" s="10" t="s">
        <v>2188</v>
      </c>
      <c r="F1834" s="11">
        <v>68898</v>
      </c>
      <c r="G1834" s="11">
        <v>72868</v>
      </c>
      <c r="H1834" s="11">
        <v>141766</v>
      </c>
      <c r="I1834" s="11">
        <v>51250</v>
      </c>
    </row>
    <row r="1835" spans="1:9" x14ac:dyDescent="0.2">
      <c r="A1835" s="10">
        <v>6712</v>
      </c>
      <c r="B1835" s="10">
        <v>67</v>
      </c>
      <c r="C1835" s="10" t="s">
        <v>2185</v>
      </c>
      <c r="D1835" s="10">
        <v>6704</v>
      </c>
      <c r="E1835" s="10" t="s">
        <v>2189</v>
      </c>
      <c r="F1835" s="11">
        <v>28559</v>
      </c>
      <c r="G1835" s="11">
        <v>30087</v>
      </c>
      <c r="H1835" s="11">
        <v>58646</v>
      </c>
      <c r="I1835" s="11">
        <v>19775</v>
      </c>
    </row>
    <row r="1836" spans="1:9" x14ac:dyDescent="0.2">
      <c r="A1836" s="10">
        <v>6712</v>
      </c>
      <c r="B1836" s="10">
        <v>67</v>
      </c>
      <c r="C1836" s="10" t="s">
        <v>2185</v>
      </c>
      <c r="D1836" s="10">
        <v>6705</v>
      </c>
      <c r="E1836" s="10" t="s">
        <v>2190</v>
      </c>
      <c r="F1836" s="11">
        <v>48551</v>
      </c>
      <c r="G1836" s="11">
        <v>49903</v>
      </c>
      <c r="H1836" s="11">
        <v>98454</v>
      </c>
      <c r="I1836" s="11">
        <v>34906</v>
      </c>
    </row>
    <row r="1837" spans="1:9" x14ac:dyDescent="0.2">
      <c r="A1837" s="10">
        <v>6712</v>
      </c>
      <c r="B1837" s="10">
        <v>67</v>
      </c>
      <c r="C1837" s="10" t="s">
        <v>2185</v>
      </c>
      <c r="D1837" s="10">
        <v>6706</v>
      </c>
      <c r="E1837" s="10" t="s">
        <v>2191</v>
      </c>
      <c r="F1837" s="11">
        <v>27699</v>
      </c>
      <c r="G1837" s="11">
        <v>28225</v>
      </c>
      <c r="H1837" s="11">
        <v>55924</v>
      </c>
      <c r="I1837" s="11">
        <v>20467</v>
      </c>
    </row>
    <row r="1838" spans="1:9" x14ac:dyDescent="0.2">
      <c r="A1838" s="10">
        <v>6712</v>
      </c>
      <c r="B1838" s="10">
        <v>67</v>
      </c>
      <c r="C1838" s="10" t="s">
        <v>2185</v>
      </c>
      <c r="D1838" s="10">
        <v>6707</v>
      </c>
      <c r="E1838" s="10" t="s">
        <v>2192</v>
      </c>
      <c r="F1838" s="11">
        <v>36867</v>
      </c>
      <c r="G1838" s="11">
        <v>37520</v>
      </c>
      <c r="H1838" s="11">
        <v>74387</v>
      </c>
      <c r="I1838" s="11">
        <v>26138</v>
      </c>
    </row>
    <row r="1839" spans="1:9" x14ac:dyDescent="0.2">
      <c r="A1839" s="10">
        <v>6712</v>
      </c>
      <c r="B1839" s="10">
        <v>67</v>
      </c>
      <c r="C1839" s="10" t="s">
        <v>2185</v>
      </c>
      <c r="D1839" s="10">
        <v>6708</v>
      </c>
      <c r="E1839" s="10" t="s">
        <v>2193</v>
      </c>
      <c r="F1839" s="11">
        <v>30585</v>
      </c>
      <c r="G1839" s="11">
        <v>31299</v>
      </c>
      <c r="H1839" s="11">
        <v>61884</v>
      </c>
      <c r="I1839" s="11">
        <v>26852</v>
      </c>
    </row>
    <row r="1840" spans="1:9" x14ac:dyDescent="0.2">
      <c r="A1840" s="10">
        <v>6712</v>
      </c>
      <c r="B1840" s="10">
        <v>67</v>
      </c>
      <c r="C1840" s="10" t="s">
        <v>2185</v>
      </c>
      <c r="D1840" s="10">
        <v>6709</v>
      </c>
      <c r="E1840" s="10" t="s">
        <v>2194</v>
      </c>
      <c r="F1840" s="11">
        <v>9472</v>
      </c>
      <c r="G1840" s="11">
        <v>9136</v>
      </c>
      <c r="H1840" s="11">
        <v>18608</v>
      </c>
      <c r="I1840" s="11">
        <v>7610</v>
      </c>
    </row>
    <row r="1841" spans="1:9" x14ac:dyDescent="0.2">
      <c r="A1841" s="10">
        <v>6712</v>
      </c>
      <c r="B1841" s="10">
        <v>67</v>
      </c>
      <c r="C1841" s="10" t="s">
        <v>2185</v>
      </c>
      <c r="D1841" s="10">
        <v>6710</v>
      </c>
      <c r="E1841" s="10" t="s">
        <v>2195</v>
      </c>
      <c r="F1841" s="11">
        <v>13723</v>
      </c>
      <c r="G1841" s="11">
        <v>14042</v>
      </c>
      <c r="H1841" s="11">
        <v>27765</v>
      </c>
      <c r="I1841" s="11">
        <v>9636</v>
      </c>
    </row>
    <row r="1842" spans="1:9" x14ac:dyDescent="0.2">
      <c r="A1842" s="10">
        <v>6712</v>
      </c>
      <c r="B1842" s="10">
        <v>67</v>
      </c>
      <c r="C1842" s="10" t="s">
        <v>2185</v>
      </c>
      <c r="D1842" s="10">
        <v>6711</v>
      </c>
      <c r="E1842" s="10" t="s">
        <v>2196</v>
      </c>
      <c r="F1842" s="11">
        <v>18245</v>
      </c>
      <c r="G1842" s="11">
        <v>18203</v>
      </c>
      <c r="H1842" s="11">
        <v>36448</v>
      </c>
      <c r="I1842" s="11">
        <v>13251</v>
      </c>
    </row>
    <row r="1843" spans="1:9" x14ac:dyDescent="0.2">
      <c r="A1843" s="10">
        <v>6712</v>
      </c>
      <c r="B1843" s="10">
        <v>67</v>
      </c>
      <c r="C1843" s="10" t="s">
        <v>2185</v>
      </c>
      <c r="D1843" s="10">
        <v>6778</v>
      </c>
      <c r="E1843" s="10" t="s">
        <v>2197</v>
      </c>
      <c r="F1843" s="11">
        <v>2565</v>
      </c>
      <c r="G1843" s="11">
        <v>2792</v>
      </c>
      <c r="H1843" s="11">
        <v>5357</v>
      </c>
      <c r="I1843" s="11">
        <v>3336</v>
      </c>
    </row>
    <row r="1844" spans="1:9" x14ac:dyDescent="0.2">
      <c r="A1844" s="10">
        <v>6712</v>
      </c>
      <c r="B1844" s="10">
        <v>67</v>
      </c>
      <c r="C1844" s="10" t="s">
        <v>2185</v>
      </c>
      <c r="D1844" s="10">
        <v>6779</v>
      </c>
      <c r="E1844" s="10" t="s">
        <v>2198</v>
      </c>
      <c r="F1844" s="11">
        <v>3172</v>
      </c>
      <c r="G1844" s="11">
        <v>3222</v>
      </c>
      <c r="H1844" s="11">
        <v>6394</v>
      </c>
      <c r="I1844" s="11">
        <v>2250</v>
      </c>
    </row>
    <row r="1845" spans="1:9" x14ac:dyDescent="0.2">
      <c r="A1845" s="10">
        <v>6712</v>
      </c>
      <c r="B1845" s="10">
        <v>67</v>
      </c>
      <c r="C1845" s="10" t="s">
        <v>2185</v>
      </c>
      <c r="D1845" s="10">
        <v>6780</v>
      </c>
      <c r="E1845" s="10" t="s">
        <v>2199</v>
      </c>
      <c r="F1845" s="11">
        <v>2874</v>
      </c>
      <c r="G1845" s="11">
        <v>2867</v>
      </c>
      <c r="H1845" s="11">
        <v>5741</v>
      </c>
      <c r="I1845" s="11">
        <v>1955</v>
      </c>
    </row>
    <row r="1846" spans="1:9" x14ac:dyDescent="0.2">
      <c r="A1846" s="10">
        <v>6712</v>
      </c>
      <c r="B1846" s="10">
        <v>67</v>
      </c>
      <c r="C1846" s="10" t="s">
        <v>2185</v>
      </c>
      <c r="D1846" s="10">
        <v>6781</v>
      </c>
      <c r="E1846" s="10" t="s">
        <v>2200</v>
      </c>
      <c r="F1846" s="11">
        <v>4614</v>
      </c>
      <c r="G1846" s="11">
        <v>4798</v>
      </c>
      <c r="H1846" s="11">
        <v>9412</v>
      </c>
      <c r="I1846" s="11">
        <v>3126</v>
      </c>
    </row>
    <row r="1847" spans="1:9" x14ac:dyDescent="0.2">
      <c r="A1847" s="10">
        <v>6712</v>
      </c>
      <c r="B1847" s="10">
        <v>67</v>
      </c>
      <c r="C1847" s="10" t="s">
        <v>2185</v>
      </c>
      <c r="D1847" s="10">
        <v>6782</v>
      </c>
      <c r="E1847" s="10" t="s">
        <v>2201</v>
      </c>
      <c r="F1847" s="11">
        <v>5971</v>
      </c>
      <c r="G1847" s="11">
        <v>6711</v>
      </c>
      <c r="H1847" s="11">
        <v>12682</v>
      </c>
      <c r="I1847" s="11">
        <v>5901</v>
      </c>
    </row>
    <row r="1848" spans="1:9" x14ac:dyDescent="0.2">
      <c r="A1848" s="10">
        <v>6712</v>
      </c>
      <c r="B1848" s="10">
        <v>67</v>
      </c>
      <c r="C1848" s="10" t="s">
        <v>2185</v>
      </c>
      <c r="D1848" s="10">
        <v>6783</v>
      </c>
      <c r="E1848" s="10" t="s">
        <v>2202</v>
      </c>
      <c r="F1848" s="11">
        <v>3636</v>
      </c>
      <c r="G1848" s="11">
        <v>3693</v>
      </c>
      <c r="H1848" s="11">
        <v>7329</v>
      </c>
      <c r="I1848" s="11">
        <v>2659</v>
      </c>
    </row>
    <row r="1849" spans="1:9" x14ac:dyDescent="0.2">
      <c r="A1849" s="10">
        <v>6712</v>
      </c>
      <c r="B1849" s="10">
        <v>67</v>
      </c>
      <c r="C1849" s="10" t="s">
        <v>2185</v>
      </c>
      <c r="D1849" s="10">
        <v>6784</v>
      </c>
      <c r="E1849" s="10" t="s">
        <v>2203</v>
      </c>
      <c r="F1849" s="11">
        <v>1769</v>
      </c>
      <c r="G1849" s="11">
        <v>1992</v>
      </c>
      <c r="H1849" s="11">
        <v>3761</v>
      </c>
      <c r="I1849" s="11">
        <v>1570</v>
      </c>
    </row>
    <row r="1850" spans="1:9" x14ac:dyDescent="0.2">
      <c r="A1850" s="10">
        <v>6712</v>
      </c>
      <c r="B1850" s="10">
        <v>67</v>
      </c>
      <c r="C1850" s="10" t="s">
        <v>2185</v>
      </c>
      <c r="D1850" s="10">
        <v>6785</v>
      </c>
      <c r="E1850" s="10" t="s">
        <v>2204</v>
      </c>
      <c r="F1850" s="11">
        <v>1565</v>
      </c>
      <c r="G1850" s="11">
        <v>1698</v>
      </c>
      <c r="H1850" s="11">
        <v>3263</v>
      </c>
      <c r="I1850" s="11">
        <v>1108</v>
      </c>
    </row>
    <row r="1851" spans="1:9" x14ac:dyDescent="0.2">
      <c r="A1851" s="10">
        <v>6712</v>
      </c>
      <c r="B1851" s="10">
        <v>67</v>
      </c>
      <c r="C1851" s="10" t="s">
        <v>2185</v>
      </c>
      <c r="D1851" s="10">
        <v>6786</v>
      </c>
      <c r="E1851" s="10" t="s">
        <v>2205</v>
      </c>
      <c r="F1851" s="11">
        <v>3996</v>
      </c>
      <c r="G1851" s="11">
        <v>4242</v>
      </c>
      <c r="H1851" s="11">
        <v>8238</v>
      </c>
      <c r="I1851" s="11">
        <v>5186</v>
      </c>
    </row>
    <row r="1852" spans="1:9" x14ac:dyDescent="0.2">
      <c r="A1852" s="10">
        <v>6712</v>
      </c>
      <c r="B1852" s="10">
        <v>67</v>
      </c>
      <c r="C1852" s="10" t="s">
        <v>2185</v>
      </c>
      <c r="D1852" s="10">
        <v>6787</v>
      </c>
      <c r="E1852" s="10" t="s">
        <v>1369</v>
      </c>
      <c r="F1852" s="11">
        <v>3284</v>
      </c>
      <c r="G1852" s="11">
        <v>3656</v>
      </c>
      <c r="H1852" s="11">
        <v>6940</v>
      </c>
      <c r="I1852" s="11">
        <v>3906</v>
      </c>
    </row>
    <row r="1853" spans="1:9" x14ac:dyDescent="0.2">
      <c r="A1853" s="10">
        <v>6712</v>
      </c>
      <c r="B1853" s="10">
        <v>67</v>
      </c>
      <c r="C1853" s="10" t="s">
        <v>2185</v>
      </c>
      <c r="D1853" s="10">
        <v>6788</v>
      </c>
      <c r="E1853" s="10" t="s">
        <v>2206</v>
      </c>
      <c r="F1853" s="11">
        <v>1897</v>
      </c>
      <c r="G1853" s="11">
        <v>2137</v>
      </c>
      <c r="H1853" s="11">
        <v>4034</v>
      </c>
      <c r="I1853" s="11">
        <v>1781</v>
      </c>
    </row>
    <row r="1854" spans="1:9" x14ac:dyDescent="0.2">
      <c r="A1854" s="10">
        <v>6712</v>
      </c>
      <c r="B1854" s="10">
        <v>67</v>
      </c>
      <c r="C1854" s="10" t="s">
        <v>2185</v>
      </c>
      <c r="D1854" s="10">
        <v>6789</v>
      </c>
      <c r="E1854" s="10" t="s">
        <v>2207</v>
      </c>
      <c r="F1854" s="11">
        <v>3016</v>
      </c>
      <c r="G1854" s="11">
        <v>3331</v>
      </c>
      <c r="H1854" s="11">
        <v>6347</v>
      </c>
      <c r="I1854" s="11">
        <v>3004</v>
      </c>
    </row>
    <row r="1855" spans="1:9" x14ac:dyDescent="0.2">
      <c r="A1855" s="10">
        <v>6712</v>
      </c>
      <c r="B1855" s="10">
        <v>67</v>
      </c>
      <c r="C1855" s="10" t="s">
        <v>2185</v>
      </c>
      <c r="D1855" s="10">
        <v>6790</v>
      </c>
      <c r="E1855" s="10" t="s">
        <v>2208</v>
      </c>
      <c r="F1855" s="11">
        <v>10253</v>
      </c>
      <c r="G1855" s="11">
        <v>11339</v>
      </c>
      <c r="H1855" s="11">
        <v>21592</v>
      </c>
      <c r="I1855" s="11">
        <v>9093</v>
      </c>
    </row>
    <row r="1856" spans="1:9" x14ac:dyDescent="0.2">
      <c r="A1856" s="10">
        <v>6712</v>
      </c>
      <c r="B1856" s="10">
        <v>67</v>
      </c>
      <c r="C1856" s="10" t="s">
        <v>2185</v>
      </c>
      <c r="D1856" s="10">
        <v>6791</v>
      </c>
      <c r="E1856" s="10" t="s">
        <v>2209</v>
      </c>
      <c r="F1856" s="11">
        <v>3426</v>
      </c>
      <c r="G1856" s="11">
        <v>3580</v>
      </c>
      <c r="H1856" s="11">
        <v>7006</v>
      </c>
      <c r="I1856" s="11">
        <v>3080</v>
      </c>
    </row>
    <row r="1857" spans="1:9" x14ac:dyDescent="0.2">
      <c r="A1857" s="10">
        <v>6712</v>
      </c>
      <c r="B1857" s="10">
        <v>67</v>
      </c>
      <c r="C1857" s="10" t="s">
        <v>2185</v>
      </c>
      <c r="D1857" s="10">
        <v>6792</v>
      </c>
      <c r="E1857" s="10" t="s">
        <v>2210</v>
      </c>
      <c r="F1857" s="11">
        <v>2589</v>
      </c>
      <c r="G1857" s="11">
        <v>2919</v>
      </c>
      <c r="H1857" s="11">
        <v>5508</v>
      </c>
      <c r="I1857" s="11">
        <v>2697</v>
      </c>
    </row>
    <row r="1858" spans="1:9" x14ac:dyDescent="0.2">
      <c r="A1858" s="10">
        <v>6712</v>
      </c>
      <c r="B1858" s="10">
        <v>67</v>
      </c>
      <c r="C1858" s="10" t="s">
        <v>2185</v>
      </c>
      <c r="D1858" s="10">
        <v>6793</v>
      </c>
      <c r="E1858" s="10" t="s">
        <v>809</v>
      </c>
      <c r="F1858" s="11">
        <v>1192</v>
      </c>
      <c r="G1858" s="11">
        <v>1188</v>
      </c>
      <c r="H1858" s="11">
        <v>2380</v>
      </c>
      <c r="I1858" s="11">
        <v>1001</v>
      </c>
    </row>
    <row r="1859" spans="1:9" x14ac:dyDescent="0.2">
      <c r="A1859" s="10">
        <v>6712</v>
      </c>
      <c r="B1859" s="10">
        <v>67</v>
      </c>
      <c r="C1859" s="10" t="s">
        <v>2185</v>
      </c>
      <c r="D1859" s="10">
        <v>6794</v>
      </c>
      <c r="E1859" s="10" t="s">
        <v>2211</v>
      </c>
      <c r="F1859" s="11">
        <v>1146</v>
      </c>
      <c r="G1859" s="11">
        <v>1288</v>
      </c>
      <c r="H1859" s="11">
        <v>2434</v>
      </c>
      <c r="I1859" s="11">
        <v>1087</v>
      </c>
    </row>
    <row r="1860" spans="1:9" x14ac:dyDescent="0.2">
      <c r="A1860" s="10">
        <v>6712</v>
      </c>
      <c r="B1860" s="10">
        <v>67</v>
      </c>
      <c r="C1860" s="10" t="s">
        <v>2185</v>
      </c>
      <c r="D1860" s="10">
        <v>6795</v>
      </c>
      <c r="E1860" s="10" t="s">
        <v>2212</v>
      </c>
      <c r="F1860" s="11">
        <v>1727</v>
      </c>
      <c r="G1860" s="11">
        <v>1649</v>
      </c>
      <c r="H1860" s="11">
        <v>3376</v>
      </c>
      <c r="I1860" s="11">
        <v>1867</v>
      </c>
    </row>
    <row r="1861" spans="1:9" x14ac:dyDescent="0.2">
      <c r="A1861" s="10">
        <v>6712</v>
      </c>
      <c r="B1861" s="10">
        <v>67</v>
      </c>
      <c r="C1861" s="10" t="s">
        <v>2185</v>
      </c>
      <c r="D1861" s="10">
        <v>6796</v>
      </c>
      <c r="E1861" s="10" t="s">
        <v>2213</v>
      </c>
      <c r="F1861" s="11">
        <v>1536</v>
      </c>
      <c r="G1861" s="11">
        <v>1760</v>
      </c>
      <c r="H1861" s="11">
        <v>3296</v>
      </c>
      <c r="I1861" s="11">
        <v>1355</v>
      </c>
    </row>
    <row r="1862" spans="1:9" x14ac:dyDescent="0.2">
      <c r="A1862" s="10">
        <v>6712</v>
      </c>
      <c r="B1862" s="10">
        <v>67</v>
      </c>
      <c r="C1862" s="10" t="s">
        <v>2185</v>
      </c>
      <c r="D1862" s="10">
        <v>6797</v>
      </c>
      <c r="E1862" s="10" t="s">
        <v>2214</v>
      </c>
      <c r="F1862" s="11">
        <v>3501</v>
      </c>
      <c r="G1862" s="11">
        <v>3858</v>
      </c>
      <c r="H1862" s="11">
        <v>7359</v>
      </c>
      <c r="I1862" s="11">
        <v>2653</v>
      </c>
    </row>
    <row r="1863" spans="1:9" x14ac:dyDescent="0.2">
      <c r="A1863" s="10">
        <v>6712</v>
      </c>
      <c r="B1863" s="10">
        <v>67</v>
      </c>
      <c r="C1863" s="10" t="s">
        <v>2185</v>
      </c>
      <c r="D1863" s="10">
        <v>6798</v>
      </c>
      <c r="E1863" s="10" t="s">
        <v>2215</v>
      </c>
      <c r="F1863" s="11">
        <v>5153</v>
      </c>
      <c r="G1863" s="11">
        <v>5783</v>
      </c>
      <c r="H1863" s="11">
        <v>10936</v>
      </c>
      <c r="I1863" s="11">
        <v>6740</v>
      </c>
    </row>
    <row r="1864" spans="1:9" x14ac:dyDescent="0.2">
      <c r="A1864" s="10">
        <v>6712</v>
      </c>
      <c r="B1864" s="10">
        <v>67</v>
      </c>
      <c r="C1864" s="10" t="s">
        <v>2185</v>
      </c>
      <c r="D1864" s="10">
        <v>6799</v>
      </c>
      <c r="E1864" s="10" t="s">
        <v>2216</v>
      </c>
      <c r="F1864" s="11">
        <v>9107</v>
      </c>
      <c r="G1864" s="11">
        <v>10478</v>
      </c>
      <c r="H1864" s="11">
        <v>19585</v>
      </c>
      <c r="I1864" s="11">
        <v>12945</v>
      </c>
    </row>
    <row r="1865" spans="1:9" x14ac:dyDescent="0.2">
      <c r="A1865" s="10">
        <v>6712</v>
      </c>
      <c r="B1865" s="10">
        <v>70</v>
      </c>
      <c r="C1865" s="10" t="s">
        <v>2217</v>
      </c>
      <c r="D1865" s="10">
        <v>7001</v>
      </c>
      <c r="E1865" s="10" t="s">
        <v>2218</v>
      </c>
      <c r="F1865" s="11">
        <v>60153</v>
      </c>
      <c r="G1865" s="11">
        <v>63962</v>
      </c>
      <c r="H1865" s="11">
        <v>124115</v>
      </c>
      <c r="I1865" s="11">
        <v>52162</v>
      </c>
    </row>
    <row r="1866" spans="1:9" x14ac:dyDescent="0.2">
      <c r="A1866" s="10">
        <v>6712</v>
      </c>
      <c r="B1866" s="10">
        <v>70</v>
      </c>
      <c r="C1866" s="10" t="s">
        <v>2217</v>
      </c>
      <c r="D1866" s="10">
        <v>7002</v>
      </c>
      <c r="E1866" s="10" t="s">
        <v>2219</v>
      </c>
      <c r="F1866" s="11">
        <v>28696</v>
      </c>
      <c r="G1866" s="11">
        <v>29645</v>
      </c>
      <c r="H1866" s="11">
        <v>58341</v>
      </c>
      <c r="I1866" s="11">
        <v>20865</v>
      </c>
    </row>
    <row r="1867" spans="1:9" x14ac:dyDescent="0.2">
      <c r="A1867" s="10">
        <v>6712</v>
      </c>
      <c r="B1867" s="10">
        <v>70</v>
      </c>
      <c r="C1867" s="10" t="s">
        <v>2217</v>
      </c>
      <c r="D1867" s="10">
        <v>7003</v>
      </c>
      <c r="E1867" s="10" t="s">
        <v>2220</v>
      </c>
      <c r="F1867" s="11">
        <v>25022</v>
      </c>
      <c r="G1867" s="11">
        <v>23126</v>
      </c>
      <c r="H1867" s="11">
        <v>48148</v>
      </c>
      <c r="I1867" s="11">
        <v>15578</v>
      </c>
    </row>
    <row r="1868" spans="1:9" x14ac:dyDescent="0.2">
      <c r="A1868" s="10">
        <v>6712</v>
      </c>
      <c r="B1868" s="10">
        <v>70</v>
      </c>
      <c r="C1868" s="10" t="s">
        <v>2217</v>
      </c>
      <c r="D1868" s="10">
        <v>7004</v>
      </c>
      <c r="E1868" s="10" t="s">
        <v>2221</v>
      </c>
      <c r="F1868" s="11">
        <v>34870</v>
      </c>
      <c r="G1868" s="11">
        <v>37345</v>
      </c>
      <c r="H1868" s="11">
        <v>72215</v>
      </c>
      <c r="I1868" s="11">
        <v>24547</v>
      </c>
    </row>
    <row r="1869" spans="1:9" x14ac:dyDescent="0.2">
      <c r="A1869" s="10">
        <v>6712</v>
      </c>
      <c r="B1869" s="10">
        <v>70</v>
      </c>
      <c r="C1869" s="10" t="s">
        <v>2217</v>
      </c>
      <c r="D1869" s="10">
        <v>7005</v>
      </c>
      <c r="E1869" s="10" t="s">
        <v>2222</v>
      </c>
      <c r="F1869" s="11">
        <v>46318</v>
      </c>
      <c r="G1869" s="11">
        <v>50415</v>
      </c>
      <c r="H1869" s="11">
        <v>96733</v>
      </c>
      <c r="I1869" s="11">
        <v>39680</v>
      </c>
    </row>
    <row r="1870" spans="1:9" x14ac:dyDescent="0.2">
      <c r="A1870" s="10">
        <v>6712</v>
      </c>
      <c r="B1870" s="10">
        <v>70</v>
      </c>
      <c r="C1870" s="10" t="s">
        <v>2217</v>
      </c>
      <c r="D1870" s="10">
        <v>7006</v>
      </c>
      <c r="E1870" s="10" t="s">
        <v>2223</v>
      </c>
      <c r="F1870" s="11">
        <v>8438</v>
      </c>
      <c r="G1870" s="11">
        <v>9222</v>
      </c>
      <c r="H1870" s="11">
        <v>17660</v>
      </c>
      <c r="I1870" s="11">
        <v>6927</v>
      </c>
    </row>
    <row r="1871" spans="1:9" x14ac:dyDescent="0.2">
      <c r="A1871" s="10">
        <v>6712</v>
      </c>
      <c r="B1871" s="10">
        <v>70</v>
      </c>
      <c r="C1871" s="10" t="s">
        <v>2217</v>
      </c>
      <c r="D1871" s="10">
        <v>7007</v>
      </c>
      <c r="E1871" s="10" t="s">
        <v>2224</v>
      </c>
      <c r="F1871" s="11">
        <v>34461</v>
      </c>
      <c r="G1871" s="11">
        <v>36798</v>
      </c>
      <c r="H1871" s="11">
        <v>71259</v>
      </c>
      <c r="I1871" s="11">
        <v>27161</v>
      </c>
    </row>
    <row r="1872" spans="1:9" x14ac:dyDescent="0.2">
      <c r="A1872" s="10">
        <v>6712</v>
      </c>
      <c r="B1872" s="10">
        <v>70</v>
      </c>
      <c r="C1872" s="10" t="s">
        <v>2217</v>
      </c>
      <c r="D1872" s="10">
        <v>7008</v>
      </c>
      <c r="E1872" s="10" t="s">
        <v>2225</v>
      </c>
      <c r="F1872" s="11">
        <v>25565</v>
      </c>
      <c r="G1872" s="11">
        <v>26158</v>
      </c>
      <c r="H1872" s="11">
        <v>51723</v>
      </c>
      <c r="I1872" s="11">
        <v>19939</v>
      </c>
    </row>
    <row r="1873" spans="1:9" x14ac:dyDescent="0.2">
      <c r="A1873" s="10">
        <v>6712</v>
      </c>
      <c r="B1873" s="10">
        <v>70</v>
      </c>
      <c r="C1873" s="10" t="s">
        <v>2217</v>
      </c>
      <c r="D1873" s="10">
        <v>7009</v>
      </c>
      <c r="E1873" s="10" t="s">
        <v>2226</v>
      </c>
      <c r="F1873" s="11">
        <v>5071</v>
      </c>
      <c r="G1873" s="11">
        <v>5598</v>
      </c>
      <c r="H1873" s="11">
        <v>10669</v>
      </c>
      <c r="I1873" s="11">
        <v>3836</v>
      </c>
    </row>
    <row r="1874" spans="1:9" x14ac:dyDescent="0.2">
      <c r="A1874" s="10">
        <v>6712</v>
      </c>
      <c r="B1874" s="10">
        <v>70</v>
      </c>
      <c r="C1874" s="10" t="s">
        <v>2217</v>
      </c>
      <c r="D1874" s="10">
        <v>7010</v>
      </c>
      <c r="E1874" s="10" t="s">
        <v>2227</v>
      </c>
      <c r="F1874" s="11">
        <v>12777</v>
      </c>
      <c r="G1874" s="11">
        <v>12288</v>
      </c>
      <c r="H1874" s="11">
        <v>25065</v>
      </c>
      <c r="I1874" s="11">
        <v>10157</v>
      </c>
    </row>
    <row r="1875" spans="1:9" x14ac:dyDescent="0.2">
      <c r="A1875" s="10">
        <v>6712</v>
      </c>
      <c r="B1875" s="10">
        <v>70</v>
      </c>
      <c r="C1875" s="10" t="s">
        <v>2217</v>
      </c>
      <c r="D1875" s="10">
        <v>7070</v>
      </c>
      <c r="E1875" s="10" t="s">
        <v>2228</v>
      </c>
      <c r="F1875" s="11">
        <v>3322</v>
      </c>
      <c r="G1875" s="11">
        <v>3706</v>
      </c>
      <c r="H1875" s="11">
        <v>7028</v>
      </c>
      <c r="I1875" s="11">
        <v>3366</v>
      </c>
    </row>
    <row r="1876" spans="1:9" x14ac:dyDescent="0.2">
      <c r="A1876" s="10">
        <v>6712</v>
      </c>
      <c r="B1876" s="10">
        <v>70</v>
      </c>
      <c r="C1876" s="10" t="s">
        <v>2217</v>
      </c>
      <c r="D1876" s="10">
        <v>7071</v>
      </c>
      <c r="E1876" s="10" t="s">
        <v>2229</v>
      </c>
      <c r="F1876" s="11">
        <v>2534</v>
      </c>
      <c r="G1876" s="11">
        <v>2675</v>
      </c>
      <c r="H1876" s="11">
        <v>5209</v>
      </c>
      <c r="I1876" s="11">
        <v>2007</v>
      </c>
    </row>
    <row r="1877" spans="1:9" x14ac:dyDescent="0.2">
      <c r="A1877" s="10">
        <v>6712</v>
      </c>
      <c r="B1877" s="10">
        <v>70</v>
      </c>
      <c r="C1877" s="10" t="s">
        <v>2217</v>
      </c>
      <c r="D1877" s="10">
        <v>7072</v>
      </c>
      <c r="E1877" s="10" t="s">
        <v>2230</v>
      </c>
      <c r="F1877" s="11">
        <v>7654</v>
      </c>
      <c r="G1877" s="11">
        <v>8712</v>
      </c>
      <c r="H1877" s="11">
        <v>16366</v>
      </c>
      <c r="I1877" s="11">
        <v>7156</v>
      </c>
    </row>
    <row r="1878" spans="1:9" x14ac:dyDescent="0.2">
      <c r="A1878" s="10">
        <v>6712</v>
      </c>
      <c r="B1878" s="10">
        <v>70</v>
      </c>
      <c r="C1878" s="10" t="s">
        <v>2217</v>
      </c>
      <c r="D1878" s="10">
        <v>7073</v>
      </c>
      <c r="E1878" s="10" t="s">
        <v>2116</v>
      </c>
      <c r="F1878" s="11">
        <v>6903</v>
      </c>
      <c r="G1878" s="11">
        <v>7043</v>
      </c>
      <c r="H1878" s="11">
        <v>13946</v>
      </c>
      <c r="I1878" s="11">
        <v>4712</v>
      </c>
    </row>
    <row r="1879" spans="1:9" x14ac:dyDescent="0.2">
      <c r="A1879" s="10">
        <v>6712</v>
      </c>
      <c r="B1879" s="10">
        <v>70</v>
      </c>
      <c r="C1879" s="10" t="s">
        <v>2217</v>
      </c>
      <c r="D1879" s="10">
        <v>7074</v>
      </c>
      <c r="E1879" s="10" t="s">
        <v>2231</v>
      </c>
      <c r="F1879" s="11">
        <v>4122</v>
      </c>
      <c r="G1879" s="11">
        <v>4646</v>
      </c>
      <c r="H1879" s="11">
        <v>8768</v>
      </c>
      <c r="I1879" s="11">
        <v>3860</v>
      </c>
    </row>
    <row r="1880" spans="1:9" x14ac:dyDescent="0.2">
      <c r="A1880" s="10">
        <v>6712</v>
      </c>
      <c r="B1880" s="10">
        <v>70</v>
      </c>
      <c r="C1880" s="10" t="s">
        <v>2217</v>
      </c>
      <c r="D1880" s="10">
        <v>7075</v>
      </c>
      <c r="E1880" s="10" t="s">
        <v>2232</v>
      </c>
      <c r="F1880" s="11">
        <v>6154</v>
      </c>
      <c r="G1880" s="11">
        <v>6710</v>
      </c>
      <c r="H1880" s="11">
        <v>12864</v>
      </c>
      <c r="I1880" s="11">
        <v>4138</v>
      </c>
    </row>
    <row r="1881" spans="1:9" x14ac:dyDescent="0.2">
      <c r="A1881" s="10">
        <v>6712</v>
      </c>
      <c r="B1881" s="10">
        <v>70</v>
      </c>
      <c r="C1881" s="10" t="s">
        <v>2217</v>
      </c>
      <c r="D1881" s="10">
        <v>7076</v>
      </c>
      <c r="E1881" s="10" t="s">
        <v>2233</v>
      </c>
      <c r="F1881" s="11">
        <v>5694</v>
      </c>
      <c r="G1881" s="11">
        <v>6309</v>
      </c>
      <c r="H1881" s="11">
        <v>12003</v>
      </c>
      <c r="I1881" s="11">
        <v>4825</v>
      </c>
    </row>
    <row r="1882" spans="1:9" x14ac:dyDescent="0.2">
      <c r="A1882" s="10">
        <v>6712</v>
      </c>
      <c r="B1882" s="10">
        <v>70</v>
      </c>
      <c r="C1882" s="10" t="s">
        <v>2217</v>
      </c>
      <c r="D1882" s="10">
        <v>7077</v>
      </c>
      <c r="E1882" s="10" t="s">
        <v>2234</v>
      </c>
      <c r="F1882" s="10">
        <v>633</v>
      </c>
      <c r="G1882" s="10">
        <v>704</v>
      </c>
      <c r="H1882" s="11">
        <v>1337</v>
      </c>
      <c r="I1882" s="10">
        <v>569</v>
      </c>
    </row>
    <row r="1883" spans="1:9" x14ac:dyDescent="0.2">
      <c r="A1883" s="10">
        <v>6712</v>
      </c>
      <c r="B1883" s="10">
        <v>70</v>
      </c>
      <c r="C1883" s="10" t="s">
        <v>2217</v>
      </c>
      <c r="D1883" s="10">
        <v>7078</v>
      </c>
      <c r="E1883" s="10" t="s">
        <v>2235</v>
      </c>
      <c r="F1883" s="11">
        <v>1305</v>
      </c>
      <c r="G1883" s="11">
        <v>1394</v>
      </c>
      <c r="H1883" s="11">
        <v>2699</v>
      </c>
      <c r="I1883" s="11">
        <v>1449</v>
      </c>
    </row>
    <row r="1884" spans="1:9" x14ac:dyDescent="0.2">
      <c r="A1884" s="10">
        <v>6712</v>
      </c>
      <c r="B1884" s="10">
        <v>70</v>
      </c>
      <c r="C1884" s="10" t="s">
        <v>2217</v>
      </c>
      <c r="D1884" s="10">
        <v>7079</v>
      </c>
      <c r="E1884" s="10" t="s">
        <v>2236</v>
      </c>
      <c r="F1884" s="11">
        <v>1740</v>
      </c>
      <c r="G1884" s="11">
        <v>2025</v>
      </c>
      <c r="H1884" s="11">
        <v>3765</v>
      </c>
      <c r="I1884" s="11">
        <v>2282</v>
      </c>
    </row>
    <row r="1885" spans="1:9" x14ac:dyDescent="0.2">
      <c r="A1885" s="10">
        <v>6712</v>
      </c>
      <c r="B1885" s="10">
        <v>70</v>
      </c>
      <c r="C1885" s="10" t="s">
        <v>2217</v>
      </c>
      <c r="D1885" s="10">
        <v>7080</v>
      </c>
      <c r="E1885" s="10" t="s">
        <v>2237</v>
      </c>
      <c r="F1885" s="11">
        <v>5287</v>
      </c>
      <c r="G1885" s="11">
        <v>5840</v>
      </c>
      <c r="H1885" s="11">
        <v>11127</v>
      </c>
      <c r="I1885" s="11">
        <v>5599</v>
      </c>
    </row>
    <row r="1886" spans="1:9" x14ac:dyDescent="0.2">
      <c r="A1886" s="10">
        <v>6712</v>
      </c>
      <c r="B1886" s="10">
        <v>70</v>
      </c>
      <c r="C1886" s="10" t="s">
        <v>2217</v>
      </c>
      <c r="D1886" s="10">
        <v>7081</v>
      </c>
      <c r="E1886" s="10" t="s">
        <v>2238</v>
      </c>
      <c r="F1886" s="11">
        <v>2752</v>
      </c>
      <c r="G1886" s="11">
        <v>3044</v>
      </c>
      <c r="H1886" s="11">
        <v>5796</v>
      </c>
      <c r="I1886" s="11">
        <v>2484</v>
      </c>
    </row>
    <row r="1887" spans="1:9" x14ac:dyDescent="0.2">
      <c r="A1887" s="10">
        <v>6712</v>
      </c>
      <c r="B1887" s="10">
        <v>70</v>
      </c>
      <c r="C1887" s="10" t="s">
        <v>2217</v>
      </c>
      <c r="D1887" s="10">
        <v>7082</v>
      </c>
      <c r="E1887" s="10" t="s">
        <v>2239</v>
      </c>
      <c r="F1887" s="11">
        <v>3528</v>
      </c>
      <c r="G1887" s="11">
        <v>3763</v>
      </c>
      <c r="H1887" s="11">
        <v>7291</v>
      </c>
      <c r="I1887" s="11">
        <v>2763</v>
      </c>
    </row>
    <row r="1888" spans="1:9" x14ac:dyDescent="0.2">
      <c r="A1888" s="10">
        <v>6712</v>
      </c>
      <c r="B1888" s="10">
        <v>70</v>
      </c>
      <c r="C1888" s="10" t="s">
        <v>2217</v>
      </c>
      <c r="D1888" s="10">
        <v>7083</v>
      </c>
      <c r="E1888" s="10" t="s">
        <v>2240</v>
      </c>
      <c r="F1888" s="11">
        <v>5028</v>
      </c>
      <c r="G1888" s="11">
        <v>5360</v>
      </c>
      <c r="H1888" s="11">
        <v>10388</v>
      </c>
      <c r="I1888" s="11">
        <v>3893</v>
      </c>
    </row>
    <row r="1889" spans="1:9" x14ac:dyDescent="0.2">
      <c r="A1889" s="10">
        <v>6712</v>
      </c>
      <c r="B1889" s="10">
        <v>70</v>
      </c>
      <c r="C1889" s="10" t="s">
        <v>2217</v>
      </c>
      <c r="D1889" s="10">
        <v>7084</v>
      </c>
      <c r="E1889" s="10" t="s">
        <v>2241</v>
      </c>
      <c r="F1889" s="11">
        <v>7546</v>
      </c>
      <c r="G1889" s="11">
        <v>8316</v>
      </c>
      <c r="H1889" s="11">
        <v>15862</v>
      </c>
      <c r="I1889" s="11">
        <v>6970</v>
      </c>
    </row>
    <row r="1890" spans="1:9" x14ac:dyDescent="0.2">
      <c r="A1890" s="10">
        <v>6712</v>
      </c>
      <c r="B1890" s="10">
        <v>70</v>
      </c>
      <c r="C1890" s="10" t="s">
        <v>2217</v>
      </c>
      <c r="D1890" s="10">
        <v>7085</v>
      </c>
      <c r="E1890" s="10" t="s">
        <v>2242</v>
      </c>
      <c r="F1890" s="10">
        <v>781</v>
      </c>
      <c r="G1890" s="10">
        <v>814</v>
      </c>
      <c r="H1890" s="11">
        <v>1595</v>
      </c>
      <c r="I1890" s="10">
        <v>750</v>
      </c>
    </row>
    <row r="1891" spans="1:9" x14ac:dyDescent="0.2">
      <c r="A1891" s="10">
        <v>6712</v>
      </c>
      <c r="B1891" s="10">
        <v>70</v>
      </c>
      <c r="C1891" s="10" t="s">
        <v>2217</v>
      </c>
      <c r="D1891" s="10">
        <v>7086</v>
      </c>
      <c r="E1891" s="10" t="s">
        <v>2243</v>
      </c>
      <c r="F1891" s="11">
        <v>9616</v>
      </c>
      <c r="G1891" s="11">
        <v>10326</v>
      </c>
      <c r="H1891" s="11">
        <v>19942</v>
      </c>
      <c r="I1891" s="11">
        <v>8822</v>
      </c>
    </row>
    <row r="1892" spans="1:9" x14ac:dyDescent="0.2">
      <c r="A1892" s="10">
        <v>6712</v>
      </c>
      <c r="B1892" s="10">
        <v>70</v>
      </c>
      <c r="C1892" s="10" t="s">
        <v>2217</v>
      </c>
      <c r="D1892" s="10">
        <v>7087</v>
      </c>
      <c r="E1892" s="10" t="s">
        <v>2244</v>
      </c>
      <c r="F1892" s="11">
        <v>3695</v>
      </c>
      <c r="G1892" s="11">
        <v>4087</v>
      </c>
      <c r="H1892" s="11">
        <v>7782</v>
      </c>
      <c r="I1892" s="11">
        <v>4028</v>
      </c>
    </row>
    <row r="1893" spans="1:9" x14ac:dyDescent="0.2">
      <c r="A1893" s="10">
        <v>6712</v>
      </c>
      <c r="B1893" s="10">
        <v>70</v>
      </c>
      <c r="C1893" s="10" t="s">
        <v>2217</v>
      </c>
      <c r="D1893" s="10">
        <v>7088</v>
      </c>
      <c r="E1893" s="10" t="s">
        <v>2245</v>
      </c>
      <c r="F1893" s="11">
        <v>4870</v>
      </c>
      <c r="G1893" s="11">
        <v>5400</v>
      </c>
      <c r="H1893" s="11">
        <v>10270</v>
      </c>
      <c r="I1893" s="11">
        <v>3637</v>
      </c>
    </row>
    <row r="1894" spans="1:9" x14ac:dyDescent="0.2">
      <c r="A1894" s="10">
        <v>6712</v>
      </c>
      <c r="B1894" s="10">
        <v>70</v>
      </c>
      <c r="C1894" s="10" t="s">
        <v>2217</v>
      </c>
      <c r="D1894" s="10">
        <v>7089</v>
      </c>
      <c r="E1894" s="10" t="s">
        <v>2246</v>
      </c>
      <c r="F1894" s="11">
        <v>3204</v>
      </c>
      <c r="G1894" s="11">
        <v>3670</v>
      </c>
      <c r="H1894" s="11">
        <v>6874</v>
      </c>
      <c r="I1894" s="11">
        <v>3361</v>
      </c>
    </row>
    <row r="1895" spans="1:9" x14ac:dyDescent="0.2">
      <c r="A1895" s="10">
        <v>6712</v>
      </c>
      <c r="B1895" s="10">
        <v>70</v>
      </c>
      <c r="C1895" s="10" t="s">
        <v>2217</v>
      </c>
      <c r="D1895" s="10">
        <v>7090</v>
      </c>
      <c r="E1895" s="10" t="s">
        <v>2247</v>
      </c>
      <c r="F1895" s="11">
        <v>1733</v>
      </c>
      <c r="G1895" s="11">
        <v>1730</v>
      </c>
      <c r="H1895" s="11">
        <v>3463</v>
      </c>
      <c r="I1895" s="11">
        <v>1934</v>
      </c>
    </row>
    <row r="1896" spans="1:9" x14ac:dyDescent="0.2">
      <c r="A1896" s="10">
        <v>6712</v>
      </c>
      <c r="B1896" s="10">
        <v>70</v>
      </c>
      <c r="C1896" s="10" t="s">
        <v>2217</v>
      </c>
      <c r="D1896" s="10">
        <v>7091</v>
      </c>
      <c r="E1896" s="10" t="s">
        <v>2248</v>
      </c>
      <c r="F1896" s="11">
        <v>1897</v>
      </c>
      <c r="G1896" s="11">
        <v>1901</v>
      </c>
      <c r="H1896" s="11">
        <v>3798</v>
      </c>
      <c r="I1896" s="11">
        <v>2012</v>
      </c>
    </row>
    <row r="1897" spans="1:9" x14ac:dyDescent="0.2">
      <c r="A1897" s="10">
        <v>6712</v>
      </c>
      <c r="B1897" s="10">
        <v>70</v>
      </c>
      <c r="C1897" s="10" t="s">
        <v>2217</v>
      </c>
      <c r="D1897" s="10">
        <v>7092</v>
      </c>
      <c r="E1897" s="10" t="s">
        <v>2249</v>
      </c>
      <c r="F1897" s="11">
        <v>1249</v>
      </c>
      <c r="G1897" s="11">
        <v>1223</v>
      </c>
      <c r="H1897" s="11">
        <v>2472</v>
      </c>
      <c r="I1897" s="10">
        <v>862</v>
      </c>
    </row>
    <row r="1898" spans="1:9" x14ac:dyDescent="0.2">
      <c r="A1898" s="10">
        <v>6712</v>
      </c>
      <c r="B1898" s="10">
        <v>70</v>
      </c>
      <c r="C1898" s="10" t="s">
        <v>2217</v>
      </c>
      <c r="D1898" s="10">
        <v>7093</v>
      </c>
      <c r="E1898" s="10" t="s">
        <v>2250</v>
      </c>
      <c r="F1898" s="11">
        <v>2207</v>
      </c>
      <c r="G1898" s="11">
        <v>2536</v>
      </c>
      <c r="H1898" s="11">
        <v>4743</v>
      </c>
      <c r="I1898" s="11">
        <v>3798</v>
      </c>
    </row>
    <row r="1899" spans="1:9" x14ac:dyDescent="0.2">
      <c r="A1899" s="10">
        <v>6712</v>
      </c>
      <c r="B1899" s="10">
        <v>70</v>
      </c>
      <c r="C1899" s="10" t="s">
        <v>2217</v>
      </c>
      <c r="D1899" s="10">
        <v>7094</v>
      </c>
      <c r="E1899" s="10" t="s">
        <v>2251</v>
      </c>
      <c r="F1899" s="11">
        <v>5301</v>
      </c>
      <c r="G1899" s="11">
        <v>5761</v>
      </c>
      <c r="H1899" s="11">
        <v>11062</v>
      </c>
      <c r="I1899" s="11">
        <v>4694</v>
      </c>
    </row>
    <row r="1900" spans="1:9" x14ac:dyDescent="0.2">
      <c r="A1900" s="10">
        <v>6712</v>
      </c>
      <c r="B1900" s="10">
        <v>70</v>
      </c>
      <c r="C1900" s="10" t="s">
        <v>2217</v>
      </c>
      <c r="D1900" s="10">
        <v>7095</v>
      </c>
      <c r="E1900" s="10" t="s">
        <v>2252</v>
      </c>
      <c r="F1900" s="11">
        <v>8940</v>
      </c>
      <c r="G1900" s="11">
        <v>8092</v>
      </c>
      <c r="H1900" s="11">
        <v>17032</v>
      </c>
      <c r="I1900" s="11">
        <v>7609</v>
      </c>
    </row>
    <row r="1901" spans="1:9" x14ac:dyDescent="0.2">
      <c r="A1901" s="10">
        <v>6712</v>
      </c>
      <c r="B1901" s="10">
        <v>70</v>
      </c>
      <c r="C1901" s="10" t="s">
        <v>2217</v>
      </c>
      <c r="D1901" s="10">
        <v>7096</v>
      </c>
      <c r="E1901" s="10" t="s">
        <v>2253</v>
      </c>
      <c r="F1901" s="11">
        <v>4401</v>
      </c>
      <c r="G1901" s="11">
        <v>4930</v>
      </c>
      <c r="H1901" s="11">
        <v>9331</v>
      </c>
      <c r="I1901" s="11">
        <v>3450</v>
      </c>
    </row>
    <row r="1902" spans="1:9" x14ac:dyDescent="0.2">
      <c r="A1902" s="10">
        <v>6712</v>
      </c>
      <c r="B1902" s="10">
        <v>70</v>
      </c>
      <c r="C1902" s="10" t="s">
        <v>2217</v>
      </c>
      <c r="D1902" s="10">
        <v>7097</v>
      </c>
      <c r="E1902" s="10" t="s">
        <v>2254</v>
      </c>
      <c r="F1902" s="11">
        <v>3770</v>
      </c>
      <c r="G1902" s="11">
        <v>4178</v>
      </c>
      <c r="H1902" s="11">
        <v>7948</v>
      </c>
      <c r="I1902" s="11">
        <v>3801</v>
      </c>
    </row>
    <row r="1903" spans="1:9" x14ac:dyDescent="0.2">
      <c r="A1903" s="10">
        <v>6712</v>
      </c>
      <c r="B1903" s="10">
        <v>70</v>
      </c>
      <c r="C1903" s="10" t="s">
        <v>2217</v>
      </c>
      <c r="D1903" s="10">
        <v>7098</v>
      </c>
      <c r="E1903" s="10" t="s">
        <v>2255</v>
      </c>
      <c r="F1903" s="11">
        <v>6807</v>
      </c>
      <c r="G1903" s="11">
        <v>7837</v>
      </c>
      <c r="H1903" s="11">
        <v>14644</v>
      </c>
      <c r="I1903" s="11">
        <v>8367</v>
      </c>
    </row>
    <row r="1904" spans="1:9" x14ac:dyDescent="0.2">
      <c r="A1904" s="10">
        <v>6712</v>
      </c>
      <c r="B1904" s="10">
        <v>70</v>
      </c>
      <c r="C1904" s="10" t="s">
        <v>2217</v>
      </c>
      <c r="D1904" s="10">
        <v>7099</v>
      </c>
      <c r="E1904" s="10" t="s">
        <v>2256</v>
      </c>
      <c r="F1904" s="11">
        <v>14903</v>
      </c>
      <c r="G1904" s="11">
        <v>17801</v>
      </c>
      <c r="H1904" s="11">
        <v>32704</v>
      </c>
      <c r="I1904" s="11">
        <v>16668</v>
      </c>
    </row>
    <row r="1905" spans="1:9" x14ac:dyDescent="0.2">
      <c r="A1905" s="10">
        <v>6712</v>
      </c>
      <c r="B1905" s="10">
        <v>71</v>
      </c>
      <c r="C1905" s="10" t="s">
        <v>2257</v>
      </c>
      <c r="D1905" s="10">
        <v>7101</v>
      </c>
      <c r="E1905" s="10" t="s">
        <v>2258</v>
      </c>
      <c r="F1905" s="11">
        <v>53705</v>
      </c>
      <c r="G1905" s="11">
        <v>43933</v>
      </c>
      <c r="H1905" s="11">
        <v>97638</v>
      </c>
      <c r="I1905" s="11">
        <v>41020</v>
      </c>
    </row>
    <row r="1906" spans="1:9" x14ac:dyDescent="0.2">
      <c r="A1906" s="10">
        <v>6712</v>
      </c>
      <c r="B1906" s="10">
        <v>71</v>
      </c>
      <c r="C1906" s="10" t="s">
        <v>2257</v>
      </c>
      <c r="D1906" s="10">
        <v>7102</v>
      </c>
      <c r="E1906" s="10" t="s">
        <v>2259</v>
      </c>
      <c r="F1906" s="11">
        <v>31203</v>
      </c>
      <c r="G1906" s="11">
        <v>29496</v>
      </c>
      <c r="H1906" s="11">
        <v>60699</v>
      </c>
      <c r="I1906" s="11">
        <v>21755</v>
      </c>
    </row>
    <row r="1907" spans="1:9" x14ac:dyDescent="0.2">
      <c r="A1907" s="10">
        <v>6712</v>
      </c>
      <c r="B1907" s="10">
        <v>71</v>
      </c>
      <c r="C1907" s="10" t="s">
        <v>2257</v>
      </c>
      <c r="D1907" s="10">
        <v>7103</v>
      </c>
      <c r="E1907" s="10" t="s">
        <v>2260</v>
      </c>
      <c r="F1907" s="11">
        <v>24053</v>
      </c>
      <c r="G1907" s="11">
        <v>24276</v>
      </c>
      <c r="H1907" s="11">
        <v>48329</v>
      </c>
      <c r="I1907" s="11">
        <v>19491</v>
      </c>
    </row>
    <row r="1908" spans="1:9" x14ac:dyDescent="0.2">
      <c r="A1908" s="10">
        <v>6712</v>
      </c>
      <c r="B1908" s="10">
        <v>71</v>
      </c>
      <c r="C1908" s="10" t="s">
        <v>2257</v>
      </c>
      <c r="D1908" s="10">
        <v>7104</v>
      </c>
      <c r="E1908" s="10" t="s">
        <v>2261</v>
      </c>
      <c r="F1908" s="11">
        <v>13294</v>
      </c>
      <c r="G1908" s="11">
        <v>12550</v>
      </c>
      <c r="H1908" s="11">
        <v>25844</v>
      </c>
      <c r="I1908" s="11">
        <v>10672</v>
      </c>
    </row>
    <row r="1909" spans="1:9" x14ac:dyDescent="0.2">
      <c r="A1909" s="10">
        <v>6712</v>
      </c>
      <c r="B1909" s="10">
        <v>71</v>
      </c>
      <c r="C1909" s="10" t="s">
        <v>2257</v>
      </c>
      <c r="D1909" s="10">
        <v>7105</v>
      </c>
      <c r="E1909" s="10" t="s">
        <v>2262</v>
      </c>
      <c r="F1909" s="11">
        <v>43866</v>
      </c>
      <c r="G1909" s="11">
        <v>46774</v>
      </c>
      <c r="H1909" s="11">
        <v>90640</v>
      </c>
      <c r="I1909" s="11">
        <v>33417</v>
      </c>
    </row>
    <row r="1910" spans="1:9" x14ac:dyDescent="0.2">
      <c r="A1910" s="10">
        <v>6712</v>
      </c>
      <c r="B1910" s="10">
        <v>71</v>
      </c>
      <c r="C1910" s="10" t="s">
        <v>2257</v>
      </c>
      <c r="D1910" s="10">
        <v>7106</v>
      </c>
      <c r="E1910" s="10" t="s">
        <v>2263</v>
      </c>
      <c r="F1910" s="11">
        <v>28199</v>
      </c>
      <c r="G1910" s="11">
        <v>30128</v>
      </c>
      <c r="H1910" s="11">
        <v>58327</v>
      </c>
      <c r="I1910" s="11">
        <v>25626</v>
      </c>
    </row>
    <row r="1911" spans="1:9" x14ac:dyDescent="0.2">
      <c r="A1911" s="10">
        <v>6712</v>
      </c>
      <c r="B1911" s="10">
        <v>71</v>
      </c>
      <c r="C1911" s="10" t="s">
        <v>2257</v>
      </c>
      <c r="D1911" s="10">
        <v>7107</v>
      </c>
      <c r="E1911" s="10" t="s">
        <v>2264</v>
      </c>
      <c r="F1911" s="11">
        <v>35360</v>
      </c>
      <c r="G1911" s="11">
        <v>32903</v>
      </c>
      <c r="H1911" s="11">
        <v>68263</v>
      </c>
      <c r="I1911" s="11">
        <v>28793</v>
      </c>
    </row>
    <row r="1912" spans="1:9" x14ac:dyDescent="0.2">
      <c r="A1912" s="10">
        <v>6712</v>
      </c>
      <c r="B1912" s="10">
        <v>71</v>
      </c>
      <c r="C1912" s="10" t="s">
        <v>2257</v>
      </c>
      <c r="D1912" s="10">
        <v>7108</v>
      </c>
      <c r="E1912" s="10" t="s">
        <v>2265</v>
      </c>
      <c r="F1912" s="11">
        <v>23025</v>
      </c>
      <c r="G1912" s="11">
        <v>21665</v>
      </c>
      <c r="H1912" s="11">
        <v>44690</v>
      </c>
      <c r="I1912" s="11">
        <v>12951</v>
      </c>
    </row>
    <row r="1913" spans="1:9" x14ac:dyDescent="0.2">
      <c r="A1913" s="10">
        <v>6712</v>
      </c>
      <c r="B1913" s="10">
        <v>71</v>
      </c>
      <c r="C1913" s="10" t="s">
        <v>2257</v>
      </c>
      <c r="D1913" s="10">
        <v>7109</v>
      </c>
      <c r="E1913" s="10" t="s">
        <v>2266</v>
      </c>
      <c r="F1913" s="11">
        <v>15680</v>
      </c>
      <c r="G1913" s="11">
        <v>16736</v>
      </c>
      <c r="H1913" s="11">
        <v>32416</v>
      </c>
      <c r="I1913" s="11">
        <v>11959</v>
      </c>
    </row>
    <row r="1914" spans="1:9" x14ac:dyDescent="0.2">
      <c r="A1914" s="10">
        <v>6712</v>
      </c>
      <c r="B1914" s="10">
        <v>71</v>
      </c>
      <c r="C1914" s="10" t="s">
        <v>2257</v>
      </c>
      <c r="D1914" s="10">
        <v>7110</v>
      </c>
      <c r="E1914" s="10" t="s">
        <v>2267</v>
      </c>
      <c r="F1914" s="11">
        <v>26726</v>
      </c>
      <c r="G1914" s="11">
        <v>27010</v>
      </c>
      <c r="H1914" s="11">
        <v>53736</v>
      </c>
      <c r="I1914" s="11">
        <v>19798</v>
      </c>
    </row>
    <row r="1915" spans="1:9" x14ac:dyDescent="0.2">
      <c r="A1915" s="10">
        <v>6712</v>
      </c>
      <c r="B1915" s="10">
        <v>71</v>
      </c>
      <c r="C1915" s="10" t="s">
        <v>2257</v>
      </c>
      <c r="D1915" s="10">
        <v>7111</v>
      </c>
      <c r="E1915" s="10" t="s">
        <v>2268</v>
      </c>
      <c r="F1915" s="11">
        <v>15566</v>
      </c>
      <c r="G1915" s="11">
        <v>15737</v>
      </c>
      <c r="H1915" s="11">
        <v>31303</v>
      </c>
      <c r="I1915" s="11">
        <v>11387</v>
      </c>
    </row>
    <row r="1916" spans="1:9" x14ac:dyDescent="0.2">
      <c r="A1916" s="10">
        <v>6712</v>
      </c>
      <c r="B1916" s="10">
        <v>71</v>
      </c>
      <c r="C1916" s="10" t="s">
        <v>2257</v>
      </c>
      <c r="D1916" s="10">
        <v>7112</v>
      </c>
      <c r="E1916" s="10" t="s">
        <v>2269</v>
      </c>
      <c r="F1916" s="11">
        <v>13847</v>
      </c>
      <c r="G1916" s="11">
        <v>13510</v>
      </c>
      <c r="H1916" s="11">
        <v>27357</v>
      </c>
      <c r="I1916" s="11">
        <v>10106</v>
      </c>
    </row>
    <row r="1917" spans="1:9" x14ac:dyDescent="0.2">
      <c r="A1917" s="10">
        <v>6712</v>
      </c>
      <c r="B1917" s="10">
        <v>71</v>
      </c>
      <c r="C1917" s="10" t="s">
        <v>2257</v>
      </c>
      <c r="D1917" s="10">
        <v>7113</v>
      </c>
      <c r="E1917" s="10" t="s">
        <v>2270</v>
      </c>
      <c r="F1917" s="11">
        <v>16684</v>
      </c>
      <c r="G1917" s="11">
        <v>17414</v>
      </c>
      <c r="H1917" s="11">
        <v>34098</v>
      </c>
      <c r="I1917" s="11">
        <v>12599</v>
      </c>
    </row>
    <row r="1918" spans="1:9" x14ac:dyDescent="0.2">
      <c r="A1918" s="10">
        <v>6712</v>
      </c>
      <c r="B1918" s="10">
        <v>71</v>
      </c>
      <c r="C1918" s="10" t="s">
        <v>2257</v>
      </c>
      <c r="D1918" s="10">
        <v>7167</v>
      </c>
      <c r="E1918" s="10" t="s">
        <v>2271</v>
      </c>
      <c r="F1918" s="11">
        <v>3576</v>
      </c>
      <c r="G1918" s="11">
        <v>3593</v>
      </c>
      <c r="H1918" s="11">
        <v>7169</v>
      </c>
      <c r="I1918" s="11">
        <v>2701</v>
      </c>
    </row>
    <row r="1919" spans="1:9" x14ac:dyDescent="0.2">
      <c r="A1919" s="10">
        <v>6712</v>
      </c>
      <c r="B1919" s="10">
        <v>71</v>
      </c>
      <c r="C1919" s="10" t="s">
        <v>2257</v>
      </c>
      <c r="D1919" s="10">
        <v>7168</v>
      </c>
      <c r="E1919" s="10" t="s">
        <v>2272</v>
      </c>
      <c r="F1919" s="11">
        <v>1727</v>
      </c>
      <c r="G1919" s="11">
        <v>1940</v>
      </c>
      <c r="H1919" s="11">
        <v>3667</v>
      </c>
      <c r="I1919" s="11">
        <v>1261</v>
      </c>
    </row>
    <row r="1920" spans="1:9" x14ac:dyDescent="0.2">
      <c r="A1920" s="10">
        <v>6712</v>
      </c>
      <c r="B1920" s="10">
        <v>71</v>
      </c>
      <c r="C1920" s="10" t="s">
        <v>2257</v>
      </c>
      <c r="D1920" s="10">
        <v>7169</v>
      </c>
      <c r="E1920" s="10" t="s">
        <v>2273</v>
      </c>
      <c r="F1920" s="11">
        <v>13488</v>
      </c>
      <c r="G1920" s="11">
        <v>15102</v>
      </c>
      <c r="H1920" s="11">
        <v>28590</v>
      </c>
      <c r="I1920" s="11">
        <v>17024</v>
      </c>
    </row>
    <row r="1921" spans="1:9" x14ac:dyDescent="0.2">
      <c r="A1921" s="10">
        <v>6712</v>
      </c>
      <c r="B1921" s="10">
        <v>71</v>
      </c>
      <c r="C1921" s="10" t="s">
        <v>2257</v>
      </c>
      <c r="D1921" s="10">
        <v>7170</v>
      </c>
      <c r="E1921" s="10" t="s">
        <v>2274</v>
      </c>
      <c r="F1921" s="11">
        <v>5707</v>
      </c>
      <c r="G1921" s="11">
        <v>6074</v>
      </c>
      <c r="H1921" s="11">
        <v>11781</v>
      </c>
      <c r="I1921" s="11">
        <v>5465</v>
      </c>
    </row>
    <row r="1922" spans="1:9" x14ac:dyDescent="0.2">
      <c r="A1922" s="10">
        <v>6712</v>
      </c>
      <c r="B1922" s="10">
        <v>71</v>
      </c>
      <c r="C1922" s="10" t="s">
        <v>2257</v>
      </c>
      <c r="D1922" s="10">
        <v>7171</v>
      </c>
      <c r="E1922" s="10" t="s">
        <v>2275</v>
      </c>
      <c r="F1922" s="11">
        <v>4357</v>
      </c>
      <c r="G1922" s="11">
        <v>4873</v>
      </c>
      <c r="H1922" s="11">
        <v>9230</v>
      </c>
      <c r="I1922" s="11">
        <v>4148</v>
      </c>
    </row>
    <row r="1923" spans="1:9" x14ac:dyDescent="0.2">
      <c r="A1923" s="10">
        <v>6712</v>
      </c>
      <c r="B1923" s="10">
        <v>71</v>
      </c>
      <c r="C1923" s="10" t="s">
        <v>2257</v>
      </c>
      <c r="D1923" s="10">
        <v>7172</v>
      </c>
      <c r="E1923" s="10" t="s">
        <v>2276</v>
      </c>
      <c r="F1923" s="11">
        <v>4399</v>
      </c>
      <c r="G1923" s="11">
        <v>4932</v>
      </c>
      <c r="H1923" s="11">
        <v>9331</v>
      </c>
      <c r="I1923" s="11">
        <v>4092</v>
      </c>
    </row>
    <row r="1924" spans="1:9" x14ac:dyDescent="0.2">
      <c r="A1924" s="10">
        <v>6712</v>
      </c>
      <c r="B1924" s="10">
        <v>71</v>
      </c>
      <c r="C1924" s="10" t="s">
        <v>2257</v>
      </c>
      <c r="D1924" s="10">
        <v>7173</v>
      </c>
      <c r="E1924" s="10" t="s">
        <v>2277</v>
      </c>
      <c r="F1924" s="11">
        <v>2107</v>
      </c>
      <c r="G1924" s="11">
        <v>2268</v>
      </c>
      <c r="H1924" s="11">
        <v>4375</v>
      </c>
      <c r="I1924" s="11">
        <v>1899</v>
      </c>
    </row>
    <row r="1925" spans="1:9" x14ac:dyDescent="0.2">
      <c r="A1925" s="10">
        <v>6712</v>
      </c>
      <c r="B1925" s="10">
        <v>71</v>
      </c>
      <c r="C1925" s="10" t="s">
        <v>2257</v>
      </c>
      <c r="D1925" s="10">
        <v>7174</v>
      </c>
      <c r="E1925" s="10" t="s">
        <v>2278</v>
      </c>
      <c r="F1925" s="11">
        <v>1185</v>
      </c>
      <c r="G1925" s="11">
        <v>1248</v>
      </c>
      <c r="H1925" s="11">
        <v>2433</v>
      </c>
      <c r="I1925" s="11">
        <v>1333</v>
      </c>
    </row>
    <row r="1926" spans="1:9" x14ac:dyDescent="0.2">
      <c r="A1926" s="10">
        <v>6712</v>
      </c>
      <c r="B1926" s="10">
        <v>71</v>
      </c>
      <c r="C1926" s="10" t="s">
        <v>2257</v>
      </c>
      <c r="D1926" s="10">
        <v>7175</v>
      </c>
      <c r="E1926" s="10" t="s">
        <v>2279</v>
      </c>
      <c r="F1926" s="11">
        <v>1046</v>
      </c>
      <c r="G1926" s="11">
        <v>1157</v>
      </c>
      <c r="H1926" s="11">
        <v>2203</v>
      </c>
      <c r="I1926" s="10">
        <v>978</v>
      </c>
    </row>
    <row r="1927" spans="1:9" x14ac:dyDescent="0.2">
      <c r="A1927" s="10">
        <v>6712</v>
      </c>
      <c r="B1927" s="10">
        <v>71</v>
      </c>
      <c r="C1927" s="10" t="s">
        <v>2257</v>
      </c>
      <c r="D1927" s="10">
        <v>7176</v>
      </c>
      <c r="E1927" s="10" t="s">
        <v>2280</v>
      </c>
      <c r="F1927" s="11">
        <v>1317</v>
      </c>
      <c r="G1927" s="11">
        <v>1331</v>
      </c>
      <c r="H1927" s="11">
        <v>2648</v>
      </c>
      <c r="I1927" s="11">
        <v>1409</v>
      </c>
    </row>
    <row r="1928" spans="1:9" x14ac:dyDescent="0.2">
      <c r="A1928" s="10">
        <v>6712</v>
      </c>
      <c r="B1928" s="10">
        <v>71</v>
      </c>
      <c r="C1928" s="10" t="s">
        <v>2257</v>
      </c>
      <c r="D1928" s="10">
        <v>7177</v>
      </c>
      <c r="E1928" s="10" t="s">
        <v>2281</v>
      </c>
      <c r="F1928" s="11">
        <v>1872</v>
      </c>
      <c r="G1928" s="11">
        <v>2113</v>
      </c>
      <c r="H1928" s="11">
        <v>3985</v>
      </c>
      <c r="I1928" s="11">
        <v>1879</v>
      </c>
    </row>
    <row r="1929" spans="1:9" x14ac:dyDescent="0.2">
      <c r="A1929" s="10">
        <v>6712</v>
      </c>
      <c r="B1929" s="10">
        <v>71</v>
      </c>
      <c r="C1929" s="10" t="s">
        <v>2257</v>
      </c>
      <c r="D1929" s="10">
        <v>7178</v>
      </c>
      <c r="E1929" s="10" t="s">
        <v>2282</v>
      </c>
      <c r="F1929" s="11">
        <v>2389</v>
      </c>
      <c r="G1929" s="11">
        <v>2693</v>
      </c>
      <c r="H1929" s="11">
        <v>5082</v>
      </c>
      <c r="I1929" s="11">
        <v>2286</v>
      </c>
    </row>
    <row r="1930" spans="1:9" x14ac:dyDescent="0.2">
      <c r="A1930" s="10">
        <v>6712</v>
      </c>
      <c r="B1930" s="10">
        <v>71</v>
      </c>
      <c r="C1930" s="10" t="s">
        <v>2257</v>
      </c>
      <c r="D1930" s="10">
        <v>7179</v>
      </c>
      <c r="E1930" s="10" t="s">
        <v>2283</v>
      </c>
      <c r="F1930" s="11">
        <v>4974</v>
      </c>
      <c r="G1930" s="11">
        <v>4795</v>
      </c>
      <c r="H1930" s="11">
        <v>9769</v>
      </c>
      <c r="I1930" s="11">
        <v>2731</v>
      </c>
    </row>
    <row r="1931" spans="1:9" x14ac:dyDescent="0.2">
      <c r="A1931" s="10">
        <v>6712</v>
      </c>
      <c r="B1931" s="10">
        <v>71</v>
      </c>
      <c r="C1931" s="10" t="s">
        <v>2257</v>
      </c>
      <c r="D1931" s="10">
        <v>7180</v>
      </c>
      <c r="E1931" s="10" t="s">
        <v>2284</v>
      </c>
      <c r="F1931" s="11">
        <v>1547</v>
      </c>
      <c r="G1931" s="11">
        <v>1505</v>
      </c>
      <c r="H1931" s="11">
        <v>3052</v>
      </c>
      <c r="I1931" s="11">
        <v>1633</v>
      </c>
    </row>
    <row r="1932" spans="1:9" x14ac:dyDescent="0.2">
      <c r="A1932" s="10">
        <v>6712</v>
      </c>
      <c r="B1932" s="10">
        <v>71</v>
      </c>
      <c r="C1932" s="10" t="s">
        <v>2257</v>
      </c>
      <c r="D1932" s="10">
        <v>7181</v>
      </c>
      <c r="E1932" s="10" t="s">
        <v>2285</v>
      </c>
      <c r="F1932" s="11">
        <v>1488</v>
      </c>
      <c r="G1932" s="11">
        <v>1557</v>
      </c>
      <c r="H1932" s="11">
        <v>3045</v>
      </c>
      <c r="I1932" s="11">
        <v>1015</v>
      </c>
    </row>
    <row r="1933" spans="1:9" x14ac:dyDescent="0.2">
      <c r="A1933" s="10">
        <v>6712</v>
      </c>
      <c r="B1933" s="10">
        <v>71</v>
      </c>
      <c r="C1933" s="10" t="s">
        <v>2257</v>
      </c>
      <c r="D1933" s="10">
        <v>7182</v>
      </c>
      <c r="E1933" s="10" t="s">
        <v>2286</v>
      </c>
      <c r="F1933" s="11">
        <v>2297</v>
      </c>
      <c r="G1933" s="11">
        <v>2560</v>
      </c>
      <c r="H1933" s="11">
        <v>4857</v>
      </c>
      <c r="I1933" s="11">
        <v>1637</v>
      </c>
    </row>
    <row r="1934" spans="1:9" x14ac:dyDescent="0.2">
      <c r="A1934" s="10">
        <v>6712</v>
      </c>
      <c r="B1934" s="10">
        <v>71</v>
      </c>
      <c r="C1934" s="10" t="s">
        <v>2257</v>
      </c>
      <c r="D1934" s="10">
        <v>7183</v>
      </c>
      <c r="E1934" s="10" t="s">
        <v>2287</v>
      </c>
      <c r="F1934" s="10">
        <v>872</v>
      </c>
      <c r="G1934" s="10">
        <v>906</v>
      </c>
      <c r="H1934" s="11">
        <v>1778</v>
      </c>
      <c r="I1934" s="10">
        <v>669</v>
      </c>
    </row>
    <row r="1935" spans="1:9" x14ac:dyDescent="0.2">
      <c r="A1935" s="10">
        <v>6712</v>
      </c>
      <c r="B1935" s="10">
        <v>71</v>
      </c>
      <c r="C1935" s="10" t="s">
        <v>2257</v>
      </c>
      <c r="D1935" s="10">
        <v>7184</v>
      </c>
      <c r="E1935" s="10" t="s">
        <v>2288</v>
      </c>
      <c r="F1935" s="11">
        <v>4305</v>
      </c>
      <c r="G1935" s="11">
        <v>5046</v>
      </c>
      <c r="H1935" s="11">
        <v>9351</v>
      </c>
      <c r="I1935" s="11">
        <v>5595</v>
      </c>
    </row>
    <row r="1936" spans="1:9" x14ac:dyDescent="0.2">
      <c r="A1936" s="10">
        <v>6712</v>
      </c>
      <c r="B1936" s="10">
        <v>71</v>
      </c>
      <c r="C1936" s="10" t="s">
        <v>2257</v>
      </c>
      <c r="D1936" s="10">
        <v>7185</v>
      </c>
      <c r="E1936" s="10" t="s">
        <v>2289</v>
      </c>
      <c r="F1936" s="11">
        <v>2116</v>
      </c>
      <c r="G1936" s="11">
        <v>2273</v>
      </c>
      <c r="H1936" s="11">
        <v>4389</v>
      </c>
      <c r="I1936" s="11">
        <v>2056</v>
      </c>
    </row>
    <row r="1937" spans="1:9" x14ac:dyDescent="0.2">
      <c r="A1937" s="10">
        <v>6712</v>
      </c>
      <c r="B1937" s="10">
        <v>71</v>
      </c>
      <c r="C1937" s="10" t="s">
        <v>2257</v>
      </c>
      <c r="D1937" s="10">
        <v>7186</v>
      </c>
      <c r="E1937" s="10" t="s">
        <v>2290</v>
      </c>
      <c r="F1937" s="11">
        <v>2949</v>
      </c>
      <c r="G1937" s="11">
        <v>3246</v>
      </c>
      <c r="H1937" s="11">
        <v>6195</v>
      </c>
      <c r="I1937" s="11">
        <v>2327</v>
      </c>
    </row>
    <row r="1938" spans="1:9" x14ac:dyDescent="0.2">
      <c r="A1938" s="10">
        <v>6712</v>
      </c>
      <c r="B1938" s="10">
        <v>71</v>
      </c>
      <c r="C1938" s="10" t="s">
        <v>2257</v>
      </c>
      <c r="D1938" s="10">
        <v>7187</v>
      </c>
      <c r="E1938" s="10" t="s">
        <v>2291</v>
      </c>
      <c r="F1938" s="11">
        <v>4259</v>
      </c>
      <c r="G1938" s="11">
        <v>4625</v>
      </c>
      <c r="H1938" s="11">
        <v>8884</v>
      </c>
      <c r="I1938" s="11">
        <v>4014</v>
      </c>
    </row>
    <row r="1939" spans="1:9" x14ac:dyDescent="0.2">
      <c r="A1939" s="10">
        <v>6712</v>
      </c>
      <c r="B1939" s="10">
        <v>71</v>
      </c>
      <c r="C1939" s="10" t="s">
        <v>2257</v>
      </c>
      <c r="D1939" s="10">
        <v>7188</v>
      </c>
      <c r="E1939" s="10" t="s">
        <v>2292</v>
      </c>
      <c r="F1939" s="11">
        <v>3713</v>
      </c>
      <c r="G1939" s="11">
        <v>4314</v>
      </c>
      <c r="H1939" s="11">
        <v>8027</v>
      </c>
      <c r="I1939" s="11">
        <v>4803</v>
      </c>
    </row>
    <row r="1940" spans="1:9" x14ac:dyDescent="0.2">
      <c r="A1940" s="10">
        <v>6712</v>
      </c>
      <c r="B1940" s="10">
        <v>71</v>
      </c>
      <c r="C1940" s="10" t="s">
        <v>2257</v>
      </c>
      <c r="D1940" s="10">
        <v>7189</v>
      </c>
      <c r="E1940" s="10" t="s">
        <v>2293</v>
      </c>
      <c r="F1940" s="11">
        <v>1526</v>
      </c>
      <c r="G1940" s="11">
        <v>1779</v>
      </c>
      <c r="H1940" s="11">
        <v>3305</v>
      </c>
      <c r="I1940" s="11">
        <v>1530</v>
      </c>
    </row>
    <row r="1941" spans="1:9" x14ac:dyDescent="0.2">
      <c r="A1941" s="10">
        <v>6712</v>
      </c>
      <c r="B1941" s="10">
        <v>71</v>
      </c>
      <c r="C1941" s="10" t="s">
        <v>2257</v>
      </c>
      <c r="D1941" s="10">
        <v>7190</v>
      </c>
      <c r="E1941" s="10" t="s">
        <v>2294</v>
      </c>
      <c r="F1941" s="10">
        <v>482</v>
      </c>
      <c r="G1941" s="10">
        <v>531</v>
      </c>
      <c r="H1941" s="11">
        <v>1013</v>
      </c>
      <c r="I1941" s="10">
        <v>727</v>
      </c>
    </row>
    <row r="1942" spans="1:9" x14ac:dyDescent="0.2">
      <c r="A1942" s="10">
        <v>6712</v>
      </c>
      <c r="B1942" s="10">
        <v>71</v>
      </c>
      <c r="C1942" s="10" t="s">
        <v>2257</v>
      </c>
      <c r="D1942" s="10">
        <v>7191</v>
      </c>
      <c r="E1942" s="10" t="s">
        <v>2295</v>
      </c>
      <c r="F1942" s="11">
        <v>1042</v>
      </c>
      <c r="G1942" s="11">
        <v>1113</v>
      </c>
      <c r="H1942" s="11">
        <v>2155</v>
      </c>
      <c r="I1942" s="10">
        <v>856</v>
      </c>
    </row>
    <row r="1943" spans="1:9" x14ac:dyDescent="0.2">
      <c r="A1943" s="10">
        <v>6712</v>
      </c>
      <c r="B1943" s="10">
        <v>71</v>
      </c>
      <c r="C1943" s="10" t="s">
        <v>2257</v>
      </c>
      <c r="D1943" s="10">
        <v>7192</v>
      </c>
      <c r="E1943" s="10" t="s">
        <v>774</v>
      </c>
      <c r="F1943" s="11">
        <v>3327</v>
      </c>
      <c r="G1943" s="11">
        <v>3365</v>
      </c>
      <c r="H1943" s="11">
        <v>6692</v>
      </c>
      <c r="I1943" s="11">
        <v>2844</v>
      </c>
    </row>
    <row r="1944" spans="1:9" x14ac:dyDescent="0.2">
      <c r="A1944" s="10">
        <v>6712</v>
      </c>
      <c r="B1944" s="10">
        <v>71</v>
      </c>
      <c r="C1944" s="10" t="s">
        <v>2257</v>
      </c>
      <c r="D1944" s="10">
        <v>7193</v>
      </c>
      <c r="E1944" s="10" t="s">
        <v>2296</v>
      </c>
      <c r="F1944" s="11">
        <v>1069</v>
      </c>
      <c r="G1944" s="11">
        <v>1051</v>
      </c>
      <c r="H1944" s="11">
        <v>2120</v>
      </c>
      <c r="I1944" s="10">
        <v>925</v>
      </c>
    </row>
    <row r="1945" spans="1:9" x14ac:dyDescent="0.2">
      <c r="A1945" s="10">
        <v>6712</v>
      </c>
      <c r="B1945" s="10">
        <v>71</v>
      </c>
      <c r="C1945" s="10" t="s">
        <v>2257</v>
      </c>
      <c r="D1945" s="10">
        <v>7194</v>
      </c>
      <c r="E1945" s="10" t="s">
        <v>2297</v>
      </c>
      <c r="F1945" s="11">
        <v>1933</v>
      </c>
      <c r="G1945" s="11">
        <v>1981</v>
      </c>
      <c r="H1945" s="11">
        <v>3914</v>
      </c>
      <c r="I1945" s="11">
        <v>1726</v>
      </c>
    </row>
    <row r="1946" spans="1:9" x14ac:dyDescent="0.2">
      <c r="A1946" s="10">
        <v>6712</v>
      </c>
      <c r="B1946" s="10">
        <v>71</v>
      </c>
      <c r="C1946" s="10" t="s">
        <v>2257</v>
      </c>
      <c r="D1946" s="10">
        <v>7195</v>
      </c>
      <c r="E1946" s="10" t="s">
        <v>754</v>
      </c>
      <c r="F1946" s="11">
        <v>3355</v>
      </c>
      <c r="G1946" s="11">
        <v>3765</v>
      </c>
      <c r="H1946" s="11">
        <v>7120</v>
      </c>
      <c r="I1946" s="11">
        <v>3399</v>
      </c>
    </row>
    <row r="1947" spans="1:9" x14ac:dyDescent="0.2">
      <c r="A1947" s="10">
        <v>6712</v>
      </c>
      <c r="B1947" s="10">
        <v>71</v>
      </c>
      <c r="C1947" s="10" t="s">
        <v>2257</v>
      </c>
      <c r="D1947" s="10">
        <v>7196</v>
      </c>
      <c r="E1947" s="10" t="s">
        <v>2298</v>
      </c>
      <c r="F1947" s="11">
        <v>2599</v>
      </c>
      <c r="G1947" s="11">
        <v>2814</v>
      </c>
      <c r="H1947" s="11">
        <v>5413</v>
      </c>
      <c r="I1947" s="11">
        <v>2480</v>
      </c>
    </row>
    <row r="1948" spans="1:9" x14ac:dyDescent="0.2">
      <c r="A1948" s="10">
        <v>6712</v>
      </c>
      <c r="B1948" s="10">
        <v>71</v>
      </c>
      <c r="C1948" s="10" t="s">
        <v>2257</v>
      </c>
      <c r="D1948" s="10">
        <v>7197</v>
      </c>
      <c r="E1948" s="10" t="s">
        <v>2299</v>
      </c>
      <c r="F1948" s="11">
        <v>3029</v>
      </c>
      <c r="G1948" s="11">
        <v>3428</v>
      </c>
      <c r="H1948" s="11">
        <v>6457</v>
      </c>
      <c r="I1948" s="11">
        <v>3967</v>
      </c>
    </row>
    <row r="1949" spans="1:9" x14ac:dyDescent="0.2">
      <c r="A1949" s="10">
        <v>6712</v>
      </c>
      <c r="B1949" s="10">
        <v>71</v>
      </c>
      <c r="C1949" s="10" t="s">
        <v>2257</v>
      </c>
      <c r="D1949" s="10">
        <v>7198</v>
      </c>
      <c r="E1949" s="10" t="s">
        <v>2300</v>
      </c>
      <c r="F1949" s="11">
        <v>4904</v>
      </c>
      <c r="G1949" s="11">
        <v>5453</v>
      </c>
      <c r="H1949" s="11">
        <v>10357</v>
      </c>
      <c r="I1949" s="11">
        <v>5177</v>
      </c>
    </row>
    <row r="1950" spans="1:9" x14ac:dyDescent="0.2">
      <c r="A1950" s="10">
        <v>6712</v>
      </c>
      <c r="B1950" s="10">
        <v>71</v>
      </c>
      <c r="C1950" s="10" t="s">
        <v>2257</v>
      </c>
      <c r="D1950" s="10">
        <v>7199</v>
      </c>
      <c r="E1950" s="10" t="s">
        <v>2301</v>
      </c>
      <c r="F1950" s="11">
        <v>11489</v>
      </c>
      <c r="G1950" s="11">
        <v>13135</v>
      </c>
      <c r="H1950" s="11">
        <v>24624</v>
      </c>
      <c r="I1950" s="11">
        <v>16184</v>
      </c>
    </row>
    <row r="1951" spans="1:9" x14ac:dyDescent="0.2">
      <c r="A1951" s="10">
        <v>6712</v>
      </c>
      <c r="B1951" s="10">
        <v>72</v>
      </c>
      <c r="C1951" s="10" t="s">
        <v>2302</v>
      </c>
      <c r="D1951" s="10">
        <v>7201</v>
      </c>
      <c r="E1951" s="10" t="s">
        <v>2303</v>
      </c>
      <c r="F1951" s="11">
        <v>50456</v>
      </c>
      <c r="G1951" s="11">
        <v>56290</v>
      </c>
      <c r="H1951" s="11">
        <v>106746</v>
      </c>
      <c r="I1951" s="11">
        <v>40705</v>
      </c>
    </row>
    <row r="1952" spans="1:9" x14ac:dyDescent="0.2">
      <c r="A1952" s="10">
        <v>6712</v>
      </c>
      <c r="B1952" s="10">
        <v>72</v>
      </c>
      <c r="C1952" s="10" t="s">
        <v>2302</v>
      </c>
      <c r="D1952" s="10">
        <v>7202</v>
      </c>
      <c r="E1952" s="10" t="s">
        <v>2304</v>
      </c>
      <c r="F1952" s="11">
        <v>19559</v>
      </c>
      <c r="G1952" s="11">
        <v>20966</v>
      </c>
      <c r="H1952" s="11">
        <v>40525</v>
      </c>
      <c r="I1952" s="11">
        <v>15842</v>
      </c>
    </row>
    <row r="1953" spans="1:9" x14ac:dyDescent="0.2">
      <c r="A1953" s="10">
        <v>6712</v>
      </c>
      <c r="B1953" s="10">
        <v>72</v>
      </c>
      <c r="C1953" s="10" t="s">
        <v>2302</v>
      </c>
      <c r="D1953" s="10">
        <v>7203</v>
      </c>
      <c r="E1953" s="10" t="s">
        <v>2305</v>
      </c>
      <c r="F1953" s="11">
        <v>30223</v>
      </c>
      <c r="G1953" s="11">
        <v>30947</v>
      </c>
      <c r="H1953" s="11">
        <v>61170</v>
      </c>
      <c r="I1953" s="11">
        <v>24388</v>
      </c>
    </row>
    <row r="1954" spans="1:9" x14ac:dyDescent="0.2">
      <c r="A1954" s="10">
        <v>6712</v>
      </c>
      <c r="B1954" s="10">
        <v>72</v>
      </c>
      <c r="C1954" s="10" t="s">
        <v>2302</v>
      </c>
      <c r="D1954" s="10">
        <v>7204</v>
      </c>
      <c r="E1954" s="10" t="s">
        <v>2306</v>
      </c>
      <c r="F1954" s="11">
        <v>27813</v>
      </c>
      <c r="G1954" s="11">
        <v>29197</v>
      </c>
      <c r="H1954" s="11">
        <v>57010</v>
      </c>
      <c r="I1954" s="11">
        <v>20334</v>
      </c>
    </row>
    <row r="1955" spans="1:9" x14ac:dyDescent="0.2">
      <c r="A1955" s="10">
        <v>6712</v>
      </c>
      <c r="B1955" s="10">
        <v>72</v>
      </c>
      <c r="C1955" s="10" t="s">
        <v>2302</v>
      </c>
      <c r="D1955" s="10">
        <v>7205</v>
      </c>
      <c r="E1955" s="10" t="s">
        <v>2307</v>
      </c>
      <c r="F1955" s="11">
        <v>18804</v>
      </c>
      <c r="G1955" s="11">
        <v>20602</v>
      </c>
      <c r="H1955" s="11">
        <v>39406</v>
      </c>
      <c r="I1955" s="11">
        <v>15689</v>
      </c>
    </row>
    <row r="1956" spans="1:9" x14ac:dyDescent="0.2">
      <c r="A1956" s="10">
        <v>6712</v>
      </c>
      <c r="B1956" s="10">
        <v>72</v>
      </c>
      <c r="C1956" s="10" t="s">
        <v>2302</v>
      </c>
      <c r="D1956" s="10">
        <v>7206</v>
      </c>
      <c r="E1956" s="10" t="s">
        <v>2308</v>
      </c>
      <c r="F1956" s="11">
        <v>19315</v>
      </c>
      <c r="G1956" s="11">
        <v>20878</v>
      </c>
      <c r="H1956" s="11">
        <v>40193</v>
      </c>
      <c r="I1956" s="11">
        <v>15607</v>
      </c>
    </row>
    <row r="1957" spans="1:9" x14ac:dyDescent="0.2">
      <c r="A1957" s="10">
        <v>6712</v>
      </c>
      <c r="B1957" s="10">
        <v>72</v>
      </c>
      <c r="C1957" s="10" t="s">
        <v>2302</v>
      </c>
      <c r="D1957" s="10">
        <v>7207</v>
      </c>
      <c r="E1957" s="10" t="s">
        <v>2309</v>
      </c>
      <c r="F1957" s="11">
        <v>53361</v>
      </c>
      <c r="G1957" s="11">
        <v>55629</v>
      </c>
      <c r="H1957" s="11">
        <v>108990</v>
      </c>
      <c r="I1957" s="11">
        <v>37714</v>
      </c>
    </row>
    <row r="1958" spans="1:9" x14ac:dyDescent="0.2">
      <c r="A1958" s="10">
        <v>6712</v>
      </c>
      <c r="B1958" s="10">
        <v>72</v>
      </c>
      <c r="C1958" s="10" t="s">
        <v>2302</v>
      </c>
      <c r="D1958" s="10">
        <v>7208</v>
      </c>
      <c r="E1958" s="10" t="s">
        <v>2310</v>
      </c>
      <c r="F1958" s="11">
        <v>18647</v>
      </c>
      <c r="G1958" s="11">
        <v>20253</v>
      </c>
      <c r="H1958" s="11">
        <v>38900</v>
      </c>
      <c r="I1958" s="11">
        <v>15603</v>
      </c>
    </row>
    <row r="1959" spans="1:9" x14ac:dyDescent="0.2">
      <c r="A1959" s="10">
        <v>6712</v>
      </c>
      <c r="B1959" s="10">
        <v>72</v>
      </c>
      <c r="C1959" s="10" t="s">
        <v>2302</v>
      </c>
      <c r="D1959" s="10">
        <v>7209</v>
      </c>
      <c r="E1959" s="10" t="s">
        <v>2311</v>
      </c>
      <c r="F1959" s="11">
        <v>31338</v>
      </c>
      <c r="G1959" s="11">
        <v>33245</v>
      </c>
      <c r="H1959" s="11">
        <v>64583</v>
      </c>
      <c r="I1959" s="11">
        <v>22947</v>
      </c>
    </row>
    <row r="1960" spans="1:9" x14ac:dyDescent="0.2">
      <c r="A1960" s="10">
        <v>6712</v>
      </c>
      <c r="B1960" s="10">
        <v>72</v>
      </c>
      <c r="C1960" s="10" t="s">
        <v>2302</v>
      </c>
      <c r="D1960" s="10">
        <v>7210</v>
      </c>
      <c r="E1960" s="10" t="s">
        <v>2312</v>
      </c>
      <c r="F1960" s="11">
        <v>22593</v>
      </c>
      <c r="G1960" s="11">
        <v>23740</v>
      </c>
      <c r="H1960" s="11">
        <v>46333</v>
      </c>
      <c r="I1960" s="11">
        <v>17555</v>
      </c>
    </row>
    <row r="1961" spans="1:9" x14ac:dyDescent="0.2">
      <c r="A1961" s="10">
        <v>6712</v>
      </c>
      <c r="B1961" s="10">
        <v>72</v>
      </c>
      <c r="C1961" s="10" t="s">
        <v>2302</v>
      </c>
      <c r="D1961" s="10">
        <v>7265</v>
      </c>
      <c r="E1961" s="10" t="s">
        <v>814</v>
      </c>
      <c r="F1961" s="11">
        <v>2099</v>
      </c>
      <c r="G1961" s="11">
        <v>2302</v>
      </c>
      <c r="H1961" s="11">
        <v>4401</v>
      </c>
      <c r="I1961" s="11">
        <v>1828</v>
      </c>
    </row>
    <row r="1962" spans="1:9" x14ac:dyDescent="0.2">
      <c r="A1962" s="10">
        <v>6712</v>
      </c>
      <c r="B1962" s="10">
        <v>72</v>
      </c>
      <c r="C1962" s="10" t="s">
        <v>2302</v>
      </c>
      <c r="D1962" s="10">
        <v>7266</v>
      </c>
      <c r="E1962" s="10" t="s">
        <v>2313</v>
      </c>
      <c r="F1962" s="11">
        <v>7595</v>
      </c>
      <c r="G1962" s="11">
        <v>8031</v>
      </c>
      <c r="H1962" s="11">
        <v>15626</v>
      </c>
      <c r="I1962" s="11">
        <v>6169</v>
      </c>
    </row>
    <row r="1963" spans="1:9" x14ac:dyDescent="0.2">
      <c r="A1963" s="10">
        <v>6712</v>
      </c>
      <c r="B1963" s="10">
        <v>72</v>
      </c>
      <c r="C1963" s="10" t="s">
        <v>2302</v>
      </c>
      <c r="D1963" s="10">
        <v>7267</v>
      </c>
      <c r="E1963" s="10" t="s">
        <v>2314</v>
      </c>
      <c r="F1963" s="11">
        <v>3568</v>
      </c>
      <c r="G1963" s="11">
        <v>3733</v>
      </c>
      <c r="H1963" s="11">
        <v>7301</v>
      </c>
      <c r="I1963" s="11">
        <v>2042</v>
      </c>
    </row>
    <row r="1964" spans="1:9" x14ac:dyDescent="0.2">
      <c r="A1964" s="10">
        <v>6712</v>
      </c>
      <c r="B1964" s="10">
        <v>72</v>
      </c>
      <c r="C1964" s="10" t="s">
        <v>2302</v>
      </c>
      <c r="D1964" s="10">
        <v>7268</v>
      </c>
      <c r="E1964" s="10" t="s">
        <v>2315</v>
      </c>
      <c r="F1964" s="11">
        <v>4428</v>
      </c>
      <c r="G1964" s="11">
        <v>4535</v>
      </c>
      <c r="H1964" s="11">
        <v>8963</v>
      </c>
      <c r="I1964" s="11">
        <v>3526</v>
      </c>
    </row>
    <row r="1965" spans="1:9" x14ac:dyDescent="0.2">
      <c r="A1965" s="10">
        <v>6712</v>
      </c>
      <c r="B1965" s="10">
        <v>72</v>
      </c>
      <c r="C1965" s="10" t="s">
        <v>2302</v>
      </c>
      <c r="D1965" s="10">
        <v>7269</v>
      </c>
      <c r="E1965" s="10" t="s">
        <v>2316</v>
      </c>
      <c r="F1965" s="11">
        <v>3097</v>
      </c>
      <c r="G1965" s="11">
        <v>3544</v>
      </c>
      <c r="H1965" s="11">
        <v>6641</v>
      </c>
      <c r="I1965" s="11">
        <v>2939</v>
      </c>
    </row>
    <row r="1966" spans="1:9" x14ac:dyDescent="0.2">
      <c r="A1966" s="10">
        <v>6712</v>
      </c>
      <c r="B1966" s="10">
        <v>72</v>
      </c>
      <c r="C1966" s="10" t="s">
        <v>2302</v>
      </c>
      <c r="D1966" s="10">
        <v>7270</v>
      </c>
      <c r="E1966" s="10" t="s">
        <v>2317</v>
      </c>
      <c r="F1966" s="10">
        <v>900</v>
      </c>
      <c r="G1966" s="10">
        <v>961</v>
      </c>
      <c r="H1966" s="11">
        <v>1861</v>
      </c>
      <c r="I1966" s="10">
        <v>599</v>
      </c>
    </row>
    <row r="1967" spans="1:9" x14ac:dyDescent="0.2">
      <c r="A1967" s="10">
        <v>6712</v>
      </c>
      <c r="B1967" s="10">
        <v>72</v>
      </c>
      <c r="C1967" s="10" t="s">
        <v>2302</v>
      </c>
      <c r="D1967" s="10">
        <v>7271</v>
      </c>
      <c r="E1967" s="10" t="s">
        <v>2318</v>
      </c>
      <c r="F1967" s="11">
        <v>4251</v>
      </c>
      <c r="G1967" s="11">
        <v>5046</v>
      </c>
      <c r="H1967" s="11">
        <v>9297</v>
      </c>
      <c r="I1967" s="11">
        <v>5656</v>
      </c>
    </row>
    <row r="1968" spans="1:9" x14ac:dyDescent="0.2">
      <c r="A1968" s="10">
        <v>6712</v>
      </c>
      <c r="B1968" s="10">
        <v>72</v>
      </c>
      <c r="C1968" s="10" t="s">
        <v>2302</v>
      </c>
      <c r="D1968" s="10">
        <v>7272</v>
      </c>
      <c r="E1968" s="10" t="s">
        <v>2319</v>
      </c>
      <c r="F1968" s="11">
        <v>2600</v>
      </c>
      <c r="G1968" s="11">
        <v>2798</v>
      </c>
      <c r="H1968" s="11">
        <v>5398</v>
      </c>
      <c r="I1968" s="11">
        <v>1981</v>
      </c>
    </row>
    <row r="1969" spans="1:9" x14ac:dyDescent="0.2">
      <c r="A1969" s="10">
        <v>6712</v>
      </c>
      <c r="B1969" s="10">
        <v>72</v>
      </c>
      <c r="C1969" s="10" t="s">
        <v>2302</v>
      </c>
      <c r="D1969" s="10">
        <v>7273</v>
      </c>
      <c r="E1969" s="10" t="s">
        <v>2320</v>
      </c>
      <c r="F1969" s="11">
        <v>3612</v>
      </c>
      <c r="G1969" s="11">
        <v>3847</v>
      </c>
      <c r="H1969" s="11">
        <v>7459</v>
      </c>
      <c r="I1969" s="11">
        <v>2116</v>
      </c>
    </row>
    <row r="1970" spans="1:9" x14ac:dyDescent="0.2">
      <c r="A1970" s="10">
        <v>6712</v>
      </c>
      <c r="B1970" s="10">
        <v>72</v>
      </c>
      <c r="C1970" s="10" t="s">
        <v>2302</v>
      </c>
      <c r="D1970" s="10">
        <v>7274</v>
      </c>
      <c r="E1970" s="10" t="s">
        <v>2321</v>
      </c>
      <c r="F1970" s="11">
        <v>2532</v>
      </c>
      <c r="G1970" s="11">
        <v>2756</v>
      </c>
      <c r="H1970" s="11">
        <v>5288</v>
      </c>
      <c r="I1970" s="11">
        <v>2107</v>
      </c>
    </row>
    <row r="1971" spans="1:9" x14ac:dyDescent="0.2">
      <c r="A1971" s="10">
        <v>6712</v>
      </c>
      <c r="B1971" s="10">
        <v>72</v>
      </c>
      <c r="C1971" s="10" t="s">
        <v>2302</v>
      </c>
      <c r="D1971" s="10">
        <v>7275</v>
      </c>
      <c r="E1971" s="10" t="s">
        <v>2322</v>
      </c>
      <c r="F1971" s="11">
        <v>3878</v>
      </c>
      <c r="G1971" s="11">
        <v>4244</v>
      </c>
      <c r="H1971" s="11">
        <v>8122</v>
      </c>
      <c r="I1971" s="11">
        <v>2994</v>
      </c>
    </row>
    <row r="1972" spans="1:9" x14ac:dyDescent="0.2">
      <c r="A1972" s="10">
        <v>6712</v>
      </c>
      <c r="B1972" s="10">
        <v>72</v>
      </c>
      <c r="C1972" s="10" t="s">
        <v>2302</v>
      </c>
      <c r="D1972" s="10">
        <v>7276</v>
      </c>
      <c r="E1972" s="10" t="s">
        <v>2323</v>
      </c>
      <c r="F1972" s="11">
        <v>2617</v>
      </c>
      <c r="G1972" s="11">
        <v>2662</v>
      </c>
      <c r="H1972" s="11">
        <v>5279</v>
      </c>
      <c r="I1972" s="11">
        <v>1991</v>
      </c>
    </row>
    <row r="1973" spans="1:9" x14ac:dyDescent="0.2">
      <c r="A1973" s="10">
        <v>6712</v>
      </c>
      <c r="B1973" s="10">
        <v>72</v>
      </c>
      <c r="C1973" s="10" t="s">
        <v>2302</v>
      </c>
      <c r="D1973" s="10">
        <v>7277</v>
      </c>
      <c r="E1973" s="10" t="s">
        <v>2057</v>
      </c>
      <c r="F1973" s="11">
        <v>3209</v>
      </c>
      <c r="G1973" s="11">
        <v>3568</v>
      </c>
      <c r="H1973" s="11">
        <v>6777</v>
      </c>
      <c r="I1973" s="11">
        <v>2877</v>
      </c>
    </row>
    <row r="1974" spans="1:9" x14ac:dyDescent="0.2">
      <c r="A1974" s="10">
        <v>6712</v>
      </c>
      <c r="B1974" s="10">
        <v>72</v>
      </c>
      <c r="C1974" s="10" t="s">
        <v>2302</v>
      </c>
      <c r="D1974" s="10">
        <v>7278</v>
      </c>
      <c r="E1974" s="10" t="s">
        <v>2324</v>
      </c>
      <c r="F1974" s="11">
        <v>2896</v>
      </c>
      <c r="G1974" s="11">
        <v>3082</v>
      </c>
      <c r="H1974" s="11">
        <v>5978</v>
      </c>
      <c r="I1974" s="11">
        <v>2140</v>
      </c>
    </row>
    <row r="1975" spans="1:9" x14ac:dyDescent="0.2">
      <c r="A1975" s="10">
        <v>6712</v>
      </c>
      <c r="B1975" s="10">
        <v>72</v>
      </c>
      <c r="C1975" s="10" t="s">
        <v>2302</v>
      </c>
      <c r="D1975" s="10">
        <v>7279</v>
      </c>
      <c r="E1975" s="10" t="s">
        <v>2325</v>
      </c>
      <c r="F1975" s="11">
        <v>1103</v>
      </c>
      <c r="G1975" s="11">
        <v>1257</v>
      </c>
      <c r="H1975" s="11">
        <v>2360</v>
      </c>
      <c r="I1975" s="11">
        <v>1166</v>
      </c>
    </row>
    <row r="1976" spans="1:9" x14ac:dyDescent="0.2">
      <c r="A1976" s="10">
        <v>6712</v>
      </c>
      <c r="B1976" s="10">
        <v>72</v>
      </c>
      <c r="C1976" s="10" t="s">
        <v>2302</v>
      </c>
      <c r="D1976" s="10">
        <v>7280</v>
      </c>
      <c r="E1976" s="10" t="s">
        <v>2326</v>
      </c>
      <c r="F1976" s="11">
        <v>3414</v>
      </c>
      <c r="G1976" s="11">
        <v>3839</v>
      </c>
      <c r="H1976" s="11">
        <v>7253</v>
      </c>
      <c r="I1976" s="11">
        <v>3699</v>
      </c>
    </row>
    <row r="1977" spans="1:9" x14ac:dyDescent="0.2">
      <c r="A1977" s="10">
        <v>6712</v>
      </c>
      <c r="B1977" s="10">
        <v>72</v>
      </c>
      <c r="C1977" s="10" t="s">
        <v>2302</v>
      </c>
      <c r="D1977" s="10">
        <v>7281</v>
      </c>
      <c r="E1977" s="10" t="s">
        <v>2327</v>
      </c>
      <c r="F1977" s="11">
        <v>1280</v>
      </c>
      <c r="G1977" s="11">
        <v>1440</v>
      </c>
      <c r="H1977" s="11">
        <v>2720</v>
      </c>
      <c r="I1977" s="11">
        <v>1083</v>
      </c>
    </row>
    <row r="1978" spans="1:9" x14ac:dyDescent="0.2">
      <c r="A1978" s="10">
        <v>6712</v>
      </c>
      <c r="B1978" s="10">
        <v>72</v>
      </c>
      <c r="C1978" s="10" t="s">
        <v>2302</v>
      </c>
      <c r="D1978" s="10">
        <v>7282</v>
      </c>
      <c r="E1978" s="10" t="s">
        <v>2328</v>
      </c>
      <c r="F1978" s="11">
        <v>5723</v>
      </c>
      <c r="G1978" s="11">
        <v>6521</v>
      </c>
      <c r="H1978" s="11">
        <v>12244</v>
      </c>
      <c r="I1978" s="11">
        <v>6947</v>
      </c>
    </row>
    <row r="1979" spans="1:9" x14ac:dyDescent="0.2">
      <c r="A1979" s="10">
        <v>6712</v>
      </c>
      <c r="B1979" s="10">
        <v>72</v>
      </c>
      <c r="C1979" s="10" t="s">
        <v>2302</v>
      </c>
      <c r="D1979" s="10">
        <v>7283</v>
      </c>
      <c r="E1979" s="10" t="s">
        <v>2329</v>
      </c>
      <c r="F1979" s="11">
        <v>1507</v>
      </c>
      <c r="G1979" s="11">
        <v>1770</v>
      </c>
      <c r="H1979" s="11">
        <v>3277</v>
      </c>
      <c r="I1979" s="11">
        <v>1336</v>
      </c>
    </row>
    <row r="1980" spans="1:9" x14ac:dyDescent="0.2">
      <c r="A1980" s="10">
        <v>6712</v>
      </c>
      <c r="B1980" s="10">
        <v>72</v>
      </c>
      <c r="C1980" s="10" t="s">
        <v>2302</v>
      </c>
      <c r="D1980" s="10">
        <v>7284</v>
      </c>
      <c r="E1980" s="10" t="s">
        <v>2330</v>
      </c>
      <c r="F1980" s="11">
        <v>1187</v>
      </c>
      <c r="G1980" s="11">
        <v>1160</v>
      </c>
      <c r="H1980" s="11">
        <v>2347</v>
      </c>
      <c r="I1980" s="11">
        <v>1074</v>
      </c>
    </row>
    <row r="1981" spans="1:9" x14ac:dyDescent="0.2">
      <c r="A1981" s="10">
        <v>6712</v>
      </c>
      <c r="B1981" s="10">
        <v>72</v>
      </c>
      <c r="C1981" s="10" t="s">
        <v>2302</v>
      </c>
      <c r="D1981" s="10">
        <v>7285</v>
      </c>
      <c r="E1981" s="10" t="s">
        <v>2331</v>
      </c>
      <c r="F1981" s="11">
        <v>1370</v>
      </c>
      <c r="G1981" s="11">
        <v>1487</v>
      </c>
      <c r="H1981" s="11">
        <v>2857</v>
      </c>
      <c r="I1981" s="11">
        <v>1425</v>
      </c>
    </row>
    <row r="1982" spans="1:9" x14ac:dyDescent="0.2">
      <c r="A1982" s="10">
        <v>6712</v>
      </c>
      <c r="B1982" s="10">
        <v>72</v>
      </c>
      <c r="C1982" s="10" t="s">
        <v>2302</v>
      </c>
      <c r="D1982" s="10">
        <v>7286</v>
      </c>
      <c r="E1982" s="10" t="s">
        <v>2332</v>
      </c>
      <c r="F1982" s="11">
        <v>2557</v>
      </c>
      <c r="G1982" s="11">
        <v>2878</v>
      </c>
      <c r="H1982" s="11">
        <v>5435</v>
      </c>
      <c r="I1982" s="11">
        <v>2699</v>
      </c>
    </row>
    <row r="1983" spans="1:9" x14ac:dyDescent="0.2">
      <c r="A1983" s="10">
        <v>6712</v>
      </c>
      <c r="B1983" s="10">
        <v>72</v>
      </c>
      <c r="C1983" s="10" t="s">
        <v>2302</v>
      </c>
      <c r="D1983" s="10">
        <v>7287</v>
      </c>
      <c r="E1983" s="10" t="s">
        <v>2333</v>
      </c>
      <c r="F1983" s="10">
        <v>808</v>
      </c>
      <c r="G1983" s="10">
        <v>861</v>
      </c>
      <c r="H1983" s="11">
        <v>1669</v>
      </c>
      <c r="I1983" s="10">
        <v>619</v>
      </c>
    </row>
    <row r="1984" spans="1:9" x14ac:dyDescent="0.2">
      <c r="A1984" s="10">
        <v>6712</v>
      </c>
      <c r="B1984" s="10">
        <v>72</v>
      </c>
      <c r="C1984" s="10" t="s">
        <v>2302</v>
      </c>
      <c r="D1984" s="10">
        <v>7288</v>
      </c>
      <c r="E1984" s="10" t="s">
        <v>2334</v>
      </c>
      <c r="F1984" s="10">
        <v>571</v>
      </c>
      <c r="G1984" s="10">
        <v>569</v>
      </c>
      <c r="H1984" s="11">
        <v>1140</v>
      </c>
      <c r="I1984" s="10">
        <v>461</v>
      </c>
    </row>
    <row r="1985" spans="1:9" x14ac:dyDescent="0.2">
      <c r="A1985" s="10">
        <v>6712</v>
      </c>
      <c r="B1985" s="10">
        <v>72</v>
      </c>
      <c r="C1985" s="10" t="s">
        <v>2302</v>
      </c>
      <c r="D1985" s="10">
        <v>7289</v>
      </c>
      <c r="E1985" s="10" t="s">
        <v>2335</v>
      </c>
      <c r="F1985" s="10">
        <v>880</v>
      </c>
      <c r="G1985" s="10">
        <v>913</v>
      </c>
      <c r="H1985" s="11">
        <v>1793</v>
      </c>
      <c r="I1985" s="10">
        <v>693</v>
      </c>
    </row>
    <row r="1986" spans="1:9" x14ac:dyDescent="0.2">
      <c r="A1986" s="10">
        <v>6712</v>
      </c>
      <c r="B1986" s="10">
        <v>72</v>
      </c>
      <c r="C1986" s="10" t="s">
        <v>2302</v>
      </c>
      <c r="D1986" s="10">
        <v>7290</v>
      </c>
      <c r="E1986" s="10" t="s">
        <v>2336</v>
      </c>
      <c r="F1986" s="10">
        <v>709</v>
      </c>
      <c r="G1986" s="10">
        <v>758</v>
      </c>
      <c r="H1986" s="11">
        <v>1467</v>
      </c>
      <c r="I1986" s="10">
        <v>902</v>
      </c>
    </row>
    <row r="1987" spans="1:9" x14ac:dyDescent="0.2">
      <c r="A1987" s="10">
        <v>6712</v>
      </c>
      <c r="B1987" s="10">
        <v>72</v>
      </c>
      <c r="C1987" s="10" t="s">
        <v>2302</v>
      </c>
      <c r="D1987" s="10">
        <v>7291</v>
      </c>
      <c r="E1987" s="10" t="s">
        <v>2337</v>
      </c>
      <c r="F1987" s="11">
        <v>2592</v>
      </c>
      <c r="G1987" s="11">
        <v>2956</v>
      </c>
      <c r="H1987" s="11">
        <v>5548</v>
      </c>
      <c r="I1987" s="11">
        <v>3456</v>
      </c>
    </row>
    <row r="1988" spans="1:9" x14ac:dyDescent="0.2">
      <c r="A1988" s="10">
        <v>6712</v>
      </c>
      <c r="B1988" s="10">
        <v>72</v>
      </c>
      <c r="C1988" s="10" t="s">
        <v>2302</v>
      </c>
      <c r="D1988" s="10">
        <v>7292</v>
      </c>
      <c r="E1988" s="10" t="s">
        <v>2338</v>
      </c>
      <c r="F1988" s="10">
        <v>892</v>
      </c>
      <c r="G1988" s="11">
        <v>1031</v>
      </c>
      <c r="H1988" s="11">
        <v>1923</v>
      </c>
      <c r="I1988" s="10">
        <v>788</v>
      </c>
    </row>
    <row r="1989" spans="1:9" x14ac:dyDescent="0.2">
      <c r="A1989" s="10">
        <v>6712</v>
      </c>
      <c r="B1989" s="10">
        <v>72</v>
      </c>
      <c r="C1989" s="10" t="s">
        <v>2302</v>
      </c>
      <c r="D1989" s="10">
        <v>7293</v>
      </c>
      <c r="E1989" s="10" t="s">
        <v>2339</v>
      </c>
      <c r="F1989" s="11">
        <v>2030</v>
      </c>
      <c r="G1989" s="11">
        <v>2156</v>
      </c>
      <c r="H1989" s="11">
        <v>4186</v>
      </c>
      <c r="I1989" s="11">
        <v>1721</v>
      </c>
    </row>
    <row r="1990" spans="1:9" x14ac:dyDescent="0.2">
      <c r="A1990" s="10">
        <v>6712</v>
      </c>
      <c r="B1990" s="10">
        <v>72</v>
      </c>
      <c r="C1990" s="10" t="s">
        <v>2302</v>
      </c>
      <c r="D1990" s="10">
        <v>7294</v>
      </c>
      <c r="E1990" s="10" t="s">
        <v>2340</v>
      </c>
      <c r="F1990" s="11">
        <v>2495</v>
      </c>
      <c r="G1990" s="11">
        <v>2918</v>
      </c>
      <c r="H1990" s="11">
        <v>5413</v>
      </c>
      <c r="I1990" s="11">
        <v>3334</v>
      </c>
    </row>
    <row r="1991" spans="1:9" x14ac:dyDescent="0.2">
      <c r="A1991" s="10">
        <v>6712</v>
      </c>
      <c r="B1991" s="10">
        <v>72</v>
      </c>
      <c r="C1991" s="10" t="s">
        <v>2302</v>
      </c>
      <c r="D1991" s="10">
        <v>7295</v>
      </c>
      <c r="E1991" s="10" t="s">
        <v>2341</v>
      </c>
      <c r="F1991" s="11">
        <v>3051</v>
      </c>
      <c r="G1991" s="11">
        <v>3281</v>
      </c>
      <c r="H1991" s="11">
        <v>6332</v>
      </c>
      <c r="I1991" s="11">
        <v>2387</v>
      </c>
    </row>
    <row r="1992" spans="1:9" x14ac:dyDescent="0.2">
      <c r="A1992" s="10">
        <v>6712</v>
      </c>
      <c r="B1992" s="10">
        <v>72</v>
      </c>
      <c r="C1992" s="10" t="s">
        <v>2302</v>
      </c>
      <c r="D1992" s="10">
        <v>7296</v>
      </c>
      <c r="E1992" s="10" t="s">
        <v>2342</v>
      </c>
      <c r="F1992" s="11">
        <v>1465</v>
      </c>
      <c r="G1992" s="11">
        <v>1820</v>
      </c>
      <c r="H1992" s="11">
        <v>3285</v>
      </c>
      <c r="I1992" s="11">
        <v>1722</v>
      </c>
    </row>
    <row r="1993" spans="1:9" x14ac:dyDescent="0.2">
      <c r="A1993" s="10">
        <v>6712</v>
      </c>
      <c r="B1993" s="10">
        <v>72</v>
      </c>
      <c r="C1993" s="10" t="s">
        <v>2302</v>
      </c>
      <c r="D1993" s="10">
        <v>7297</v>
      </c>
      <c r="E1993" s="10" t="s">
        <v>2343</v>
      </c>
      <c r="F1993" s="11">
        <v>6583</v>
      </c>
      <c r="G1993" s="11">
        <v>7024</v>
      </c>
      <c r="H1993" s="11">
        <v>13607</v>
      </c>
      <c r="I1993" s="11">
        <v>4599</v>
      </c>
    </row>
    <row r="1994" spans="1:9" x14ac:dyDescent="0.2">
      <c r="A1994" s="10">
        <v>6712</v>
      </c>
      <c r="B1994" s="10">
        <v>72</v>
      </c>
      <c r="C1994" s="10" t="s">
        <v>2302</v>
      </c>
      <c r="D1994" s="10">
        <v>7298</v>
      </c>
      <c r="E1994" s="10" t="s">
        <v>2344</v>
      </c>
      <c r="F1994" s="11">
        <v>5497</v>
      </c>
      <c r="G1994" s="11">
        <v>6294</v>
      </c>
      <c r="H1994" s="11">
        <v>11791</v>
      </c>
      <c r="I1994" s="11">
        <v>5380</v>
      </c>
    </row>
    <row r="1995" spans="1:9" x14ac:dyDescent="0.2">
      <c r="A1995" s="10">
        <v>6712</v>
      </c>
      <c r="B1995" s="10">
        <v>72</v>
      </c>
      <c r="C1995" s="10" t="s">
        <v>2302</v>
      </c>
      <c r="D1995" s="10">
        <v>7299</v>
      </c>
      <c r="E1995" s="10" t="s">
        <v>2345</v>
      </c>
      <c r="F1995" s="11">
        <v>10664</v>
      </c>
      <c r="G1995" s="11">
        <v>12653</v>
      </c>
      <c r="H1995" s="11">
        <v>23317</v>
      </c>
      <c r="I1995" s="11">
        <v>13162</v>
      </c>
    </row>
    <row r="1996" spans="1:9" x14ac:dyDescent="0.2">
      <c r="A1996" s="10">
        <v>6712</v>
      </c>
      <c r="B1996" s="10">
        <v>73</v>
      </c>
      <c r="C1996" s="10" t="s">
        <v>2346</v>
      </c>
      <c r="D1996" s="10">
        <v>7301</v>
      </c>
      <c r="E1996" s="10" t="s">
        <v>2347</v>
      </c>
      <c r="F1996" s="11">
        <v>84488</v>
      </c>
      <c r="G1996" s="11">
        <v>92481</v>
      </c>
      <c r="H1996" s="11">
        <v>176969</v>
      </c>
      <c r="I1996" s="11">
        <v>72539</v>
      </c>
    </row>
    <row r="1997" spans="1:9" x14ac:dyDescent="0.2">
      <c r="A1997" s="10">
        <v>6712</v>
      </c>
      <c r="B1997" s="10">
        <v>73</v>
      </c>
      <c r="C1997" s="10" t="s">
        <v>2346</v>
      </c>
      <c r="D1997" s="10">
        <v>7302</v>
      </c>
      <c r="E1997" s="10" t="s">
        <v>2348</v>
      </c>
      <c r="F1997" s="11">
        <v>57664</v>
      </c>
      <c r="G1997" s="11">
        <v>60873</v>
      </c>
      <c r="H1997" s="11">
        <v>118537</v>
      </c>
      <c r="I1997" s="11">
        <v>42452</v>
      </c>
    </row>
    <row r="1998" spans="1:9" x14ac:dyDescent="0.2">
      <c r="A1998" s="10">
        <v>6712</v>
      </c>
      <c r="B1998" s="10">
        <v>73</v>
      </c>
      <c r="C1998" s="10" t="s">
        <v>2346</v>
      </c>
      <c r="D1998" s="10">
        <v>7303</v>
      </c>
      <c r="E1998" s="10" t="s">
        <v>2349</v>
      </c>
      <c r="F1998" s="11">
        <v>48155</v>
      </c>
      <c r="G1998" s="11">
        <v>53201</v>
      </c>
      <c r="H1998" s="11">
        <v>101356</v>
      </c>
      <c r="I1998" s="11">
        <v>41862</v>
      </c>
    </row>
    <row r="1999" spans="1:9" x14ac:dyDescent="0.2">
      <c r="A1999" s="10">
        <v>6712</v>
      </c>
      <c r="B1999" s="10">
        <v>73</v>
      </c>
      <c r="C1999" s="10" t="s">
        <v>2346</v>
      </c>
      <c r="D1999" s="10">
        <v>7304</v>
      </c>
      <c r="E1999" s="10" t="s">
        <v>2350</v>
      </c>
      <c r="F1999" s="11">
        <v>17445</v>
      </c>
      <c r="G1999" s="11">
        <v>18389</v>
      </c>
      <c r="H1999" s="11">
        <v>35834</v>
      </c>
      <c r="I1999" s="11">
        <v>11946</v>
      </c>
    </row>
    <row r="2000" spans="1:9" x14ac:dyDescent="0.2">
      <c r="A2000" s="10">
        <v>6712</v>
      </c>
      <c r="B2000" s="10">
        <v>73</v>
      </c>
      <c r="C2000" s="10" t="s">
        <v>2346</v>
      </c>
      <c r="D2000" s="10">
        <v>7305</v>
      </c>
      <c r="E2000" s="10" t="s">
        <v>2351</v>
      </c>
      <c r="F2000" s="11">
        <v>39587</v>
      </c>
      <c r="G2000" s="11">
        <v>40747</v>
      </c>
      <c r="H2000" s="11">
        <v>80334</v>
      </c>
      <c r="I2000" s="11">
        <v>31433</v>
      </c>
    </row>
    <row r="2001" spans="1:9" x14ac:dyDescent="0.2">
      <c r="A2001" s="10">
        <v>6712</v>
      </c>
      <c r="B2001" s="10">
        <v>73</v>
      </c>
      <c r="C2001" s="10" t="s">
        <v>2346</v>
      </c>
      <c r="D2001" s="10">
        <v>7306</v>
      </c>
      <c r="E2001" s="10" t="s">
        <v>2352</v>
      </c>
      <c r="F2001" s="11">
        <v>47571</v>
      </c>
      <c r="G2001" s="11">
        <v>52910</v>
      </c>
      <c r="H2001" s="11">
        <v>100481</v>
      </c>
      <c r="I2001" s="11">
        <v>52185</v>
      </c>
    </row>
    <row r="2002" spans="1:9" x14ac:dyDescent="0.2">
      <c r="A2002" s="10">
        <v>6712</v>
      </c>
      <c r="B2002" s="10">
        <v>73</v>
      </c>
      <c r="C2002" s="10" t="s">
        <v>2346</v>
      </c>
      <c r="D2002" s="10">
        <v>7307</v>
      </c>
      <c r="E2002" s="10" t="s">
        <v>2353</v>
      </c>
      <c r="F2002" s="11">
        <v>10584</v>
      </c>
      <c r="G2002" s="11">
        <v>12458</v>
      </c>
      <c r="H2002" s="11">
        <v>23042</v>
      </c>
      <c r="I2002" s="11">
        <v>12471</v>
      </c>
    </row>
    <row r="2003" spans="1:9" x14ac:dyDescent="0.2">
      <c r="A2003" s="10">
        <v>6712</v>
      </c>
      <c r="B2003" s="10">
        <v>73</v>
      </c>
      <c r="C2003" s="10" t="s">
        <v>2346</v>
      </c>
      <c r="D2003" s="10">
        <v>7380</v>
      </c>
      <c r="E2003" s="10" t="s">
        <v>2354</v>
      </c>
      <c r="F2003" s="11">
        <v>4598</v>
      </c>
      <c r="G2003" s="11">
        <v>5111</v>
      </c>
      <c r="H2003" s="11">
        <v>9709</v>
      </c>
      <c r="I2003" s="11">
        <v>5079</v>
      </c>
    </row>
    <row r="2004" spans="1:9" x14ac:dyDescent="0.2">
      <c r="A2004" s="10">
        <v>6712</v>
      </c>
      <c r="B2004" s="10">
        <v>73</v>
      </c>
      <c r="C2004" s="10" t="s">
        <v>2346</v>
      </c>
      <c r="D2004" s="10">
        <v>7381</v>
      </c>
      <c r="E2004" s="10" t="s">
        <v>2355</v>
      </c>
      <c r="F2004" s="11">
        <v>7218</v>
      </c>
      <c r="G2004" s="11">
        <v>8384</v>
      </c>
      <c r="H2004" s="11">
        <v>15602</v>
      </c>
      <c r="I2004" s="11">
        <v>9517</v>
      </c>
    </row>
    <row r="2005" spans="1:9" x14ac:dyDescent="0.2">
      <c r="A2005" s="10">
        <v>6712</v>
      </c>
      <c r="B2005" s="10">
        <v>73</v>
      </c>
      <c r="C2005" s="10" t="s">
        <v>2346</v>
      </c>
      <c r="D2005" s="10">
        <v>7382</v>
      </c>
      <c r="E2005" s="10" t="s">
        <v>2356</v>
      </c>
      <c r="F2005" s="11">
        <v>13578</v>
      </c>
      <c r="G2005" s="11">
        <v>15931</v>
      </c>
      <c r="H2005" s="11">
        <v>29509</v>
      </c>
      <c r="I2005" s="11">
        <v>19092</v>
      </c>
    </row>
    <row r="2006" spans="1:9" x14ac:dyDescent="0.2">
      <c r="A2006" s="10">
        <v>6712</v>
      </c>
      <c r="B2006" s="10">
        <v>73</v>
      </c>
      <c r="C2006" s="10" t="s">
        <v>2346</v>
      </c>
      <c r="D2006" s="10">
        <v>7383</v>
      </c>
      <c r="E2006" s="10" t="s">
        <v>2357</v>
      </c>
      <c r="F2006" s="11">
        <v>17045</v>
      </c>
      <c r="G2006" s="11">
        <v>19441</v>
      </c>
      <c r="H2006" s="11">
        <v>36486</v>
      </c>
      <c r="I2006" s="11">
        <v>27294</v>
      </c>
    </row>
    <row r="2007" spans="1:9" x14ac:dyDescent="0.2">
      <c r="A2007" s="10">
        <v>6712</v>
      </c>
      <c r="B2007" s="10">
        <v>73</v>
      </c>
      <c r="C2007" s="10" t="s">
        <v>2346</v>
      </c>
      <c r="D2007" s="10">
        <v>7384</v>
      </c>
      <c r="E2007" s="10" t="s">
        <v>2358</v>
      </c>
      <c r="F2007" s="11">
        <v>5169</v>
      </c>
      <c r="G2007" s="11">
        <v>5783</v>
      </c>
      <c r="H2007" s="11">
        <v>10952</v>
      </c>
      <c r="I2007" s="11">
        <v>4670</v>
      </c>
    </row>
    <row r="2008" spans="1:9" x14ac:dyDescent="0.2">
      <c r="A2008" s="10">
        <v>6712</v>
      </c>
      <c r="B2008" s="10">
        <v>73</v>
      </c>
      <c r="C2008" s="10" t="s">
        <v>2346</v>
      </c>
      <c r="D2008" s="10">
        <v>7385</v>
      </c>
      <c r="E2008" s="10" t="s">
        <v>2359</v>
      </c>
      <c r="F2008" s="11">
        <v>6551</v>
      </c>
      <c r="G2008" s="11">
        <v>5279</v>
      </c>
      <c r="H2008" s="11">
        <v>11830</v>
      </c>
      <c r="I2008" s="11">
        <v>9858</v>
      </c>
    </row>
    <row r="2009" spans="1:9" x14ac:dyDescent="0.2">
      <c r="A2009" s="10">
        <v>6712</v>
      </c>
      <c r="B2009" s="10">
        <v>73</v>
      </c>
      <c r="C2009" s="10" t="s">
        <v>2346</v>
      </c>
      <c r="D2009" s="10">
        <v>7386</v>
      </c>
      <c r="E2009" s="10" t="s">
        <v>2360</v>
      </c>
      <c r="F2009" s="11">
        <v>11551</v>
      </c>
      <c r="G2009" s="11">
        <v>12823</v>
      </c>
      <c r="H2009" s="11">
        <v>24374</v>
      </c>
      <c r="I2009" s="11">
        <v>22440</v>
      </c>
    </row>
    <row r="2010" spans="1:9" x14ac:dyDescent="0.2">
      <c r="A2010" s="10">
        <v>6712</v>
      </c>
      <c r="B2010" s="10">
        <v>73</v>
      </c>
      <c r="C2010" s="10" t="s">
        <v>2346</v>
      </c>
      <c r="D2010" s="10">
        <v>7387</v>
      </c>
      <c r="E2010" s="10" t="s">
        <v>2361</v>
      </c>
      <c r="F2010" s="11">
        <v>8520</v>
      </c>
      <c r="G2010" s="11">
        <v>7587</v>
      </c>
      <c r="H2010" s="11">
        <v>16107</v>
      </c>
      <c r="I2010" s="11">
        <v>9310</v>
      </c>
    </row>
    <row r="2011" spans="1:9" x14ac:dyDescent="0.2">
      <c r="A2011" s="10">
        <v>6712</v>
      </c>
      <c r="B2011" s="10">
        <v>73</v>
      </c>
      <c r="C2011" s="10" t="s">
        <v>2346</v>
      </c>
      <c r="D2011" s="10">
        <v>7388</v>
      </c>
      <c r="E2011" s="10" t="s">
        <v>2362</v>
      </c>
      <c r="F2011" s="10">
        <v>902</v>
      </c>
      <c r="G2011" s="10">
        <v>977</v>
      </c>
      <c r="H2011" s="11">
        <v>1879</v>
      </c>
      <c r="I2011" s="10">
        <v>665</v>
      </c>
    </row>
    <row r="2012" spans="1:9" x14ac:dyDescent="0.2">
      <c r="A2012" s="10">
        <v>6712</v>
      </c>
      <c r="B2012" s="10">
        <v>73</v>
      </c>
      <c r="C2012" s="10" t="s">
        <v>2346</v>
      </c>
      <c r="D2012" s="10">
        <v>7389</v>
      </c>
      <c r="E2012" s="10" t="s">
        <v>2363</v>
      </c>
      <c r="F2012" s="10">
        <v>981</v>
      </c>
      <c r="G2012" s="11">
        <v>1024</v>
      </c>
      <c r="H2012" s="11">
        <v>2005</v>
      </c>
      <c r="I2012" s="10">
        <v>753</v>
      </c>
    </row>
    <row r="2013" spans="1:9" x14ac:dyDescent="0.2">
      <c r="A2013" s="10">
        <v>6712</v>
      </c>
      <c r="B2013" s="10">
        <v>73</v>
      </c>
      <c r="C2013" s="10" t="s">
        <v>2346</v>
      </c>
      <c r="D2013" s="10">
        <v>7390</v>
      </c>
      <c r="E2013" s="10" t="s">
        <v>457</v>
      </c>
      <c r="F2013" s="10">
        <v>976</v>
      </c>
      <c r="G2013" s="11">
        <v>1010</v>
      </c>
      <c r="H2013" s="11">
        <v>1986</v>
      </c>
      <c r="I2013" s="10">
        <v>738</v>
      </c>
    </row>
    <row r="2014" spans="1:9" x14ac:dyDescent="0.2">
      <c r="A2014" s="10">
        <v>6712</v>
      </c>
      <c r="B2014" s="10">
        <v>73</v>
      </c>
      <c r="C2014" s="10" t="s">
        <v>2346</v>
      </c>
      <c r="D2014" s="10">
        <v>7391</v>
      </c>
      <c r="E2014" s="10" t="s">
        <v>2364</v>
      </c>
      <c r="F2014" s="11">
        <v>4169</v>
      </c>
      <c r="G2014" s="11">
        <v>4205</v>
      </c>
      <c r="H2014" s="11">
        <v>8374</v>
      </c>
      <c r="I2014" s="11">
        <v>4440</v>
      </c>
    </row>
    <row r="2015" spans="1:9" x14ac:dyDescent="0.2">
      <c r="A2015" s="10">
        <v>6712</v>
      </c>
      <c r="B2015" s="10">
        <v>73</v>
      </c>
      <c r="C2015" s="10" t="s">
        <v>2346</v>
      </c>
      <c r="D2015" s="10">
        <v>7392</v>
      </c>
      <c r="E2015" s="10" t="s">
        <v>2173</v>
      </c>
      <c r="F2015" s="11">
        <v>6636</v>
      </c>
      <c r="G2015" s="11">
        <v>7291</v>
      </c>
      <c r="H2015" s="11">
        <v>13927</v>
      </c>
      <c r="I2015" s="11">
        <v>5216</v>
      </c>
    </row>
    <row r="2016" spans="1:9" x14ac:dyDescent="0.2">
      <c r="A2016" s="10">
        <v>6712</v>
      </c>
      <c r="B2016" s="10">
        <v>73</v>
      </c>
      <c r="C2016" s="10" t="s">
        <v>2346</v>
      </c>
      <c r="D2016" s="10">
        <v>7393</v>
      </c>
      <c r="E2016" s="10" t="s">
        <v>2365</v>
      </c>
      <c r="F2016" s="11">
        <v>1015</v>
      </c>
      <c r="G2016" s="11">
        <v>1132</v>
      </c>
      <c r="H2016" s="11">
        <v>2147</v>
      </c>
      <c r="I2016" s="10">
        <v>943</v>
      </c>
    </row>
    <row r="2017" spans="1:9" x14ac:dyDescent="0.2">
      <c r="A2017" s="10">
        <v>6712</v>
      </c>
      <c r="B2017" s="10">
        <v>73</v>
      </c>
      <c r="C2017" s="10" t="s">
        <v>2346</v>
      </c>
      <c r="D2017" s="10">
        <v>7394</v>
      </c>
      <c r="E2017" s="10" t="s">
        <v>2366</v>
      </c>
      <c r="F2017" s="11">
        <v>3573</v>
      </c>
      <c r="G2017" s="11">
        <v>4304</v>
      </c>
      <c r="H2017" s="11">
        <v>7877</v>
      </c>
      <c r="I2017" s="11">
        <v>5210</v>
      </c>
    </row>
    <row r="2018" spans="1:9" x14ac:dyDescent="0.2">
      <c r="A2018" s="10">
        <v>6712</v>
      </c>
      <c r="B2018" s="10">
        <v>73</v>
      </c>
      <c r="C2018" s="10" t="s">
        <v>2346</v>
      </c>
      <c r="D2018" s="10">
        <v>7395</v>
      </c>
      <c r="E2018" s="10" t="s">
        <v>2367</v>
      </c>
      <c r="F2018" s="11">
        <v>3151</v>
      </c>
      <c r="G2018" s="11">
        <v>3597</v>
      </c>
      <c r="H2018" s="11">
        <v>6748</v>
      </c>
      <c r="I2018" s="11">
        <v>4369</v>
      </c>
    </row>
    <row r="2019" spans="1:9" x14ac:dyDescent="0.2">
      <c r="A2019" s="10">
        <v>6712</v>
      </c>
      <c r="B2019" s="10">
        <v>73</v>
      </c>
      <c r="C2019" s="10" t="s">
        <v>2346</v>
      </c>
      <c r="D2019" s="10">
        <v>7396</v>
      </c>
      <c r="E2019" s="10" t="s">
        <v>2368</v>
      </c>
      <c r="F2019" s="11">
        <v>5124</v>
      </c>
      <c r="G2019" s="11">
        <v>5668</v>
      </c>
      <c r="H2019" s="11">
        <v>10792</v>
      </c>
      <c r="I2019" s="11">
        <v>4471</v>
      </c>
    </row>
    <row r="2020" spans="1:9" x14ac:dyDescent="0.2">
      <c r="A2020" s="10">
        <v>6712</v>
      </c>
      <c r="B2020" s="10">
        <v>73</v>
      </c>
      <c r="C2020" s="10" t="s">
        <v>2346</v>
      </c>
      <c r="D2020" s="10">
        <v>7397</v>
      </c>
      <c r="E2020" s="10" t="s">
        <v>2369</v>
      </c>
      <c r="F2020" s="11">
        <v>3218</v>
      </c>
      <c r="G2020" s="11">
        <v>3586</v>
      </c>
      <c r="H2020" s="11">
        <v>6804</v>
      </c>
      <c r="I2020" s="11">
        <v>3082</v>
      </c>
    </row>
    <row r="2021" spans="1:9" x14ac:dyDescent="0.2">
      <c r="A2021" s="10">
        <v>6712</v>
      </c>
      <c r="B2021" s="10">
        <v>73</v>
      </c>
      <c r="C2021" s="10" t="s">
        <v>2346</v>
      </c>
      <c r="D2021" s="10">
        <v>7398</v>
      </c>
      <c r="E2021" s="10" t="s">
        <v>2370</v>
      </c>
      <c r="F2021" s="11">
        <v>3010</v>
      </c>
      <c r="G2021" s="11">
        <v>3273</v>
      </c>
      <c r="H2021" s="11">
        <v>6283</v>
      </c>
      <c r="I2021" s="11">
        <v>2278</v>
      </c>
    </row>
    <row r="2022" spans="1:9" x14ac:dyDescent="0.2">
      <c r="A2022" s="10">
        <v>6712</v>
      </c>
      <c r="B2022" s="10">
        <v>73</v>
      </c>
      <c r="C2022" s="10" t="s">
        <v>2346</v>
      </c>
      <c r="D2022" s="10">
        <v>7399</v>
      </c>
      <c r="E2022" s="10" t="s">
        <v>2371</v>
      </c>
      <c r="F2022" s="11">
        <v>30916</v>
      </c>
      <c r="G2022" s="11">
        <v>34898</v>
      </c>
      <c r="H2022" s="11">
        <v>65814</v>
      </c>
      <c r="I2022" s="11">
        <v>38169</v>
      </c>
    </row>
    <row r="2023" spans="1:9" x14ac:dyDescent="0.2">
      <c r="A2023" s="10">
        <v>6712</v>
      </c>
      <c r="B2023" s="10">
        <v>74</v>
      </c>
      <c r="C2023" s="10" t="s">
        <v>2372</v>
      </c>
      <c r="D2023" s="10">
        <v>7401</v>
      </c>
      <c r="E2023" s="10" t="s">
        <v>2373</v>
      </c>
      <c r="F2023" s="11">
        <v>103022</v>
      </c>
      <c r="G2023" s="11">
        <v>113467</v>
      </c>
      <c r="H2023" s="11">
        <v>216489</v>
      </c>
      <c r="I2023" s="11">
        <v>126839</v>
      </c>
    </row>
    <row r="2024" spans="1:9" x14ac:dyDescent="0.2">
      <c r="A2024" s="10">
        <v>6712</v>
      </c>
      <c r="B2024" s="10">
        <v>74</v>
      </c>
      <c r="C2024" s="10" t="s">
        <v>2372</v>
      </c>
      <c r="D2024" s="10">
        <v>7402</v>
      </c>
      <c r="E2024" s="10" t="s">
        <v>2374</v>
      </c>
      <c r="F2024" s="11">
        <v>32519</v>
      </c>
      <c r="G2024" s="11">
        <v>35259</v>
      </c>
      <c r="H2024" s="11">
        <v>67778</v>
      </c>
      <c r="I2024" s="11">
        <v>40695</v>
      </c>
    </row>
    <row r="2025" spans="1:9" x14ac:dyDescent="0.2">
      <c r="A2025" s="10">
        <v>6712</v>
      </c>
      <c r="B2025" s="10">
        <v>74</v>
      </c>
      <c r="C2025" s="10" t="s">
        <v>2372</v>
      </c>
      <c r="D2025" s="10">
        <v>7403</v>
      </c>
      <c r="E2025" s="10" t="s">
        <v>2375</v>
      </c>
      <c r="F2025" s="11">
        <v>24371</v>
      </c>
      <c r="G2025" s="11">
        <v>26606</v>
      </c>
      <c r="H2025" s="11">
        <v>50977</v>
      </c>
      <c r="I2025" s="11">
        <v>17232</v>
      </c>
    </row>
    <row r="2026" spans="1:9" x14ac:dyDescent="0.2">
      <c r="A2026" s="10">
        <v>6712</v>
      </c>
      <c r="B2026" s="10">
        <v>74</v>
      </c>
      <c r="C2026" s="10" t="s">
        <v>2372</v>
      </c>
      <c r="D2026" s="10">
        <v>7491</v>
      </c>
      <c r="E2026" s="10" t="s">
        <v>2376</v>
      </c>
      <c r="F2026" s="11">
        <v>19300</v>
      </c>
      <c r="G2026" s="11">
        <v>19707</v>
      </c>
      <c r="H2026" s="11">
        <v>39007</v>
      </c>
      <c r="I2026" s="11">
        <v>24172</v>
      </c>
    </row>
    <row r="2027" spans="1:9" x14ac:dyDescent="0.2">
      <c r="A2027" s="10">
        <v>6712</v>
      </c>
      <c r="B2027" s="10">
        <v>74</v>
      </c>
      <c r="C2027" s="10" t="s">
        <v>2372</v>
      </c>
      <c r="D2027" s="10">
        <v>7492</v>
      </c>
      <c r="E2027" s="10" t="s">
        <v>831</v>
      </c>
      <c r="F2027" s="11">
        <v>13395</v>
      </c>
      <c r="G2027" s="11">
        <v>14943</v>
      </c>
      <c r="H2027" s="11">
        <v>28338</v>
      </c>
      <c r="I2027" s="11">
        <v>17422</v>
      </c>
    </row>
    <row r="2028" spans="1:9" x14ac:dyDescent="0.2">
      <c r="A2028" s="10">
        <v>6712</v>
      </c>
      <c r="B2028" s="10">
        <v>74</v>
      </c>
      <c r="C2028" s="10" t="s">
        <v>2372</v>
      </c>
      <c r="D2028" s="10">
        <v>7493</v>
      </c>
      <c r="E2028" s="10" t="s">
        <v>2377</v>
      </c>
      <c r="F2028" s="11">
        <v>20494</v>
      </c>
      <c r="G2028" s="11">
        <v>21802</v>
      </c>
      <c r="H2028" s="11">
        <v>42296</v>
      </c>
      <c r="I2028" s="11">
        <v>11441</v>
      </c>
    </row>
    <row r="2029" spans="1:9" x14ac:dyDescent="0.2">
      <c r="A2029" s="10">
        <v>6712</v>
      </c>
      <c r="B2029" s="10">
        <v>74</v>
      </c>
      <c r="C2029" s="10" t="s">
        <v>2372</v>
      </c>
      <c r="D2029" s="10">
        <v>7494</v>
      </c>
      <c r="E2029" s="10" t="s">
        <v>2378</v>
      </c>
      <c r="F2029" s="11">
        <v>1351</v>
      </c>
      <c r="G2029" s="11">
        <v>1421</v>
      </c>
      <c r="H2029" s="11">
        <v>2772</v>
      </c>
      <c r="I2029" s="11">
        <v>1062</v>
      </c>
    </row>
    <row r="2030" spans="1:9" x14ac:dyDescent="0.2">
      <c r="A2030" s="10">
        <v>6712</v>
      </c>
      <c r="B2030" s="10">
        <v>74</v>
      </c>
      <c r="C2030" s="10" t="s">
        <v>2372</v>
      </c>
      <c r="D2030" s="10">
        <v>7495</v>
      </c>
      <c r="E2030" s="10" t="s">
        <v>2379</v>
      </c>
      <c r="F2030" s="11">
        <v>2533</v>
      </c>
      <c r="G2030" s="11">
        <v>2688</v>
      </c>
      <c r="H2030" s="11">
        <v>5221</v>
      </c>
      <c r="I2030" s="11">
        <v>1677</v>
      </c>
    </row>
    <row r="2031" spans="1:9" x14ac:dyDescent="0.2">
      <c r="A2031" s="10">
        <v>6712</v>
      </c>
      <c r="B2031" s="10">
        <v>74</v>
      </c>
      <c r="C2031" s="10" t="s">
        <v>2372</v>
      </c>
      <c r="D2031" s="10">
        <v>7496</v>
      </c>
      <c r="E2031" s="10" t="s">
        <v>2380</v>
      </c>
      <c r="F2031" s="11">
        <v>3660</v>
      </c>
      <c r="G2031" s="11">
        <v>3990</v>
      </c>
      <c r="H2031" s="11">
        <v>7650</v>
      </c>
      <c r="I2031" s="11">
        <v>4956</v>
      </c>
    </row>
    <row r="2032" spans="1:9" x14ac:dyDescent="0.2">
      <c r="A2032" s="10">
        <v>6712</v>
      </c>
      <c r="B2032" s="10">
        <v>74</v>
      </c>
      <c r="C2032" s="10" t="s">
        <v>2372</v>
      </c>
      <c r="D2032" s="10">
        <v>7497</v>
      </c>
      <c r="E2032" s="10" t="s">
        <v>2381</v>
      </c>
      <c r="F2032" s="11">
        <v>25497</v>
      </c>
      <c r="G2032" s="11">
        <v>28417</v>
      </c>
      <c r="H2032" s="11">
        <v>53914</v>
      </c>
      <c r="I2032" s="11">
        <v>51913</v>
      </c>
    </row>
    <row r="2033" spans="1:9" x14ac:dyDescent="0.2">
      <c r="A2033" s="10">
        <v>6712</v>
      </c>
      <c r="B2033" s="10">
        <v>74</v>
      </c>
      <c r="C2033" s="10" t="s">
        <v>2372</v>
      </c>
      <c r="D2033" s="10">
        <v>7498</v>
      </c>
      <c r="E2033" s="10" t="s">
        <v>2382</v>
      </c>
      <c r="F2033" s="11">
        <v>11274</v>
      </c>
      <c r="G2033" s="11">
        <v>11930</v>
      </c>
      <c r="H2033" s="11">
        <v>23204</v>
      </c>
      <c r="I2033" s="11">
        <v>6688</v>
      </c>
    </row>
    <row r="2034" spans="1:9" x14ac:dyDescent="0.2">
      <c r="A2034" s="10">
        <v>6712</v>
      </c>
      <c r="B2034" s="10">
        <v>74</v>
      </c>
      <c r="C2034" s="10" t="s">
        <v>2372</v>
      </c>
      <c r="D2034" s="10">
        <v>7499</v>
      </c>
      <c r="E2034" s="10" t="s">
        <v>2383</v>
      </c>
      <c r="F2034" s="11">
        <v>26044</v>
      </c>
      <c r="G2034" s="11">
        <v>27177</v>
      </c>
      <c r="H2034" s="11">
        <v>53221</v>
      </c>
      <c r="I2034" s="11">
        <v>19235</v>
      </c>
    </row>
    <row r="2035" spans="1:9" x14ac:dyDescent="0.2">
      <c r="A2035" s="10">
        <v>6712</v>
      </c>
      <c r="B2035" s="10">
        <v>75</v>
      </c>
      <c r="C2035" s="10" t="s">
        <v>2384</v>
      </c>
      <c r="D2035" s="10">
        <v>7501</v>
      </c>
      <c r="E2035" s="10" t="s">
        <v>2385</v>
      </c>
      <c r="F2035" s="11">
        <v>37394</v>
      </c>
      <c r="G2035" s="11">
        <v>40985</v>
      </c>
      <c r="H2035" s="11">
        <v>78379</v>
      </c>
      <c r="I2035" s="11">
        <v>34397</v>
      </c>
    </row>
    <row r="2036" spans="1:9" x14ac:dyDescent="0.2">
      <c r="A2036" s="10">
        <v>6712</v>
      </c>
      <c r="B2036" s="10">
        <v>75</v>
      </c>
      <c r="C2036" s="10" t="s">
        <v>2384</v>
      </c>
      <c r="D2036" s="10">
        <v>7502</v>
      </c>
      <c r="E2036" s="10" t="s">
        <v>2386</v>
      </c>
      <c r="F2036" s="11">
        <v>12533</v>
      </c>
      <c r="G2036" s="11">
        <v>13833</v>
      </c>
      <c r="H2036" s="11">
        <v>26366</v>
      </c>
      <c r="I2036" s="11">
        <v>10382</v>
      </c>
    </row>
    <row r="2037" spans="1:9" x14ac:dyDescent="0.2">
      <c r="A2037" s="10">
        <v>6712</v>
      </c>
      <c r="B2037" s="10">
        <v>75</v>
      </c>
      <c r="C2037" s="10" t="s">
        <v>2384</v>
      </c>
      <c r="D2037" s="10">
        <v>7503</v>
      </c>
      <c r="E2037" s="10" t="s">
        <v>2387</v>
      </c>
      <c r="F2037" s="11">
        <v>22591</v>
      </c>
      <c r="G2037" s="11">
        <v>24417</v>
      </c>
      <c r="H2037" s="11">
        <v>47008</v>
      </c>
      <c r="I2037" s="11">
        <v>16641</v>
      </c>
    </row>
    <row r="2038" spans="1:9" x14ac:dyDescent="0.2">
      <c r="A2038" s="10">
        <v>6712</v>
      </c>
      <c r="B2038" s="10">
        <v>75</v>
      </c>
      <c r="C2038" s="10" t="s">
        <v>2384</v>
      </c>
      <c r="D2038" s="10">
        <v>7595</v>
      </c>
      <c r="E2038" s="10" t="s">
        <v>2388</v>
      </c>
      <c r="F2038" s="10">
        <v>888</v>
      </c>
      <c r="G2038" s="10">
        <v>958</v>
      </c>
      <c r="H2038" s="11">
        <v>1846</v>
      </c>
      <c r="I2038" s="10">
        <v>810</v>
      </c>
    </row>
    <row r="2039" spans="1:9" x14ac:dyDescent="0.2">
      <c r="A2039" s="10">
        <v>6712</v>
      </c>
      <c r="B2039" s="10">
        <v>75</v>
      </c>
      <c r="C2039" s="10" t="s">
        <v>2384</v>
      </c>
      <c r="D2039" s="10">
        <v>7596</v>
      </c>
      <c r="E2039" s="10" t="s">
        <v>2389</v>
      </c>
      <c r="F2039" s="10">
        <v>780</v>
      </c>
      <c r="G2039" s="10">
        <v>915</v>
      </c>
      <c r="H2039" s="11">
        <v>1695</v>
      </c>
      <c r="I2039" s="10">
        <v>865</v>
      </c>
    </row>
    <row r="2040" spans="1:9" x14ac:dyDescent="0.2">
      <c r="A2040" s="10">
        <v>6712</v>
      </c>
      <c r="B2040" s="10">
        <v>75</v>
      </c>
      <c r="C2040" s="10" t="s">
        <v>2384</v>
      </c>
      <c r="D2040" s="10">
        <v>7597</v>
      </c>
      <c r="E2040" s="10" t="s">
        <v>2390</v>
      </c>
      <c r="F2040" s="10">
        <v>973</v>
      </c>
      <c r="G2040" s="11">
        <v>1128</v>
      </c>
      <c r="H2040" s="11">
        <v>2101</v>
      </c>
      <c r="I2040" s="10">
        <v>882</v>
      </c>
    </row>
    <row r="2041" spans="1:9" x14ac:dyDescent="0.2">
      <c r="A2041" s="10">
        <v>6712</v>
      </c>
      <c r="B2041" s="10">
        <v>75</v>
      </c>
      <c r="C2041" s="10" t="s">
        <v>2384</v>
      </c>
      <c r="D2041" s="10">
        <v>7598</v>
      </c>
      <c r="E2041" s="10" t="s">
        <v>2391</v>
      </c>
      <c r="F2041" s="11">
        <v>2071</v>
      </c>
      <c r="G2041" s="11">
        <v>2288</v>
      </c>
      <c r="H2041" s="11">
        <v>4359</v>
      </c>
      <c r="I2041" s="11">
        <v>2028</v>
      </c>
    </row>
    <row r="2042" spans="1:9" x14ac:dyDescent="0.2">
      <c r="A2042" s="10">
        <v>6712</v>
      </c>
      <c r="B2042" s="10">
        <v>75</v>
      </c>
      <c r="C2042" s="10" t="s">
        <v>2384</v>
      </c>
      <c r="D2042" s="10">
        <v>7599</v>
      </c>
      <c r="E2042" s="10" t="s">
        <v>2392</v>
      </c>
      <c r="F2042" s="11">
        <v>11810</v>
      </c>
      <c r="G2042" s="11">
        <v>13220</v>
      </c>
      <c r="H2042" s="11">
        <v>25030</v>
      </c>
      <c r="I2042" s="11">
        <v>11388</v>
      </c>
    </row>
    <row r="2043" spans="1:9" x14ac:dyDescent="0.2">
      <c r="A2043" s="10">
        <v>6712</v>
      </c>
      <c r="B2043" s="10">
        <v>76</v>
      </c>
      <c r="C2043" s="10" t="s">
        <v>2393</v>
      </c>
      <c r="D2043" s="10">
        <v>7601</v>
      </c>
      <c r="E2043" s="10" t="s">
        <v>2394</v>
      </c>
      <c r="F2043" s="11">
        <v>42451</v>
      </c>
      <c r="G2043" s="11">
        <v>48646</v>
      </c>
      <c r="H2043" s="11">
        <v>91097</v>
      </c>
      <c r="I2043" s="11">
        <v>37991</v>
      </c>
    </row>
    <row r="2044" spans="1:9" x14ac:dyDescent="0.2">
      <c r="A2044" s="10">
        <v>6712</v>
      </c>
      <c r="B2044" s="10">
        <v>76</v>
      </c>
      <c r="C2044" s="10" t="s">
        <v>2393</v>
      </c>
      <c r="D2044" s="10">
        <v>7602</v>
      </c>
      <c r="E2044" s="10" t="s">
        <v>2395</v>
      </c>
      <c r="F2044" s="11">
        <v>11493</v>
      </c>
      <c r="G2044" s="11">
        <v>12141</v>
      </c>
      <c r="H2044" s="11">
        <v>23634</v>
      </c>
      <c r="I2044" s="11">
        <v>11748</v>
      </c>
    </row>
    <row r="2045" spans="1:9" x14ac:dyDescent="0.2">
      <c r="A2045" s="10">
        <v>6712</v>
      </c>
      <c r="B2045" s="10">
        <v>76</v>
      </c>
      <c r="C2045" s="10" t="s">
        <v>2393</v>
      </c>
      <c r="D2045" s="10">
        <v>7603</v>
      </c>
      <c r="E2045" s="10" t="s">
        <v>2396</v>
      </c>
      <c r="F2045" s="11">
        <v>8238</v>
      </c>
      <c r="G2045" s="11">
        <v>8265</v>
      </c>
      <c r="H2045" s="11">
        <v>16503</v>
      </c>
      <c r="I2045" s="11">
        <v>7327</v>
      </c>
    </row>
    <row r="2046" spans="1:9" x14ac:dyDescent="0.2">
      <c r="A2046" s="10">
        <v>6712</v>
      </c>
      <c r="B2046" s="10">
        <v>76</v>
      </c>
      <c r="C2046" s="10" t="s">
        <v>2393</v>
      </c>
      <c r="D2046" s="10">
        <v>7604</v>
      </c>
      <c r="E2046" s="10" t="s">
        <v>2397</v>
      </c>
      <c r="F2046" s="11">
        <v>11199</v>
      </c>
      <c r="G2046" s="11">
        <v>11323</v>
      </c>
      <c r="H2046" s="11">
        <v>22522</v>
      </c>
      <c r="I2046" s="11">
        <v>9709</v>
      </c>
    </row>
    <row r="2047" spans="1:9" x14ac:dyDescent="0.2">
      <c r="A2047" s="10">
        <v>6712</v>
      </c>
      <c r="B2047" s="10">
        <v>76</v>
      </c>
      <c r="C2047" s="10" t="s">
        <v>2393</v>
      </c>
      <c r="D2047" s="10">
        <v>7605</v>
      </c>
      <c r="E2047" s="10" t="s">
        <v>2398</v>
      </c>
      <c r="F2047" s="11">
        <v>23768</v>
      </c>
      <c r="G2047" s="11">
        <v>25094</v>
      </c>
      <c r="H2047" s="11">
        <v>48862</v>
      </c>
      <c r="I2047" s="11">
        <v>20888</v>
      </c>
    </row>
    <row r="2048" spans="1:9" x14ac:dyDescent="0.2">
      <c r="A2048" s="10">
        <v>6712</v>
      </c>
      <c r="B2048" s="10">
        <v>76</v>
      </c>
      <c r="C2048" s="10" t="s">
        <v>2393</v>
      </c>
      <c r="D2048" s="10">
        <v>7606</v>
      </c>
      <c r="E2048" s="10" t="s">
        <v>2399</v>
      </c>
      <c r="F2048" s="11">
        <v>22932</v>
      </c>
      <c r="G2048" s="11">
        <v>25160</v>
      </c>
      <c r="H2048" s="11">
        <v>48092</v>
      </c>
      <c r="I2048" s="11">
        <v>16808</v>
      </c>
    </row>
    <row r="2049" spans="1:9" x14ac:dyDescent="0.2">
      <c r="A2049" s="10">
        <v>6712</v>
      </c>
      <c r="B2049" s="10">
        <v>76</v>
      </c>
      <c r="C2049" s="10" t="s">
        <v>2393</v>
      </c>
      <c r="D2049" s="10">
        <v>7607</v>
      </c>
      <c r="E2049" s="10" t="s">
        <v>2400</v>
      </c>
      <c r="F2049" s="11">
        <v>17654</v>
      </c>
      <c r="G2049" s="11">
        <v>18305</v>
      </c>
      <c r="H2049" s="11">
        <v>35959</v>
      </c>
      <c r="I2049" s="11">
        <v>12322</v>
      </c>
    </row>
    <row r="2050" spans="1:9" x14ac:dyDescent="0.2">
      <c r="A2050" s="10">
        <v>6712</v>
      </c>
      <c r="B2050" s="10">
        <v>76</v>
      </c>
      <c r="C2050" s="10" t="s">
        <v>2393</v>
      </c>
      <c r="D2050" s="10">
        <v>7608</v>
      </c>
      <c r="E2050" s="10" t="s">
        <v>2401</v>
      </c>
      <c r="F2050" s="11">
        <v>17592</v>
      </c>
      <c r="G2050" s="11">
        <v>16638</v>
      </c>
      <c r="H2050" s="11">
        <v>34230</v>
      </c>
      <c r="I2050" s="11">
        <v>16353</v>
      </c>
    </row>
    <row r="2051" spans="1:9" x14ac:dyDescent="0.2">
      <c r="A2051" s="10">
        <v>6712</v>
      </c>
      <c r="B2051" s="10">
        <v>76</v>
      </c>
      <c r="C2051" s="10" t="s">
        <v>2393</v>
      </c>
      <c r="D2051" s="10">
        <v>7688</v>
      </c>
      <c r="E2051" s="10" t="s">
        <v>2402</v>
      </c>
      <c r="F2051" s="11">
        <v>3069</v>
      </c>
      <c r="G2051" s="11">
        <v>3256</v>
      </c>
      <c r="H2051" s="11">
        <v>6325</v>
      </c>
      <c r="I2051" s="11">
        <v>2276</v>
      </c>
    </row>
    <row r="2052" spans="1:9" x14ac:dyDescent="0.2">
      <c r="A2052" s="10">
        <v>6712</v>
      </c>
      <c r="B2052" s="10">
        <v>76</v>
      </c>
      <c r="C2052" s="10" t="s">
        <v>2393</v>
      </c>
      <c r="D2052" s="10">
        <v>7689</v>
      </c>
      <c r="E2052" s="10" t="s">
        <v>2334</v>
      </c>
      <c r="F2052" s="11">
        <v>5371</v>
      </c>
      <c r="G2052" s="11">
        <v>5747</v>
      </c>
      <c r="H2052" s="11">
        <v>11118</v>
      </c>
      <c r="I2052" s="11">
        <v>4341</v>
      </c>
    </row>
    <row r="2053" spans="1:9" x14ac:dyDescent="0.2">
      <c r="A2053" s="10">
        <v>6712</v>
      </c>
      <c r="B2053" s="10">
        <v>76</v>
      </c>
      <c r="C2053" s="10" t="s">
        <v>2393</v>
      </c>
      <c r="D2053" s="10">
        <v>7690</v>
      </c>
      <c r="E2053" s="10" t="s">
        <v>2403</v>
      </c>
      <c r="F2053" s="11">
        <v>2370</v>
      </c>
      <c r="G2053" s="11">
        <v>2509</v>
      </c>
      <c r="H2053" s="11">
        <v>4879</v>
      </c>
      <c r="I2053" s="11">
        <v>1919</v>
      </c>
    </row>
    <row r="2054" spans="1:9" x14ac:dyDescent="0.2">
      <c r="A2054" s="10">
        <v>6712</v>
      </c>
      <c r="B2054" s="10">
        <v>76</v>
      </c>
      <c r="C2054" s="10" t="s">
        <v>2393</v>
      </c>
      <c r="D2054" s="10">
        <v>7691</v>
      </c>
      <c r="E2054" s="10" t="s">
        <v>2404</v>
      </c>
      <c r="F2054" s="11">
        <v>1689</v>
      </c>
      <c r="G2054" s="11">
        <v>2006</v>
      </c>
      <c r="H2054" s="11">
        <v>3695</v>
      </c>
      <c r="I2054" s="11">
        <v>1784</v>
      </c>
    </row>
    <row r="2055" spans="1:9" x14ac:dyDescent="0.2">
      <c r="A2055" s="10">
        <v>6712</v>
      </c>
      <c r="B2055" s="10">
        <v>76</v>
      </c>
      <c r="C2055" s="10" t="s">
        <v>2393</v>
      </c>
      <c r="D2055" s="10">
        <v>7692</v>
      </c>
      <c r="E2055" s="10" t="s">
        <v>2405</v>
      </c>
      <c r="F2055" s="11">
        <v>1272</v>
      </c>
      <c r="G2055" s="11">
        <v>1408</v>
      </c>
      <c r="H2055" s="11">
        <v>2680</v>
      </c>
      <c r="I2055" s="11">
        <v>1070</v>
      </c>
    </row>
    <row r="2056" spans="1:9" x14ac:dyDescent="0.2">
      <c r="A2056" s="10">
        <v>6712</v>
      </c>
      <c r="B2056" s="10">
        <v>76</v>
      </c>
      <c r="C2056" s="10" t="s">
        <v>2393</v>
      </c>
      <c r="D2056" s="10">
        <v>7693</v>
      </c>
      <c r="E2056" s="10" t="s">
        <v>2406</v>
      </c>
      <c r="F2056" s="11">
        <v>13035</v>
      </c>
      <c r="G2056" s="11">
        <v>14519</v>
      </c>
      <c r="H2056" s="11">
        <v>27554</v>
      </c>
      <c r="I2056" s="11">
        <v>12080</v>
      </c>
    </row>
    <row r="2057" spans="1:9" x14ac:dyDescent="0.2">
      <c r="A2057" s="10">
        <v>6712</v>
      </c>
      <c r="B2057" s="10">
        <v>76</v>
      </c>
      <c r="C2057" s="10" t="s">
        <v>2393</v>
      </c>
      <c r="D2057" s="10">
        <v>7694</v>
      </c>
      <c r="E2057" s="10" t="s">
        <v>2407</v>
      </c>
      <c r="F2057" s="11">
        <v>9185</v>
      </c>
      <c r="G2057" s="11">
        <v>9924</v>
      </c>
      <c r="H2057" s="11">
        <v>19109</v>
      </c>
      <c r="I2057" s="11">
        <v>7778</v>
      </c>
    </row>
    <row r="2058" spans="1:9" x14ac:dyDescent="0.2">
      <c r="A2058" s="10">
        <v>6712</v>
      </c>
      <c r="B2058" s="10">
        <v>76</v>
      </c>
      <c r="C2058" s="10" t="s">
        <v>2393</v>
      </c>
      <c r="D2058" s="10">
        <v>7695</v>
      </c>
      <c r="E2058" s="10" t="s">
        <v>2408</v>
      </c>
      <c r="F2058" s="11">
        <v>7125</v>
      </c>
      <c r="G2058" s="11">
        <v>7805</v>
      </c>
      <c r="H2058" s="11">
        <v>14930</v>
      </c>
      <c r="I2058" s="11">
        <v>8918</v>
      </c>
    </row>
    <row r="2059" spans="1:9" x14ac:dyDescent="0.2">
      <c r="A2059" s="10">
        <v>6712</v>
      </c>
      <c r="B2059" s="10">
        <v>76</v>
      </c>
      <c r="C2059" s="10" t="s">
        <v>2393</v>
      </c>
      <c r="D2059" s="10">
        <v>7696</v>
      </c>
      <c r="E2059" s="10" t="s">
        <v>2409</v>
      </c>
      <c r="F2059" s="11">
        <v>2363</v>
      </c>
      <c r="G2059" s="11">
        <v>2571</v>
      </c>
      <c r="H2059" s="11">
        <v>4934</v>
      </c>
      <c r="I2059" s="11">
        <v>2704</v>
      </c>
    </row>
    <row r="2060" spans="1:9" x14ac:dyDescent="0.2">
      <c r="A2060" s="10">
        <v>6712</v>
      </c>
      <c r="B2060" s="10">
        <v>76</v>
      </c>
      <c r="C2060" s="10" t="s">
        <v>2393</v>
      </c>
      <c r="D2060" s="10">
        <v>7697</v>
      </c>
      <c r="E2060" s="10" t="s">
        <v>2410</v>
      </c>
      <c r="F2060" s="11">
        <v>2754</v>
      </c>
      <c r="G2060" s="11">
        <v>3087</v>
      </c>
      <c r="H2060" s="11">
        <v>5841</v>
      </c>
      <c r="I2060" s="11">
        <v>2095</v>
      </c>
    </row>
    <row r="2061" spans="1:9" x14ac:dyDescent="0.2">
      <c r="A2061" s="10">
        <v>6712</v>
      </c>
      <c r="B2061" s="10">
        <v>76</v>
      </c>
      <c r="C2061" s="10" t="s">
        <v>2393</v>
      </c>
      <c r="D2061" s="10">
        <v>7698</v>
      </c>
      <c r="E2061" s="10" t="s">
        <v>2411</v>
      </c>
      <c r="F2061" s="11">
        <v>20271</v>
      </c>
      <c r="G2061" s="11">
        <v>22448</v>
      </c>
      <c r="H2061" s="11">
        <v>42719</v>
      </c>
      <c r="I2061" s="11">
        <v>48985</v>
      </c>
    </row>
    <row r="2062" spans="1:9" x14ac:dyDescent="0.2">
      <c r="A2062" s="10">
        <v>6712</v>
      </c>
      <c r="B2062" s="10">
        <v>76</v>
      </c>
      <c r="C2062" s="10" t="s">
        <v>2393</v>
      </c>
      <c r="D2062" s="10">
        <v>7699</v>
      </c>
      <c r="E2062" s="10" t="s">
        <v>2412</v>
      </c>
      <c r="F2062" s="11">
        <v>9099</v>
      </c>
      <c r="G2062" s="11">
        <v>10363</v>
      </c>
      <c r="H2062" s="11">
        <v>19462</v>
      </c>
      <c r="I2062" s="11">
        <v>10416</v>
      </c>
    </row>
    <row r="2063" spans="1:9" x14ac:dyDescent="0.2">
      <c r="A2063" s="10">
        <v>6712</v>
      </c>
      <c r="B2063" s="10">
        <v>77</v>
      </c>
      <c r="C2063" s="10" t="s">
        <v>2413</v>
      </c>
      <c r="D2063" s="10">
        <v>7701</v>
      </c>
      <c r="E2063" s="10" t="s">
        <v>2414</v>
      </c>
      <c r="F2063" s="11">
        <v>32319</v>
      </c>
      <c r="G2063" s="11">
        <v>32593</v>
      </c>
      <c r="H2063" s="11">
        <v>64912</v>
      </c>
      <c r="I2063" s="11">
        <v>28197</v>
      </c>
    </row>
    <row r="2064" spans="1:9" x14ac:dyDescent="0.2">
      <c r="A2064" s="10">
        <v>6712</v>
      </c>
      <c r="B2064" s="10">
        <v>77</v>
      </c>
      <c r="C2064" s="10" t="s">
        <v>2413</v>
      </c>
      <c r="D2064" s="10">
        <v>7702</v>
      </c>
      <c r="E2064" s="10" t="s">
        <v>2415</v>
      </c>
      <c r="F2064" s="11">
        <v>17085</v>
      </c>
      <c r="G2064" s="11">
        <v>17635</v>
      </c>
      <c r="H2064" s="11">
        <v>34720</v>
      </c>
      <c r="I2064" s="11">
        <v>11953</v>
      </c>
    </row>
    <row r="2065" spans="1:9" x14ac:dyDescent="0.2">
      <c r="A2065" s="10">
        <v>6712</v>
      </c>
      <c r="B2065" s="10">
        <v>77</v>
      </c>
      <c r="C2065" s="10" t="s">
        <v>2413</v>
      </c>
      <c r="D2065" s="10">
        <v>7703</v>
      </c>
      <c r="E2065" s="10" t="s">
        <v>2416</v>
      </c>
      <c r="F2065" s="11">
        <v>21048</v>
      </c>
      <c r="G2065" s="11">
        <v>21550</v>
      </c>
      <c r="H2065" s="11">
        <v>42598</v>
      </c>
      <c r="I2065" s="11">
        <v>15857</v>
      </c>
    </row>
    <row r="2066" spans="1:9" x14ac:dyDescent="0.2">
      <c r="A2066" s="10">
        <v>6712</v>
      </c>
      <c r="B2066" s="10">
        <v>77</v>
      </c>
      <c r="C2066" s="10" t="s">
        <v>2413</v>
      </c>
      <c r="D2066" s="10">
        <v>7704</v>
      </c>
      <c r="E2066" s="10" t="s">
        <v>2417</v>
      </c>
      <c r="F2066" s="11">
        <v>30552</v>
      </c>
      <c r="G2066" s="11">
        <v>31086</v>
      </c>
      <c r="H2066" s="11">
        <v>61638</v>
      </c>
      <c r="I2066" s="11">
        <v>28124</v>
      </c>
    </row>
    <row r="2067" spans="1:9" x14ac:dyDescent="0.2">
      <c r="A2067" s="10">
        <v>6712</v>
      </c>
      <c r="B2067" s="10">
        <v>77</v>
      </c>
      <c r="C2067" s="10" t="s">
        <v>2413</v>
      </c>
      <c r="D2067" s="10">
        <v>7705</v>
      </c>
      <c r="E2067" s="10" t="s">
        <v>2418</v>
      </c>
      <c r="F2067" s="11">
        <v>18256</v>
      </c>
      <c r="G2067" s="11">
        <v>18425</v>
      </c>
      <c r="H2067" s="11">
        <v>36681</v>
      </c>
      <c r="I2067" s="11">
        <v>16976</v>
      </c>
    </row>
    <row r="2068" spans="1:9" x14ac:dyDescent="0.2">
      <c r="A2068" s="10">
        <v>6712</v>
      </c>
      <c r="B2068" s="10">
        <v>77</v>
      </c>
      <c r="C2068" s="10" t="s">
        <v>2413</v>
      </c>
      <c r="D2068" s="10">
        <v>7706</v>
      </c>
      <c r="E2068" s="10" t="s">
        <v>2419</v>
      </c>
      <c r="F2068" s="11">
        <v>21188</v>
      </c>
      <c r="G2068" s="11">
        <v>22661</v>
      </c>
      <c r="H2068" s="11">
        <v>43849</v>
      </c>
      <c r="I2068" s="11">
        <v>23077</v>
      </c>
    </row>
    <row r="2069" spans="1:9" x14ac:dyDescent="0.2">
      <c r="A2069" s="10">
        <v>6712</v>
      </c>
      <c r="B2069" s="10">
        <v>77</v>
      </c>
      <c r="C2069" s="10" t="s">
        <v>2413</v>
      </c>
      <c r="D2069" s="10">
        <v>7707</v>
      </c>
      <c r="E2069" s="10" t="s">
        <v>2420</v>
      </c>
      <c r="F2069" s="11">
        <v>28557</v>
      </c>
      <c r="G2069" s="11">
        <v>31186</v>
      </c>
      <c r="H2069" s="11">
        <v>59743</v>
      </c>
      <c r="I2069" s="11">
        <v>33943</v>
      </c>
    </row>
    <row r="2070" spans="1:9" x14ac:dyDescent="0.2">
      <c r="A2070" s="10">
        <v>6712</v>
      </c>
      <c r="B2070" s="10">
        <v>77</v>
      </c>
      <c r="C2070" s="10" t="s">
        <v>2413</v>
      </c>
      <c r="D2070" s="10">
        <v>7708</v>
      </c>
      <c r="E2070" s="10" t="s">
        <v>2421</v>
      </c>
      <c r="F2070" s="11">
        <v>15698</v>
      </c>
      <c r="G2070" s="11">
        <v>16048</v>
      </c>
      <c r="H2070" s="11">
        <v>31746</v>
      </c>
      <c r="I2070" s="11">
        <v>13284</v>
      </c>
    </row>
    <row r="2071" spans="1:9" x14ac:dyDescent="0.2">
      <c r="A2071" s="10">
        <v>6712</v>
      </c>
      <c r="B2071" s="10">
        <v>77</v>
      </c>
      <c r="C2071" s="10" t="s">
        <v>2413</v>
      </c>
      <c r="D2071" s="10">
        <v>7784</v>
      </c>
      <c r="E2071" s="10" t="s">
        <v>2422</v>
      </c>
      <c r="F2071" s="11">
        <v>6744</v>
      </c>
      <c r="G2071" s="11">
        <v>3073</v>
      </c>
      <c r="H2071" s="11">
        <v>9817</v>
      </c>
      <c r="I2071" s="11">
        <v>6147</v>
      </c>
    </row>
    <row r="2072" spans="1:9" x14ac:dyDescent="0.2">
      <c r="A2072" s="10">
        <v>6712</v>
      </c>
      <c r="B2072" s="10">
        <v>77</v>
      </c>
      <c r="C2072" s="10" t="s">
        <v>2413</v>
      </c>
      <c r="D2072" s="10">
        <v>7785</v>
      </c>
      <c r="E2072" s="10" t="s">
        <v>2423</v>
      </c>
      <c r="F2072" s="11">
        <v>5193</v>
      </c>
      <c r="G2072" s="11">
        <v>5347</v>
      </c>
      <c r="H2072" s="11">
        <v>10540</v>
      </c>
      <c r="I2072" s="11">
        <v>4397</v>
      </c>
    </row>
    <row r="2073" spans="1:9" x14ac:dyDescent="0.2">
      <c r="A2073" s="10">
        <v>6712</v>
      </c>
      <c r="B2073" s="10">
        <v>77</v>
      </c>
      <c r="C2073" s="10" t="s">
        <v>2413</v>
      </c>
      <c r="D2073" s="10">
        <v>7786</v>
      </c>
      <c r="E2073" s="10" t="s">
        <v>2424</v>
      </c>
      <c r="F2073" s="11">
        <v>2395</v>
      </c>
      <c r="G2073" s="11">
        <v>2605</v>
      </c>
      <c r="H2073" s="11">
        <v>5000</v>
      </c>
      <c r="I2073" s="11">
        <v>2993</v>
      </c>
    </row>
    <row r="2074" spans="1:9" x14ac:dyDescent="0.2">
      <c r="A2074" s="10">
        <v>6712</v>
      </c>
      <c r="B2074" s="10">
        <v>77</v>
      </c>
      <c r="C2074" s="10" t="s">
        <v>2413</v>
      </c>
      <c r="D2074" s="10">
        <v>7787</v>
      </c>
      <c r="E2074" s="10" t="s">
        <v>2425</v>
      </c>
      <c r="F2074" s="11">
        <v>3796</v>
      </c>
      <c r="G2074" s="11">
        <v>3809</v>
      </c>
      <c r="H2074" s="11">
        <v>7605</v>
      </c>
      <c r="I2074" s="11">
        <v>3580</v>
      </c>
    </row>
    <row r="2075" spans="1:9" x14ac:dyDescent="0.2">
      <c r="A2075" s="10">
        <v>6712</v>
      </c>
      <c r="B2075" s="10">
        <v>77</v>
      </c>
      <c r="C2075" s="10" t="s">
        <v>2413</v>
      </c>
      <c r="D2075" s="10">
        <v>7788</v>
      </c>
      <c r="E2075" s="10" t="s">
        <v>2426</v>
      </c>
      <c r="F2075" s="11">
        <v>7882</v>
      </c>
      <c r="G2075" s="11">
        <v>8619</v>
      </c>
      <c r="H2075" s="11">
        <v>16501</v>
      </c>
      <c r="I2075" s="11">
        <v>9896</v>
      </c>
    </row>
    <row r="2076" spans="1:9" x14ac:dyDescent="0.2">
      <c r="A2076" s="10">
        <v>6712</v>
      </c>
      <c r="B2076" s="10">
        <v>77</v>
      </c>
      <c r="C2076" s="10" t="s">
        <v>2413</v>
      </c>
      <c r="D2076" s="10">
        <v>7789</v>
      </c>
      <c r="E2076" s="10" t="s">
        <v>2427</v>
      </c>
      <c r="F2076" s="11">
        <v>1459</v>
      </c>
      <c r="G2076" s="11">
        <v>1492</v>
      </c>
      <c r="H2076" s="11">
        <v>2951</v>
      </c>
      <c r="I2076" s="11">
        <v>1647</v>
      </c>
    </row>
    <row r="2077" spans="1:9" x14ac:dyDescent="0.2">
      <c r="A2077" s="10">
        <v>6712</v>
      </c>
      <c r="B2077" s="10">
        <v>77</v>
      </c>
      <c r="C2077" s="10" t="s">
        <v>2413</v>
      </c>
      <c r="D2077" s="10">
        <v>7790</v>
      </c>
      <c r="E2077" s="10" t="s">
        <v>2428</v>
      </c>
      <c r="F2077" s="11">
        <v>3798</v>
      </c>
      <c r="G2077" s="11">
        <v>3929</v>
      </c>
      <c r="H2077" s="11">
        <v>7727</v>
      </c>
      <c r="I2077" s="11">
        <v>3635</v>
      </c>
    </row>
    <row r="2078" spans="1:9" x14ac:dyDescent="0.2">
      <c r="A2078" s="10">
        <v>6712</v>
      </c>
      <c r="B2078" s="10">
        <v>77</v>
      </c>
      <c r="C2078" s="10" t="s">
        <v>2413</v>
      </c>
      <c r="D2078" s="10">
        <v>7791</v>
      </c>
      <c r="E2078" s="10" t="s">
        <v>2429</v>
      </c>
      <c r="F2078" s="11">
        <v>1960</v>
      </c>
      <c r="G2078" s="11">
        <v>2153</v>
      </c>
      <c r="H2078" s="11">
        <v>4113</v>
      </c>
      <c r="I2078" s="11">
        <v>2463</v>
      </c>
    </row>
    <row r="2079" spans="1:9" x14ac:dyDescent="0.2">
      <c r="A2079" s="10">
        <v>6712</v>
      </c>
      <c r="B2079" s="10">
        <v>77</v>
      </c>
      <c r="C2079" s="10" t="s">
        <v>2413</v>
      </c>
      <c r="D2079" s="10">
        <v>7792</v>
      </c>
      <c r="E2079" s="10" t="s">
        <v>2430</v>
      </c>
      <c r="F2079" s="11">
        <v>1233</v>
      </c>
      <c r="G2079" s="11">
        <v>1272</v>
      </c>
      <c r="H2079" s="11">
        <v>2505</v>
      </c>
      <c r="I2079" s="11">
        <v>1678</v>
      </c>
    </row>
    <row r="2080" spans="1:9" x14ac:dyDescent="0.2">
      <c r="A2080" s="10">
        <v>6712</v>
      </c>
      <c r="B2080" s="10">
        <v>77</v>
      </c>
      <c r="C2080" s="10" t="s">
        <v>2413</v>
      </c>
      <c r="D2080" s="10">
        <v>7793</v>
      </c>
      <c r="E2080" s="10" t="s">
        <v>2431</v>
      </c>
      <c r="F2080" s="11">
        <v>2903</v>
      </c>
      <c r="G2080" s="11">
        <v>3327</v>
      </c>
      <c r="H2080" s="11">
        <v>6230</v>
      </c>
      <c r="I2080" s="11">
        <v>3639</v>
      </c>
    </row>
    <row r="2081" spans="1:9" x14ac:dyDescent="0.2">
      <c r="A2081" s="10">
        <v>6712</v>
      </c>
      <c r="B2081" s="10">
        <v>77</v>
      </c>
      <c r="C2081" s="10" t="s">
        <v>2413</v>
      </c>
      <c r="D2081" s="10">
        <v>7794</v>
      </c>
      <c r="E2081" s="10" t="s">
        <v>2432</v>
      </c>
      <c r="F2081" s="11">
        <v>3634</v>
      </c>
      <c r="G2081" s="11">
        <v>3941</v>
      </c>
      <c r="H2081" s="11">
        <v>7575</v>
      </c>
      <c r="I2081" s="11">
        <v>3032</v>
      </c>
    </row>
    <row r="2082" spans="1:9" x14ac:dyDescent="0.2">
      <c r="A2082" s="10">
        <v>6712</v>
      </c>
      <c r="B2082" s="10">
        <v>77</v>
      </c>
      <c r="C2082" s="10" t="s">
        <v>2413</v>
      </c>
      <c r="D2082" s="10">
        <v>7795</v>
      </c>
      <c r="E2082" s="10" t="s">
        <v>2433</v>
      </c>
      <c r="F2082" s="11">
        <v>4071</v>
      </c>
      <c r="G2082" s="11">
        <v>4408</v>
      </c>
      <c r="H2082" s="11">
        <v>8479</v>
      </c>
      <c r="I2082" s="11">
        <v>4434</v>
      </c>
    </row>
    <row r="2083" spans="1:9" x14ac:dyDescent="0.2">
      <c r="A2083" s="10">
        <v>6712</v>
      </c>
      <c r="B2083" s="10">
        <v>77</v>
      </c>
      <c r="C2083" s="10" t="s">
        <v>2413</v>
      </c>
      <c r="D2083" s="10">
        <v>7796</v>
      </c>
      <c r="E2083" s="10" t="s">
        <v>2434</v>
      </c>
      <c r="F2083" s="11">
        <v>2031</v>
      </c>
      <c r="G2083" s="11">
        <v>2180</v>
      </c>
      <c r="H2083" s="11">
        <v>4211</v>
      </c>
      <c r="I2083" s="11">
        <v>1918</v>
      </c>
    </row>
    <row r="2084" spans="1:9" x14ac:dyDescent="0.2">
      <c r="A2084" s="10">
        <v>6712</v>
      </c>
      <c r="B2084" s="10">
        <v>77</v>
      </c>
      <c r="C2084" s="10" t="s">
        <v>2413</v>
      </c>
      <c r="D2084" s="10">
        <v>7797</v>
      </c>
      <c r="E2084" s="10" t="s">
        <v>2435</v>
      </c>
      <c r="F2084" s="11">
        <v>1756</v>
      </c>
      <c r="G2084" s="11">
        <v>1854</v>
      </c>
      <c r="H2084" s="11">
        <v>3610</v>
      </c>
      <c r="I2084" s="11">
        <v>1469</v>
      </c>
    </row>
    <row r="2085" spans="1:9" x14ac:dyDescent="0.2">
      <c r="A2085" s="10">
        <v>6712</v>
      </c>
      <c r="B2085" s="10">
        <v>77</v>
      </c>
      <c r="C2085" s="10" t="s">
        <v>2413</v>
      </c>
      <c r="D2085" s="10">
        <v>7798</v>
      </c>
      <c r="E2085" s="10" t="s">
        <v>2436</v>
      </c>
      <c r="F2085" s="11">
        <v>28609</v>
      </c>
      <c r="G2085" s="11">
        <v>32878</v>
      </c>
      <c r="H2085" s="11">
        <v>61487</v>
      </c>
      <c r="I2085" s="11">
        <v>59601</v>
      </c>
    </row>
    <row r="2086" spans="1:9" x14ac:dyDescent="0.2">
      <c r="A2086" s="10">
        <v>6712</v>
      </c>
      <c r="B2086" s="10">
        <v>77</v>
      </c>
      <c r="C2086" s="10" t="s">
        <v>2413</v>
      </c>
      <c r="D2086" s="10">
        <v>7799</v>
      </c>
      <c r="E2086" s="10" t="s">
        <v>2437</v>
      </c>
      <c r="F2086" s="11">
        <v>8048</v>
      </c>
      <c r="G2086" s="11">
        <v>9483</v>
      </c>
      <c r="H2086" s="11">
        <v>17531</v>
      </c>
      <c r="I2086" s="11">
        <v>11390</v>
      </c>
    </row>
    <row r="2087" spans="1:9" x14ac:dyDescent="0.2">
      <c r="A2087" s="10">
        <v>6712</v>
      </c>
      <c r="B2087" s="10">
        <v>80</v>
      </c>
      <c r="C2087" s="10" t="s">
        <v>2438</v>
      </c>
      <c r="D2087" s="10">
        <v>8001</v>
      </c>
      <c r="E2087" s="10" t="s">
        <v>2439</v>
      </c>
      <c r="F2087" s="11">
        <v>79562</v>
      </c>
      <c r="G2087" s="11">
        <v>82345</v>
      </c>
      <c r="H2087" s="11">
        <v>161907</v>
      </c>
      <c r="I2087" s="11">
        <v>67890</v>
      </c>
    </row>
    <row r="2088" spans="1:9" x14ac:dyDescent="0.2">
      <c r="A2088" s="10">
        <v>6712</v>
      </c>
      <c r="B2088" s="10">
        <v>80</v>
      </c>
      <c r="C2088" s="10" t="s">
        <v>2438</v>
      </c>
      <c r="D2088" s="10">
        <v>8002</v>
      </c>
      <c r="E2088" s="10" t="s">
        <v>2440</v>
      </c>
      <c r="F2088" s="11">
        <v>13425</v>
      </c>
      <c r="G2088" s="11">
        <v>13886</v>
      </c>
      <c r="H2088" s="11">
        <v>27311</v>
      </c>
      <c r="I2088" s="11">
        <v>9589</v>
      </c>
    </row>
    <row r="2089" spans="1:9" x14ac:dyDescent="0.2">
      <c r="A2089" s="10">
        <v>6712</v>
      </c>
      <c r="B2089" s="10">
        <v>80</v>
      </c>
      <c r="C2089" s="10" t="s">
        <v>2438</v>
      </c>
      <c r="D2089" s="10">
        <v>8003</v>
      </c>
      <c r="E2089" s="10" t="s">
        <v>2441</v>
      </c>
      <c r="F2089" s="11">
        <v>19006</v>
      </c>
      <c r="G2089" s="11">
        <v>19954</v>
      </c>
      <c r="H2089" s="11">
        <v>38960</v>
      </c>
      <c r="I2089" s="11">
        <v>15293</v>
      </c>
    </row>
    <row r="2090" spans="1:9" x14ac:dyDescent="0.2">
      <c r="A2090" s="10">
        <v>6712</v>
      </c>
      <c r="B2090" s="10">
        <v>80</v>
      </c>
      <c r="C2090" s="10" t="s">
        <v>2438</v>
      </c>
      <c r="D2090" s="10">
        <v>8004</v>
      </c>
      <c r="E2090" s="10" t="s">
        <v>2442</v>
      </c>
      <c r="F2090" s="11">
        <v>25571</v>
      </c>
      <c r="G2090" s="11">
        <v>26665</v>
      </c>
      <c r="H2090" s="11">
        <v>52236</v>
      </c>
      <c r="I2090" s="11">
        <v>19753</v>
      </c>
    </row>
    <row r="2091" spans="1:9" x14ac:dyDescent="0.2">
      <c r="A2091" s="10">
        <v>6712</v>
      </c>
      <c r="B2091" s="10">
        <v>80</v>
      </c>
      <c r="C2091" s="10" t="s">
        <v>2438</v>
      </c>
      <c r="D2091" s="10">
        <v>8005</v>
      </c>
      <c r="E2091" s="10" t="s">
        <v>2443</v>
      </c>
      <c r="F2091" s="11">
        <v>8743</v>
      </c>
      <c r="G2091" s="11">
        <v>9103</v>
      </c>
      <c r="H2091" s="11">
        <v>17846</v>
      </c>
      <c r="I2091" s="11">
        <v>7525</v>
      </c>
    </row>
    <row r="2092" spans="1:9" x14ac:dyDescent="0.2">
      <c r="A2092" s="10">
        <v>6712</v>
      </c>
      <c r="B2092" s="10">
        <v>80</v>
      </c>
      <c r="C2092" s="10" t="s">
        <v>2438</v>
      </c>
      <c r="D2092" s="10">
        <v>8006</v>
      </c>
      <c r="E2092" s="10" t="s">
        <v>2444</v>
      </c>
      <c r="F2092" s="11">
        <v>20028</v>
      </c>
      <c r="G2092" s="11">
        <v>19917</v>
      </c>
      <c r="H2092" s="11">
        <v>39945</v>
      </c>
      <c r="I2092" s="11">
        <v>15269</v>
      </c>
    </row>
    <row r="2093" spans="1:9" x14ac:dyDescent="0.2">
      <c r="A2093" s="10">
        <v>6712</v>
      </c>
      <c r="B2093" s="10">
        <v>80</v>
      </c>
      <c r="C2093" s="10" t="s">
        <v>2438</v>
      </c>
      <c r="D2093" s="10">
        <v>8007</v>
      </c>
      <c r="E2093" s="10" t="s">
        <v>2445</v>
      </c>
      <c r="F2093" s="11">
        <v>40246</v>
      </c>
      <c r="G2093" s="11">
        <v>40897</v>
      </c>
      <c r="H2093" s="11">
        <v>81143</v>
      </c>
      <c r="I2093" s="11">
        <v>31051</v>
      </c>
    </row>
    <row r="2094" spans="1:9" x14ac:dyDescent="0.2">
      <c r="A2094" s="10">
        <v>6712</v>
      </c>
      <c r="B2094" s="10">
        <v>80</v>
      </c>
      <c r="C2094" s="10" t="s">
        <v>2438</v>
      </c>
      <c r="D2094" s="10">
        <v>8008</v>
      </c>
      <c r="E2094" s="10" t="s">
        <v>2446</v>
      </c>
      <c r="F2094" s="11">
        <v>55911</v>
      </c>
      <c r="G2094" s="11">
        <v>57587</v>
      </c>
      <c r="H2094" s="11">
        <v>113498</v>
      </c>
      <c r="I2094" s="11">
        <v>38972</v>
      </c>
    </row>
    <row r="2095" spans="1:9" x14ac:dyDescent="0.2">
      <c r="A2095" s="10">
        <v>6712</v>
      </c>
      <c r="B2095" s="10">
        <v>80</v>
      </c>
      <c r="C2095" s="10" t="s">
        <v>2438</v>
      </c>
      <c r="D2095" s="10">
        <v>8009</v>
      </c>
      <c r="E2095" s="10" t="s">
        <v>2447</v>
      </c>
      <c r="F2095" s="11">
        <v>58596</v>
      </c>
      <c r="G2095" s="11">
        <v>57458</v>
      </c>
      <c r="H2095" s="11">
        <v>116054</v>
      </c>
      <c r="I2095" s="11">
        <v>50742</v>
      </c>
    </row>
    <row r="2096" spans="1:9" x14ac:dyDescent="0.2">
      <c r="A2096" s="10">
        <v>6712</v>
      </c>
      <c r="B2096" s="10">
        <v>80</v>
      </c>
      <c r="C2096" s="10" t="s">
        <v>2438</v>
      </c>
      <c r="D2096" s="10">
        <v>8010</v>
      </c>
      <c r="E2096" s="10" t="s">
        <v>2448</v>
      </c>
      <c r="F2096" s="11">
        <v>11863</v>
      </c>
      <c r="G2096" s="11">
        <v>12084</v>
      </c>
      <c r="H2096" s="11">
        <v>23947</v>
      </c>
      <c r="I2096" s="11">
        <v>8901</v>
      </c>
    </row>
    <row r="2097" spans="1:9" x14ac:dyDescent="0.2">
      <c r="A2097" s="10">
        <v>6712</v>
      </c>
      <c r="B2097" s="10">
        <v>80</v>
      </c>
      <c r="C2097" s="10" t="s">
        <v>2438</v>
      </c>
      <c r="D2097" s="10">
        <v>8011</v>
      </c>
      <c r="E2097" s="10" t="s">
        <v>2449</v>
      </c>
      <c r="F2097" s="11">
        <v>34488</v>
      </c>
      <c r="G2097" s="11">
        <v>34694</v>
      </c>
      <c r="H2097" s="11">
        <v>69182</v>
      </c>
      <c r="I2097" s="11">
        <v>25093</v>
      </c>
    </row>
    <row r="2098" spans="1:9" x14ac:dyDescent="0.2">
      <c r="A2098" s="10">
        <v>6712</v>
      </c>
      <c r="B2098" s="10">
        <v>80</v>
      </c>
      <c r="C2098" s="10" t="s">
        <v>2438</v>
      </c>
      <c r="D2098" s="10">
        <v>8012</v>
      </c>
      <c r="E2098" s="10" t="s">
        <v>2450</v>
      </c>
      <c r="F2098" s="11">
        <v>38592</v>
      </c>
      <c r="G2098" s="11">
        <v>38076</v>
      </c>
      <c r="H2098" s="11">
        <v>76668</v>
      </c>
      <c r="I2098" s="11">
        <v>27499</v>
      </c>
    </row>
    <row r="2099" spans="1:9" x14ac:dyDescent="0.2">
      <c r="A2099" s="10">
        <v>6712</v>
      </c>
      <c r="B2099" s="10">
        <v>80</v>
      </c>
      <c r="C2099" s="10" t="s">
        <v>2438</v>
      </c>
      <c r="D2099" s="10">
        <v>8013</v>
      </c>
      <c r="E2099" s="10" t="s">
        <v>2451</v>
      </c>
      <c r="F2099" s="11">
        <v>30501</v>
      </c>
      <c r="G2099" s="11">
        <v>30702</v>
      </c>
      <c r="H2099" s="11">
        <v>61203</v>
      </c>
      <c r="I2099" s="11">
        <v>21226</v>
      </c>
    </row>
    <row r="2100" spans="1:9" x14ac:dyDescent="0.2">
      <c r="A2100" s="10">
        <v>6712</v>
      </c>
      <c r="B2100" s="10">
        <v>80</v>
      </c>
      <c r="C2100" s="10" t="s">
        <v>2438</v>
      </c>
      <c r="D2100" s="10">
        <v>8014</v>
      </c>
      <c r="E2100" s="10" t="s">
        <v>2452</v>
      </c>
      <c r="F2100" s="11">
        <v>40428</v>
      </c>
      <c r="G2100" s="11">
        <v>41182</v>
      </c>
      <c r="H2100" s="11">
        <v>81610</v>
      </c>
      <c r="I2100" s="11">
        <v>30774</v>
      </c>
    </row>
    <row r="2101" spans="1:9" x14ac:dyDescent="0.2">
      <c r="A2101" s="10">
        <v>6712</v>
      </c>
      <c r="B2101" s="10">
        <v>80</v>
      </c>
      <c r="C2101" s="10" t="s">
        <v>2438</v>
      </c>
      <c r="D2101" s="10">
        <v>8015</v>
      </c>
      <c r="E2101" s="10" t="s">
        <v>2453</v>
      </c>
      <c r="F2101" s="11">
        <v>10160</v>
      </c>
      <c r="G2101" s="11">
        <v>10556</v>
      </c>
      <c r="H2101" s="11">
        <v>20716</v>
      </c>
      <c r="I2101" s="11">
        <v>10275</v>
      </c>
    </row>
    <row r="2102" spans="1:9" x14ac:dyDescent="0.2">
      <c r="A2102" s="10">
        <v>6712</v>
      </c>
      <c r="B2102" s="10">
        <v>80</v>
      </c>
      <c r="C2102" s="10" t="s">
        <v>2438</v>
      </c>
      <c r="D2102" s="10">
        <v>8016</v>
      </c>
      <c r="E2102" s="10" t="s">
        <v>2454</v>
      </c>
      <c r="F2102" s="11">
        <v>21524</v>
      </c>
      <c r="G2102" s="11">
        <v>21753</v>
      </c>
      <c r="H2102" s="11">
        <v>43277</v>
      </c>
      <c r="I2102" s="11">
        <v>18583</v>
      </c>
    </row>
    <row r="2103" spans="1:9" x14ac:dyDescent="0.2">
      <c r="A2103" s="10">
        <v>6712</v>
      </c>
      <c r="B2103" s="10">
        <v>80</v>
      </c>
      <c r="C2103" s="10" t="s">
        <v>2438</v>
      </c>
      <c r="D2103" s="10">
        <v>8017</v>
      </c>
      <c r="E2103" s="10" t="s">
        <v>2455</v>
      </c>
      <c r="F2103" s="11">
        <v>23939</v>
      </c>
      <c r="G2103" s="11">
        <v>23284</v>
      </c>
      <c r="H2103" s="11">
        <v>47223</v>
      </c>
      <c r="I2103" s="11">
        <v>17409</v>
      </c>
    </row>
    <row r="2104" spans="1:9" x14ac:dyDescent="0.2">
      <c r="A2104" s="10">
        <v>6712</v>
      </c>
      <c r="B2104" s="10">
        <v>80</v>
      </c>
      <c r="C2104" s="10" t="s">
        <v>2438</v>
      </c>
      <c r="D2104" s="10">
        <v>8018</v>
      </c>
      <c r="E2104" s="10" t="s">
        <v>2456</v>
      </c>
      <c r="F2104" s="11">
        <v>9540</v>
      </c>
      <c r="G2104" s="11">
        <v>9505</v>
      </c>
      <c r="H2104" s="11">
        <v>19045</v>
      </c>
      <c r="I2104" s="11">
        <v>7663</v>
      </c>
    </row>
    <row r="2105" spans="1:9" x14ac:dyDescent="0.2">
      <c r="A2105" s="10">
        <v>6712</v>
      </c>
      <c r="B2105" s="10">
        <v>80</v>
      </c>
      <c r="C2105" s="10" t="s">
        <v>2438</v>
      </c>
      <c r="D2105" s="10">
        <v>8019</v>
      </c>
      <c r="E2105" s="10" t="s">
        <v>2457</v>
      </c>
      <c r="F2105" s="11">
        <v>15434</v>
      </c>
      <c r="G2105" s="11">
        <v>15870</v>
      </c>
      <c r="H2105" s="11">
        <v>31304</v>
      </c>
      <c r="I2105" s="11">
        <v>11289</v>
      </c>
    </row>
    <row r="2106" spans="1:9" x14ac:dyDescent="0.2">
      <c r="A2106" s="10">
        <v>6712</v>
      </c>
      <c r="B2106" s="10">
        <v>80</v>
      </c>
      <c r="C2106" s="10" t="s">
        <v>2438</v>
      </c>
      <c r="D2106" s="10">
        <v>8020</v>
      </c>
      <c r="E2106" s="10" t="s">
        <v>2458</v>
      </c>
      <c r="F2106" s="11">
        <v>21995</v>
      </c>
      <c r="G2106" s="11">
        <v>22672</v>
      </c>
      <c r="H2106" s="11">
        <v>44667</v>
      </c>
      <c r="I2106" s="11">
        <v>17455</v>
      </c>
    </row>
    <row r="2107" spans="1:9" x14ac:dyDescent="0.2">
      <c r="A2107" s="10">
        <v>6712</v>
      </c>
      <c r="B2107" s="10">
        <v>80</v>
      </c>
      <c r="C2107" s="10" t="s">
        <v>2438</v>
      </c>
      <c r="D2107" s="10">
        <v>8021</v>
      </c>
      <c r="E2107" s="10" t="s">
        <v>2459</v>
      </c>
      <c r="F2107" s="11">
        <v>17066</v>
      </c>
      <c r="G2107" s="11">
        <v>16910</v>
      </c>
      <c r="H2107" s="11">
        <v>33976</v>
      </c>
      <c r="I2107" s="11">
        <v>12795</v>
      </c>
    </row>
    <row r="2108" spans="1:9" x14ac:dyDescent="0.2">
      <c r="A2108" s="10">
        <v>6712</v>
      </c>
      <c r="B2108" s="10">
        <v>80</v>
      </c>
      <c r="C2108" s="10" t="s">
        <v>2438</v>
      </c>
      <c r="D2108" s="10">
        <v>8022</v>
      </c>
      <c r="E2108" s="10" t="s">
        <v>2460</v>
      </c>
      <c r="F2108" s="11">
        <v>13638</v>
      </c>
      <c r="G2108" s="11">
        <v>14176</v>
      </c>
      <c r="H2108" s="11">
        <v>27814</v>
      </c>
      <c r="I2108" s="11">
        <v>11314</v>
      </c>
    </row>
    <row r="2109" spans="1:9" x14ac:dyDescent="0.2">
      <c r="A2109" s="10">
        <v>6712</v>
      </c>
      <c r="B2109" s="10">
        <v>80</v>
      </c>
      <c r="C2109" s="10" t="s">
        <v>2438</v>
      </c>
      <c r="D2109" s="10">
        <v>8023</v>
      </c>
      <c r="E2109" s="10" t="s">
        <v>615</v>
      </c>
      <c r="F2109" s="11">
        <v>10880</v>
      </c>
      <c r="G2109" s="11">
        <v>11000</v>
      </c>
      <c r="H2109" s="11">
        <v>21880</v>
      </c>
      <c r="I2109" s="11">
        <v>8275</v>
      </c>
    </row>
    <row r="2110" spans="1:9" x14ac:dyDescent="0.2">
      <c r="A2110" s="10">
        <v>6712</v>
      </c>
      <c r="B2110" s="10">
        <v>80</v>
      </c>
      <c r="C2110" s="10" t="s">
        <v>2438</v>
      </c>
      <c r="D2110" s="10">
        <v>8070</v>
      </c>
      <c r="E2110" s="10" t="s">
        <v>2461</v>
      </c>
      <c r="F2110" s="11">
        <v>4027</v>
      </c>
      <c r="G2110" s="11">
        <v>3971</v>
      </c>
      <c r="H2110" s="11">
        <v>7998</v>
      </c>
      <c r="I2110" s="11">
        <v>3014</v>
      </c>
    </row>
    <row r="2111" spans="1:9" x14ac:dyDescent="0.2">
      <c r="A2111" s="10">
        <v>6712</v>
      </c>
      <c r="B2111" s="10">
        <v>80</v>
      </c>
      <c r="C2111" s="10" t="s">
        <v>2438</v>
      </c>
      <c r="D2111" s="10">
        <v>8071</v>
      </c>
      <c r="E2111" s="10" t="s">
        <v>2340</v>
      </c>
      <c r="F2111" s="11">
        <v>4042</v>
      </c>
      <c r="G2111" s="11">
        <v>4070</v>
      </c>
      <c r="H2111" s="11">
        <v>8112</v>
      </c>
      <c r="I2111" s="11">
        <v>3433</v>
      </c>
    </row>
    <row r="2112" spans="1:9" x14ac:dyDescent="0.2">
      <c r="A2112" s="10">
        <v>6712</v>
      </c>
      <c r="B2112" s="10">
        <v>80</v>
      </c>
      <c r="C2112" s="10" t="s">
        <v>2438</v>
      </c>
      <c r="D2112" s="10">
        <v>8072</v>
      </c>
      <c r="E2112" s="10" t="s">
        <v>2462</v>
      </c>
      <c r="F2112" s="11">
        <v>3399</v>
      </c>
      <c r="G2112" s="11">
        <v>3349</v>
      </c>
      <c r="H2112" s="11">
        <v>6748</v>
      </c>
      <c r="I2112" s="11">
        <v>2257</v>
      </c>
    </row>
    <row r="2113" spans="1:9" x14ac:dyDescent="0.2">
      <c r="A2113" s="10">
        <v>6712</v>
      </c>
      <c r="B2113" s="10">
        <v>80</v>
      </c>
      <c r="C2113" s="10" t="s">
        <v>2438</v>
      </c>
      <c r="D2113" s="10">
        <v>8073</v>
      </c>
      <c r="E2113" s="10" t="s">
        <v>2463</v>
      </c>
      <c r="F2113" s="11">
        <v>4527</v>
      </c>
      <c r="G2113" s="11">
        <v>4281</v>
      </c>
      <c r="H2113" s="11">
        <v>8808</v>
      </c>
      <c r="I2113" s="11">
        <v>3001</v>
      </c>
    </row>
    <row r="2114" spans="1:9" x14ac:dyDescent="0.2">
      <c r="A2114" s="10">
        <v>6712</v>
      </c>
      <c r="B2114" s="10">
        <v>80</v>
      </c>
      <c r="C2114" s="10" t="s">
        <v>2438</v>
      </c>
      <c r="D2114" s="10">
        <v>8074</v>
      </c>
      <c r="E2114" s="10" t="s">
        <v>2464</v>
      </c>
      <c r="F2114" s="11">
        <v>7270</v>
      </c>
      <c r="G2114" s="11">
        <v>7337</v>
      </c>
      <c r="H2114" s="11">
        <v>14607</v>
      </c>
      <c r="I2114" s="11">
        <v>6818</v>
      </c>
    </row>
    <row r="2115" spans="1:9" x14ac:dyDescent="0.2">
      <c r="A2115" s="10">
        <v>6712</v>
      </c>
      <c r="B2115" s="10">
        <v>80</v>
      </c>
      <c r="C2115" s="10" t="s">
        <v>2438</v>
      </c>
      <c r="D2115" s="10">
        <v>8075</v>
      </c>
      <c r="E2115" s="10" t="s">
        <v>2465</v>
      </c>
      <c r="F2115" s="11">
        <v>2853</v>
      </c>
      <c r="G2115" s="11">
        <v>2867</v>
      </c>
      <c r="H2115" s="11">
        <v>5720</v>
      </c>
      <c r="I2115" s="11">
        <v>3428</v>
      </c>
    </row>
    <row r="2116" spans="1:9" x14ac:dyDescent="0.2">
      <c r="A2116" s="10">
        <v>6712</v>
      </c>
      <c r="B2116" s="10">
        <v>80</v>
      </c>
      <c r="C2116" s="10" t="s">
        <v>2438</v>
      </c>
      <c r="D2116" s="10">
        <v>8076</v>
      </c>
      <c r="E2116" s="10" t="s">
        <v>2466</v>
      </c>
      <c r="F2116" s="11">
        <v>1883</v>
      </c>
      <c r="G2116" s="11">
        <v>2081</v>
      </c>
      <c r="H2116" s="11">
        <v>3964</v>
      </c>
      <c r="I2116" s="11">
        <v>1928</v>
      </c>
    </row>
    <row r="2117" spans="1:9" x14ac:dyDescent="0.2">
      <c r="A2117" s="10">
        <v>6712</v>
      </c>
      <c r="B2117" s="10">
        <v>80</v>
      </c>
      <c r="C2117" s="10" t="s">
        <v>2438</v>
      </c>
      <c r="D2117" s="10">
        <v>8077</v>
      </c>
      <c r="E2117" s="10" t="s">
        <v>2467</v>
      </c>
      <c r="F2117" s="11">
        <v>2163</v>
      </c>
      <c r="G2117" s="11">
        <v>2204</v>
      </c>
      <c r="H2117" s="11">
        <v>4367</v>
      </c>
      <c r="I2117" s="11">
        <v>2540</v>
      </c>
    </row>
    <row r="2118" spans="1:9" x14ac:dyDescent="0.2">
      <c r="A2118" s="10">
        <v>6712</v>
      </c>
      <c r="B2118" s="10">
        <v>80</v>
      </c>
      <c r="C2118" s="10" t="s">
        <v>2438</v>
      </c>
      <c r="D2118" s="10">
        <v>8078</v>
      </c>
      <c r="E2118" s="10" t="s">
        <v>2468</v>
      </c>
      <c r="F2118" s="11">
        <v>3261</v>
      </c>
      <c r="G2118" s="11">
        <v>3538</v>
      </c>
      <c r="H2118" s="11">
        <v>6799</v>
      </c>
      <c r="I2118" s="11">
        <v>4205</v>
      </c>
    </row>
    <row r="2119" spans="1:9" x14ac:dyDescent="0.2">
      <c r="A2119" s="10">
        <v>6712</v>
      </c>
      <c r="B2119" s="10">
        <v>80</v>
      </c>
      <c r="C2119" s="10" t="s">
        <v>2438</v>
      </c>
      <c r="D2119" s="10">
        <v>8079</v>
      </c>
      <c r="E2119" s="10" t="s">
        <v>2469</v>
      </c>
      <c r="F2119" s="11">
        <v>4252</v>
      </c>
      <c r="G2119" s="11">
        <v>4215</v>
      </c>
      <c r="H2119" s="11">
        <v>8467</v>
      </c>
      <c r="I2119" s="11">
        <v>2924</v>
      </c>
    </row>
    <row r="2120" spans="1:9" x14ac:dyDescent="0.2">
      <c r="A2120" s="10">
        <v>6712</v>
      </c>
      <c r="B2120" s="10">
        <v>80</v>
      </c>
      <c r="C2120" s="10" t="s">
        <v>2438</v>
      </c>
      <c r="D2120" s="10">
        <v>8080</v>
      </c>
      <c r="E2120" s="10" t="s">
        <v>2470</v>
      </c>
      <c r="F2120" s="11">
        <v>3599</v>
      </c>
      <c r="G2120" s="11">
        <v>3938</v>
      </c>
      <c r="H2120" s="11">
        <v>7537</v>
      </c>
      <c r="I2120" s="11">
        <v>3468</v>
      </c>
    </row>
    <row r="2121" spans="1:9" x14ac:dyDescent="0.2">
      <c r="A2121" s="10">
        <v>6712</v>
      </c>
      <c r="B2121" s="10">
        <v>80</v>
      </c>
      <c r="C2121" s="10" t="s">
        <v>2438</v>
      </c>
      <c r="D2121" s="10">
        <v>8081</v>
      </c>
      <c r="E2121" s="10" t="s">
        <v>2471</v>
      </c>
      <c r="F2121" s="11">
        <v>2085</v>
      </c>
      <c r="G2121" s="11">
        <v>2218</v>
      </c>
      <c r="H2121" s="11">
        <v>4303</v>
      </c>
      <c r="I2121" s="11">
        <v>1399</v>
      </c>
    </row>
    <row r="2122" spans="1:9" x14ac:dyDescent="0.2">
      <c r="A2122" s="10">
        <v>6712</v>
      </c>
      <c r="B2122" s="10">
        <v>80</v>
      </c>
      <c r="C2122" s="10" t="s">
        <v>2438</v>
      </c>
      <c r="D2122" s="10">
        <v>8082</v>
      </c>
      <c r="E2122" s="10" t="s">
        <v>2406</v>
      </c>
      <c r="F2122" s="11">
        <v>2418</v>
      </c>
      <c r="G2122" s="11">
        <v>2600</v>
      </c>
      <c r="H2122" s="11">
        <v>5018</v>
      </c>
      <c r="I2122" s="11">
        <v>3140</v>
      </c>
    </row>
    <row r="2123" spans="1:9" x14ac:dyDescent="0.2">
      <c r="A2123" s="10">
        <v>6712</v>
      </c>
      <c r="B2123" s="10">
        <v>80</v>
      </c>
      <c r="C2123" s="10" t="s">
        <v>2438</v>
      </c>
      <c r="D2123" s="10">
        <v>8083</v>
      </c>
      <c r="E2123" s="10" t="s">
        <v>2472</v>
      </c>
      <c r="F2123" s="11">
        <v>1023</v>
      </c>
      <c r="G2123" s="11">
        <v>1086</v>
      </c>
      <c r="H2123" s="11">
        <v>2109</v>
      </c>
      <c r="I2123" s="11">
        <v>1167</v>
      </c>
    </row>
    <row r="2124" spans="1:9" x14ac:dyDescent="0.2">
      <c r="A2124" s="10">
        <v>6712</v>
      </c>
      <c r="B2124" s="10">
        <v>80</v>
      </c>
      <c r="C2124" s="10" t="s">
        <v>2438</v>
      </c>
      <c r="D2124" s="10">
        <v>8084</v>
      </c>
      <c r="E2124" s="10" t="s">
        <v>547</v>
      </c>
      <c r="F2124" s="11">
        <v>1305</v>
      </c>
      <c r="G2124" s="11">
        <v>1466</v>
      </c>
      <c r="H2124" s="11">
        <v>2771</v>
      </c>
      <c r="I2124" s="11">
        <v>1838</v>
      </c>
    </row>
    <row r="2125" spans="1:9" x14ac:dyDescent="0.2">
      <c r="A2125" s="10">
        <v>6712</v>
      </c>
      <c r="B2125" s="10">
        <v>80</v>
      </c>
      <c r="C2125" s="10" t="s">
        <v>2438</v>
      </c>
      <c r="D2125" s="10">
        <v>8085</v>
      </c>
      <c r="E2125" s="10" t="s">
        <v>2473</v>
      </c>
      <c r="F2125" s="11">
        <v>1557</v>
      </c>
      <c r="G2125" s="11">
        <v>1829</v>
      </c>
      <c r="H2125" s="11">
        <v>3386</v>
      </c>
      <c r="I2125" s="11">
        <v>1687</v>
      </c>
    </row>
    <row r="2126" spans="1:9" x14ac:dyDescent="0.2">
      <c r="A2126" s="10">
        <v>6712</v>
      </c>
      <c r="B2126" s="10">
        <v>80</v>
      </c>
      <c r="C2126" s="10" t="s">
        <v>2438</v>
      </c>
      <c r="D2126" s="10">
        <v>8086</v>
      </c>
      <c r="E2126" s="10" t="s">
        <v>2474</v>
      </c>
      <c r="F2126" s="10">
        <v>782</v>
      </c>
      <c r="G2126" s="10">
        <v>831</v>
      </c>
      <c r="H2126" s="11">
        <v>1613</v>
      </c>
      <c r="I2126" s="10">
        <v>802</v>
      </c>
    </row>
    <row r="2127" spans="1:9" x14ac:dyDescent="0.2">
      <c r="A2127" s="10">
        <v>6712</v>
      </c>
      <c r="B2127" s="10">
        <v>80</v>
      </c>
      <c r="C2127" s="10" t="s">
        <v>2438</v>
      </c>
      <c r="D2127" s="10">
        <v>8087</v>
      </c>
      <c r="E2127" s="10" t="s">
        <v>2475</v>
      </c>
      <c r="F2127" s="11">
        <v>1300</v>
      </c>
      <c r="G2127" s="11">
        <v>1396</v>
      </c>
      <c r="H2127" s="11">
        <v>2696</v>
      </c>
      <c r="I2127" s="11">
        <v>1158</v>
      </c>
    </row>
    <row r="2128" spans="1:9" x14ac:dyDescent="0.2">
      <c r="A2128" s="10">
        <v>6712</v>
      </c>
      <c r="B2128" s="10">
        <v>80</v>
      </c>
      <c r="C2128" s="10" t="s">
        <v>2438</v>
      </c>
      <c r="D2128" s="10">
        <v>8088</v>
      </c>
      <c r="E2128" s="10" t="s">
        <v>2476</v>
      </c>
      <c r="F2128" s="11">
        <v>1126</v>
      </c>
      <c r="G2128" s="11">
        <v>1171</v>
      </c>
      <c r="H2128" s="11">
        <v>2297</v>
      </c>
      <c r="I2128" s="11">
        <v>1273</v>
      </c>
    </row>
    <row r="2129" spans="1:9" x14ac:dyDescent="0.2">
      <c r="A2129" s="10">
        <v>6712</v>
      </c>
      <c r="B2129" s="10">
        <v>80</v>
      </c>
      <c r="C2129" s="10" t="s">
        <v>2438</v>
      </c>
      <c r="D2129" s="10">
        <v>8089</v>
      </c>
      <c r="E2129" s="10" t="s">
        <v>2477</v>
      </c>
      <c r="F2129" s="11">
        <v>1183</v>
      </c>
      <c r="G2129" s="11">
        <v>1216</v>
      </c>
      <c r="H2129" s="11">
        <v>2399</v>
      </c>
      <c r="I2129" s="11">
        <v>1313</v>
      </c>
    </row>
    <row r="2130" spans="1:9" x14ac:dyDescent="0.2">
      <c r="A2130" s="10">
        <v>6712</v>
      </c>
      <c r="B2130" s="10">
        <v>80</v>
      </c>
      <c r="C2130" s="10" t="s">
        <v>2438</v>
      </c>
      <c r="D2130" s="10">
        <v>8090</v>
      </c>
      <c r="E2130" s="10" t="s">
        <v>2478</v>
      </c>
      <c r="F2130" s="11">
        <v>3442</v>
      </c>
      <c r="G2130" s="11">
        <v>3832</v>
      </c>
      <c r="H2130" s="11">
        <v>7274</v>
      </c>
      <c r="I2130" s="11">
        <v>4043</v>
      </c>
    </row>
    <row r="2131" spans="1:9" x14ac:dyDescent="0.2">
      <c r="A2131" s="10">
        <v>6712</v>
      </c>
      <c r="B2131" s="10">
        <v>80</v>
      </c>
      <c r="C2131" s="10" t="s">
        <v>2438</v>
      </c>
      <c r="D2131" s="10">
        <v>8091</v>
      </c>
      <c r="E2131" s="10" t="s">
        <v>2479</v>
      </c>
      <c r="F2131" s="10">
        <v>866</v>
      </c>
      <c r="G2131" s="10">
        <v>956</v>
      </c>
      <c r="H2131" s="11">
        <v>1822</v>
      </c>
      <c r="I2131" s="11">
        <v>1051</v>
      </c>
    </row>
    <row r="2132" spans="1:9" x14ac:dyDescent="0.2">
      <c r="A2132" s="10">
        <v>6712</v>
      </c>
      <c r="B2132" s="10">
        <v>80</v>
      </c>
      <c r="C2132" s="10" t="s">
        <v>2438</v>
      </c>
      <c r="D2132" s="10">
        <v>8092</v>
      </c>
      <c r="E2132" s="10" t="s">
        <v>2480</v>
      </c>
      <c r="F2132" s="11">
        <v>3264</v>
      </c>
      <c r="G2132" s="11">
        <v>3404</v>
      </c>
      <c r="H2132" s="11">
        <v>6668</v>
      </c>
      <c r="I2132" s="11">
        <v>2856</v>
      </c>
    </row>
    <row r="2133" spans="1:9" x14ac:dyDescent="0.2">
      <c r="A2133" s="10">
        <v>6712</v>
      </c>
      <c r="B2133" s="10">
        <v>80</v>
      </c>
      <c r="C2133" s="10" t="s">
        <v>2438</v>
      </c>
      <c r="D2133" s="10">
        <v>8093</v>
      </c>
      <c r="E2133" s="10" t="s">
        <v>2481</v>
      </c>
      <c r="F2133" s="11">
        <v>1699</v>
      </c>
      <c r="G2133" s="11">
        <v>1729</v>
      </c>
      <c r="H2133" s="11">
        <v>3428</v>
      </c>
      <c r="I2133" s="11">
        <v>1172</v>
      </c>
    </row>
    <row r="2134" spans="1:9" x14ac:dyDescent="0.2">
      <c r="A2134" s="10">
        <v>6712</v>
      </c>
      <c r="B2134" s="10">
        <v>80</v>
      </c>
      <c r="C2134" s="10" t="s">
        <v>2438</v>
      </c>
      <c r="D2134" s="10">
        <v>8094</v>
      </c>
      <c r="E2134" s="10" t="s">
        <v>2482</v>
      </c>
      <c r="F2134" s="11">
        <v>3112</v>
      </c>
      <c r="G2134" s="11">
        <v>3030</v>
      </c>
      <c r="H2134" s="11">
        <v>6142</v>
      </c>
      <c r="I2134" s="11">
        <v>2112</v>
      </c>
    </row>
    <row r="2135" spans="1:9" x14ac:dyDescent="0.2">
      <c r="A2135" s="10">
        <v>6712</v>
      </c>
      <c r="B2135" s="10">
        <v>80</v>
      </c>
      <c r="C2135" s="10" t="s">
        <v>2438</v>
      </c>
      <c r="D2135" s="10">
        <v>8095</v>
      </c>
      <c r="E2135" s="10" t="s">
        <v>2483</v>
      </c>
      <c r="F2135" s="10">
        <v>886</v>
      </c>
      <c r="G2135" s="10">
        <v>936</v>
      </c>
      <c r="H2135" s="11">
        <v>1822</v>
      </c>
      <c r="I2135" s="10">
        <v>702</v>
      </c>
    </row>
    <row r="2136" spans="1:9" x14ac:dyDescent="0.2">
      <c r="A2136" s="10">
        <v>6712</v>
      </c>
      <c r="B2136" s="10">
        <v>80</v>
      </c>
      <c r="C2136" s="10" t="s">
        <v>2438</v>
      </c>
      <c r="D2136" s="10">
        <v>8096</v>
      </c>
      <c r="E2136" s="10" t="s">
        <v>2484</v>
      </c>
      <c r="F2136" s="11">
        <v>1826</v>
      </c>
      <c r="G2136" s="11">
        <v>1868</v>
      </c>
      <c r="H2136" s="11">
        <v>3694</v>
      </c>
      <c r="I2136" s="11">
        <v>1291</v>
      </c>
    </row>
    <row r="2137" spans="1:9" x14ac:dyDescent="0.2">
      <c r="A2137" s="10">
        <v>6712</v>
      </c>
      <c r="B2137" s="10">
        <v>80</v>
      </c>
      <c r="C2137" s="10" t="s">
        <v>2438</v>
      </c>
      <c r="D2137" s="10">
        <v>8097</v>
      </c>
      <c r="E2137" s="10" t="s">
        <v>2485</v>
      </c>
      <c r="F2137" s="11">
        <v>13248</v>
      </c>
      <c r="G2137" s="11">
        <v>15629</v>
      </c>
      <c r="H2137" s="11">
        <v>28877</v>
      </c>
      <c r="I2137" s="11">
        <v>11809</v>
      </c>
    </row>
    <row r="2138" spans="1:9" x14ac:dyDescent="0.2">
      <c r="A2138" s="10">
        <v>6712</v>
      </c>
      <c r="B2138" s="10">
        <v>80</v>
      </c>
      <c r="C2138" s="10" t="s">
        <v>2438</v>
      </c>
      <c r="D2138" s="10">
        <v>8098</v>
      </c>
      <c r="E2138" s="10" t="s">
        <v>2486</v>
      </c>
      <c r="F2138" s="11">
        <v>9111</v>
      </c>
      <c r="G2138" s="11">
        <v>9353</v>
      </c>
      <c r="H2138" s="11">
        <v>18464</v>
      </c>
      <c r="I2138" s="11">
        <v>8254</v>
      </c>
    </row>
    <row r="2139" spans="1:9" x14ac:dyDescent="0.2">
      <c r="A2139" s="10">
        <v>6712</v>
      </c>
      <c r="B2139" s="10">
        <v>80</v>
      </c>
      <c r="C2139" s="10" t="s">
        <v>2438</v>
      </c>
      <c r="D2139" s="10">
        <v>8099</v>
      </c>
      <c r="E2139" s="10" t="s">
        <v>2487</v>
      </c>
      <c r="F2139" s="11">
        <v>44894</v>
      </c>
      <c r="G2139" s="11">
        <v>50437</v>
      </c>
      <c r="H2139" s="11">
        <v>95331</v>
      </c>
      <c r="I2139" s="11">
        <v>47550</v>
      </c>
    </row>
    <row r="2140" spans="1:9" x14ac:dyDescent="0.2">
      <c r="A2140" s="10">
        <v>6712</v>
      </c>
      <c r="B2140" s="10">
        <v>81</v>
      </c>
      <c r="C2140" s="10" t="s">
        <v>2488</v>
      </c>
      <c r="D2140" s="10">
        <v>8101</v>
      </c>
      <c r="E2140" s="10" t="s">
        <v>2489</v>
      </c>
      <c r="F2140" s="11">
        <v>37954</v>
      </c>
      <c r="G2140" s="11">
        <v>38721</v>
      </c>
      <c r="H2140" s="11">
        <v>76675</v>
      </c>
      <c r="I2140" s="11">
        <v>42038</v>
      </c>
    </row>
    <row r="2141" spans="1:9" x14ac:dyDescent="0.2">
      <c r="A2141" s="10">
        <v>6712</v>
      </c>
      <c r="B2141" s="10">
        <v>81</v>
      </c>
      <c r="C2141" s="10" t="s">
        <v>2488</v>
      </c>
      <c r="D2141" s="10">
        <v>8102</v>
      </c>
      <c r="E2141" s="10" t="s">
        <v>2490</v>
      </c>
      <c r="F2141" s="11">
        <v>25489</v>
      </c>
      <c r="G2141" s="11">
        <v>25287</v>
      </c>
      <c r="H2141" s="11">
        <v>50776</v>
      </c>
      <c r="I2141" s="11">
        <v>19101</v>
      </c>
    </row>
    <row r="2142" spans="1:9" x14ac:dyDescent="0.2">
      <c r="A2142" s="10">
        <v>6712</v>
      </c>
      <c r="B2142" s="10">
        <v>81</v>
      </c>
      <c r="C2142" s="10" t="s">
        <v>2488</v>
      </c>
      <c r="D2142" s="10">
        <v>8103</v>
      </c>
      <c r="E2142" s="10" t="s">
        <v>2491</v>
      </c>
      <c r="F2142" s="11">
        <v>17891</v>
      </c>
      <c r="G2142" s="11">
        <v>17429</v>
      </c>
      <c r="H2142" s="11">
        <v>35320</v>
      </c>
      <c r="I2142" s="11">
        <v>15683</v>
      </c>
    </row>
    <row r="2143" spans="1:9" x14ac:dyDescent="0.2">
      <c r="A2143" s="10">
        <v>6712</v>
      </c>
      <c r="B2143" s="10">
        <v>81</v>
      </c>
      <c r="C2143" s="10" t="s">
        <v>2488</v>
      </c>
      <c r="D2143" s="10">
        <v>8104</v>
      </c>
      <c r="E2143" s="10" t="s">
        <v>2492</v>
      </c>
      <c r="F2143" s="11">
        <v>36838</v>
      </c>
      <c r="G2143" s="11">
        <v>35594</v>
      </c>
      <c r="H2143" s="11">
        <v>72432</v>
      </c>
      <c r="I2143" s="11">
        <v>26167</v>
      </c>
    </row>
    <row r="2144" spans="1:9" x14ac:dyDescent="0.2">
      <c r="A2144" s="10">
        <v>6712</v>
      </c>
      <c r="B2144" s="10">
        <v>81</v>
      </c>
      <c r="C2144" s="10" t="s">
        <v>2488</v>
      </c>
      <c r="D2144" s="10">
        <v>8105</v>
      </c>
      <c r="E2144" s="10" t="s">
        <v>2493</v>
      </c>
      <c r="F2144" s="11">
        <v>23420</v>
      </c>
      <c r="G2144" s="11">
        <v>23642</v>
      </c>
      <c r="H2144" s="11">
        <v>47062</v>
      </c>
      <c r="I2144" s="11">
        <v>17520</v>
      </c>
    </row>
    <row r="2145" spans="1:9" x14ac:dyDescent="0.2">
      <c r="A2145" s="10">
        <v>6712</v>
      </c>
      <c r="B2145" s="10">
        <v>81</v>
      </c>
      <c r="C2145" s="10" t="s">
        <v>2488</v>
      </c>
      <c r="D2145" s="10">
        <v>8106</v>
      </c>
      <c r="E2145" s="10" t="s">
        <v>2494</v>
      </c>
      <c r="F2145" s="11">
        <v>16244</v>
      </c>
      <c r="G2145" s="11">
        <v>16208</v>
      </c>
      <c r="H2145" s="11">
        <v>32452</v>
      </c>
      <c r="I2145" s="11">
        <v>11615</v>
      </c>
    </row>
    <row r="2146" spans="1:9" x14ac:dyDescent="0.2">
      <c r="A2146" s="10">
        <v>6712</v>
      </c>
      <c r="B2146" s="10">
        <v>81</v>
      </c>
      <c r="C2146" s="10" t="s">
        <v>2488</v>
      </c>
      <c r="D2146" s="10">
        <v>8107</v>
      </c>
      <c r="E2146" s="10" t="s">
        <v>2495</v>
      </c>
      <c r="F2146" s="11">
        <v>10280</v>
      </c>
      <c r="G2146" s="11">
        <v>9995</v>
      </c>
      <c r="H2146" s="11">
        <v>20275</v>
      </c>
      <c r="I2146" s="11">
        <v>7616</v>
      </c>
    </row>
    <row r="2147" spans="1:9" x14ac:dyDescent="0.2">
      <c r="A2147" s="10">
        <v>6712</v>
      </c>
      <c r="B2147" s="10">
        <v>81</v>
      </c>
      <c r="C2147" s="10" t="s">
        <v>2488</v>
      </c>
      <c r="D2147" s="10">
        <v>8108</v>
      </c>
      <c r="E2147" s="10" t="s">
        <v>2496</v>
      </c>
      <c r="F2147" s="11">
        <v>30340</v>
      </c>
      <c r="G2147" s="11">
        <v>31034</v>
      </c>
      <c r="H2147" s="11">
        <v>61374</v>
      </c>
      <c r="I2147" s="11">
        <v>21765</v>
      </c>
    </row>
    <row r="2148" spans="1:9" x14ac:dyDescent="0.2">
      <c r="A2148" s="10">
        <v>6712</v>
      </c>
      <c r="B2148" s="10">
        <v>81</v>
      </c>
      <c r="C2148" s="10" t="s">
        <v>2488</v>
      </c>
      <c r="D2148" s="10">
        <v>8189</v>
      </c>
      <c r="E2148" s="10" t="s">
        <v>2497</v>
      </c>
      <c r="F2148" s="11">
        <v>9703</v>
      </c>
      <c r="G2148" s="11">
        <v>10085</v>
      </c>
      <c r="H2148" s="11">
        <v>19788</v>
      </c>
      <c r="I2148" s="11">
        <v>9878</v>
      </c>
    </row>
    <row r="2149" spans="1:9" x14ac:dyDescent="0.2">
      <c r="A2149" s="10">
        <v>6712</v>
      </c>
      <c r="B2149" s="10">
        <v>81</v>
      </c>
      <c r="C2149" s="10" t="s">
        <v>2488</v>
      </c>
      <c r="D2149" s="10">
        <v>8190</v>
      </c>
      <c r="E2149" s="10" t="s">
        <v>2498</v>
      </c>
      <c r="F2149" s="11">
        <v>2089</v>
      </c>
      <c r="G2149" s="11">
        <v>2267</v>
      </c>
      <c r="H2149" s="11">
        <v>4356</v>
      </c>
      <c r="I2149" s="11">
        <v>2505</v>
      </c>
    </row>
    <row r="2150" spans="1:9" x14ac:dyDescent="0.2">
      <c r="A2150" s="10">
        <v>6712</v>
      </c>
      <c r="B2150" s="10">
        <v>81</v>
      </c>
      <c r="C2150" s="10" t="s">
        <v>2488</v>
      </c>
      <c r="D2150" s="10">
        <v>8191</v>
      </c>
      <c r="E2150" s="10" t="s">
        <v>2499</v>
      </c>
      <c r="F2150" s="11">
        <v>2096</v>
      </c>
      <c r="G2150" s="11">
        <v>2270</v>
      </c>
      <c r="H2150" s="11">
        <v>4366</v>
      </c>
      <c r="I2150" s="11">
        <v>2482</v>
      </c>
    </row>
    <row r="2151" spans="1:9" x14ac:dyDescent="0.2">
      <c r="A2151" s="10">
        <v>6712</v>
      </c>
      <c r="B2151" s="10">
        <v>81</v>
      </c>
      <c r="C2151" s="10" t="s">
        <v>2488</v>
      </c>
      <c r="D2151" s="10">
        <v>8192</v>
      </c>
      <c r="E2151" s="10" t="s">
        <v>2500</v>
      </c>
      <c r="F2151" s="11">
        <v>3012</v>
      </c>
      <c r="G2151" s="11">
        <v>3034</v>
      </c>
      <c r="H2151" s="11">
        <v>6046</v>
      </c>
      <c r="I2151" s="11">
        <v>2719</v>
      </c>
    </row>
    <row r="2152" spans="1:9" x14ac:dyDescent="0.2">
      <c r="A2152" s="10">
        <v>6712</v>
      </c>
      <c r="B2152" s="10">
        <v>81</v>
      </c>
      <c r="C2152" s="10" t="s">
        <v>2488</v>
      </c>
      <c r="D2152" s="10">
        <v>8193</v>
      </c>
      <c r="E2152" s="10" t="s">
        <v>2501</v>
      </c>
      <c r="F2152" s="11">
        <v>2591</v>
      </c>
      <c r="G2152" s="11">
        <v>2811</v>
      </c>
      <c r="H2152" s="11">
        <v>5402</v>
      </c>
      <c r="I2152" s="11">
        <v>3090</v>
      </c>
    </row>
    <row r="2153" spans="1:9" x14ac:dyDescent="0.2">
      <c r="A2153" s="10">
        <v>6712</v>
      </c>
      <c r="B2153" s="10">
        <v>81</v>
      </c>
      <c r="C2153" s="10" t="s">
        <v>2488</v>
      </c>
      <c r="D2153" s="10">
        <v>8194</v>
      </c>
      <c r="E2153" s="10" t="s">
        <v>2502</v>
      </c>
      <c r="F2153" s="11">
        <v>2057</v>
      </c>
      <c r="G2153" s="11">
        <v>2044</v>
      </c>
      <c r="H2153" s="11">
        <v>4101</v>
      </c>
      <c r="I2153" s="11">
        <v>1306</v>
      </c>
    </row>
    <row r="2154" spans="1:9" x14ac:dyDescent="0.2">
      <c r="A2154" s="10">
        <v>6712</v>
      </c>
      <c r="B2154" s="10">
        <v>81</v>
      </c>
      <c r="C2154" s="10" t="s">
        <v>2488</v>
      </c>
      <c r="D2154" s="10">
        <v>8195</v>
      </c>
      <c r="E2154" s="10" t="s">
        <v>2503</v>
      </c>
      <c r="F2154" s="11">
        <v>1421</v>
      </c>
      <c r="G2154" s="11">
        <v>1475</v>
      </c>
      <c r="H2154" s="11">
        <v>2896</v>
      </c>
      <c r="I2154" s="11">
        <v>1371</v>
      </c>
    </row>
    <row r="2155" spans="1:9" x14ac:dyDescent="0.2">
      <c r="A2155" s="10">
        <v>6712</v>
      </c>
      <c r="B2155" s="10">
        <v>81</v>
      </c>
      <c r="C2155" s="10" t="s">
        <v>2488</v>
      </c>
      <c r="D2155" s="10">
        <v>8196</v>
      </c>
      <c r="E2155" s="10" t="s">
        <v>2504</v>
      </c>
      <c r="F2155" s="11">
        <v>1491</v>
      </c>
      <c r="G2155" s="11">
        <v>1683</v>
      </c>
      <c r="H2155" s="11">
        <v>3174</v>
      </c>
      <c r="I2155" s="11">
        <v>1836</v>
      </c>
    </row>
    <row r="2156" spans="1:9" x14ac:dyDescent="0.2">
      <c r="A2156" s="10">
        <v>6712</v>
      </c>
      <c r="B2156" s="10">
        <v>81</v>
      </c>
      <c r="C2156" s="10" t="s">
        <v>2488</v>
      </c>
      <c r="D2156" s="10">
        <v>8197</v>
      </c>
      <c r="E2156" s="10" t="s">
        <v>2505</v>
      </c>
      <c r="F2156" s="10">
        <v>563</v>
      </c>
      <c r="G2156" s="10">
        <v>589</v>
      </c>
      <c r="H2156" s="11">
        <v>1152</v>
      </c>
      <c r="I2156" s="10">
        <v>513</v>
      </c>
    </row>
    <row r="2157" spans="1:9" x14ac:dyDescent="0.2">
      <c r="A2157" s="10">
        <v>6712</v>
      </c>
      <c r="B2157" s="10">
        <v>81</v>
      </c>
      <c r="C2157" s="10" t="s">
        <v>2488</v>
      </c>
      <c r="D2157" s="10">
        <v>8198</v>
      </c>
      <c r="E2157" s="10" t="s">
        <v>2506</v>
      </c>
      <c r="F2157" s="11">
        <v>2613</v>
      </c>
      <c r="G2157" s="11">
        <v>2773</v>
      </c>
      <c r="H2157" s="11">
        <v>5386</v>
      </c>
      <c r="I2157" s="11">
        <v>2577</v>
      </c>
    </row>
    <row r="2158" spans="1:9" x14ac:dyDescent="0.2">
      <c r="A2158" s="10">
        <v>6712</v>
      </c>
      <c r="B2158" s="10">
        <v>81</v>
      </c>
      <c r="C2158" s="10" t="s">
        <v>2488</v>
      </c>
      <c r="D2158" s="10">
        <v>8199</v>
      </c>
      <c r="E2158" s="10" t="s">
        <v>2507</v>
      </c>
      <c r="F2158" s="11">
        <v>14221</v>
      </c>
      <c r="G2158" s="11">
        <v>16601</v>
      </c>
      <c r="H2158" s="11">
        <v>30822</v>
      </c>
      <c r="I2158" s="11">
        <v>18450</v>
      </c>
    </row>
    <row r="2159" spans="1:9" x14ac:dyDescent="0.2">
      <c r="A2159" s="10">
        <v>6712</v>
      </c>
      <c r="B2159" s="10">
        <v>82</v>
      </c>
      <c r="C2159" s="10" t="s">
        <v>2508</v>
      </c>
      <c r="D2159" s="10">
        <v>8201</v>
      </c>
      <c r="E2159" s="10" t="s">
        <v>2509</v>
      </c>
      <c r="F2159" s="11">
        <v>15197</v>
      </c>
      <c r="G2159" s="11">
        <v>15685</v>
      </c>
      <c r="H2159" s="11">
        <v>30882</v>
      </c>
      <c r="I2159" s="11">
        <v>12960</v>
      </c>
    </row>
    <row r="2160" spans="1:9" x14ac:dyDescent="0.2">
      <c r="A2160" s="10">
        <v>6712</v>
      </c>
      <c r="B2160" s="10">
        <v>82</v>
      </c>
      <c r="C2160" s="10" t="s">
        <v>2508</v>
      </c>
      <c r="D2160" s="10">
        <v>8202</v>
      </c>
      <c r="E2160" s="10" t="s">
        <v>2510</v>
      </c>
      <c r="F2160" s="11">
        <v>7423</v>
      </c>
      <c r="G2160" s="11">
        <v>7281</v>
      </c>
      <c r="H2160" s="11">
        <v>14704</v>
      </c>
      <c r="I2160" s="11">
        <v>6231</v>
      </c>
    </row>
    <row r="2161" spans="1:9" x14ac:dyDescent="0.2">
      <c r="A2161" s="10">
        <v>6712</v>
      </c>
      <c r="B2161" s="10">
        <v>82</v>
      </c>
      <c r="C2161" s="10" t="s">
        <v>2508</v>
      </c>
      <c r="D2161" s="10">
        <v>8203</v>
      </c>
      <c r="E2161" s="10" t="s">
        <v>2511</v>
      </c>
      <c r="F2161" s="11">
        <v>6682</v>
      </c>
      <c r="G2161" s="11">
        <v>6642</v>
      </c>
      <c r="H2161" s="11">
        <v>13324</v>
      </c>
      <c r="I2161" s="11">
        <v>6241</v>
      </c>
    </row>
    <row r="2162" spans="1:9" x14ac:dyDescent="0.2">
      <c r="A2162" s="10">
        <v>6712</v>
      </c>
      <c r="B2162" s="10">
        <v>82</v>
      </c>
      <c r="C2162" s="10" t="s">
        <v>2508</v>
      </c>
      <c r="D2162" s="10">
        <v>8204</v>
      </c>
      <c r="E2162" s="10" t="s">
        <v>2512</v>
      </c>
      <c r="F2162" s="11">
        <v>19706</v>
      </c>
      <c r="G2162" s="11">
        <v>19511</v>
      </c>
      <c r="H2162" s="11">
        <v>39217</v>
      </c>
      <c r="I2162" s="11">
        <v>16946</v>
      </c>
    </row>
    <row r="2163" spans="1:9" x14ac:dyDescent="0.2">
      <c r="A2163" s="10">
        <v>6712</v>
      </c>
      <c r="B2163" s="10">
        <v>82</v>
      </c>
      <c r="C2163" s="10" t="s">
        <v>2508</v>
      </c>
      <c r="D2163" s="10">
        <v>8205</v>
      </c>
      <c r="E2163" s="10" t="s">
        <v>2513</v>
      </c>
      <c r="F2163" s="11">
        <v>20836</v>
      </c>
      <c r="G2163" s="11">
        <v>21091</v>
      </c>
      <c r="H2163" s="11">
        <v>41927</v>
      </c>
      <c r="I2163" s="11">
        <v>25190</v>
      </c>
    </row>
    <row r="2164" spans="1:9" x14ac:dyDescent="0.2">
      <c r="A2164" s="10">
        <v>6712</v>
      </c>
      <c r="B2164" s="10">
        <v>82</v>
      </c>
      <c r="C2164" s="10" t="s">
        <v>2508</v>
      </c>
      <c r="D2164" s="10">
        <v>8206</v>
      </c>
      <c r="E2164" s="10" t="s">
        <v>2514</v>
      </c>
      <c r="F2164" s="11">
        <v>12642</v>
      </c>
      <c r="G2164" s="11">
        <v>12270</v>
      </c>
      <c r="H2164" s="11">
        <v>24912</v>
      </c>
      <c r="I2164" s="11">
        <v>10816</v>
      </c>
    </row>
    <row r="2165" spans="1:9" x14ac:dyDescent="0.2">
      <c r="A2165" s="10">
        <v>6712</v>
      </c>
      <c r="B2165" s="10">
        <v>82</v>
      </c>
      <c r="C2165" s="10" t="s">
        <v>2508</v>
      </c>
      <c r="D2165" s="10">
        <v>8207</v>
      </c>
      <c r="E2165" s="10" t="s">
        <v>2515</v>
      </c>
      <c r="F2165" s="11">
        <v>12459</v>
      </c>
      <c r="G2165" s="11">
        <v>12375</v>
      </c>
      <c r="H2165" s="11">
        <v>24834</v>
      </c>
      <c r="I2165" s="11">
        <v>8557</v>
      </c>
    </row>
    <row r="2166" spans="1:9" x14ac:dyDescent="0.2">
      <c r="A2166" s="10">
        <v>6712</v>
      </c>
      <c r="B2166" s="10">
        <v>82</v>
      </c>
      <c r="C2166" s="10" t="s">
        <v>2508</v>
      </c>
      <c r="D2166" s="10">
        <v>8208</v>
      </c>
      <c r="E2166" s="10" t="s">
        <v>2516</v>
      </c>
      <c r="F2166" s="11">
        <v>22787</v>
      </c>
      <c r="G2166" s="11">
        <v>22069</v>
      </c>
      <c r="H2166" s="11">
        <v>44856</v>
      </c>
      <c r="I2166" s="11">
        <v>21765</v>
      </c>
    </row>
    <row r="2167" spans="1:9" x14ac:dyDescent="0.2">
      <c r="A2167" s="10">
        <v>6712</v>
      </c>
      <c r="B2167" s="10">
        <v>82</v>
      </c>
      <c r="C2167" s="10" t="s">
        <v>2508</v>
      </c>
      <c r="D2167" s="10">
        <v>8291</v>
      </c>
      <c r="E2167" s="10" t="s">
        <v>2517</v>
      </c>
      <c r="F2167" s="11">
        <v>1474</v>
      </c>
      <c r="G2167" s="11">
        <v>1586</v>
      </c>
      <c r="H2167" s="11">
        <v>3060</v>
      </c>
      <c r="I2167" s="11">
        <v>1786</v>
      </c>
    </row>
    <row r="2168" spans="1:9" x14ac:dyDescent="0.2">
      <c r="A2168" s="10">
        <v>6712</v>
      </c>
      <c r="B2168" s="10">
        <v>82</v>
      </c>
      <c r="C2168" s="10" t="s">
        <v>2508</v>
      </c>
      <c r="D2168" s="10">
        <v>8292</v>
      </c>
      <c r="E2168" s="10" t="s">
        <v>2518</v>
      </c>
      <c r="F2168" s="10">
        <v>480</v>
      </c>
      <c r="G2168" s="10">
        <v>493</v>
      </c>
      <c r="H2168" s="10">
        <v>973</v>
      </c>
      <c r="I2168" s="10">
        <v>623</v>
      </c>
    </row>
    <row r="2169" spans="1:9" x14ac:dyDescent="0.2">
      <c r="A2169" s="10">
        <v>6712</v>
      </c>
      <c r="B2169" s="10">
        <v>82</v>
      </c>
      <c r="C2169" s="10" t="s">
        <v>2508</v>
      </c>
      <c r="D2169" s="10">
        <v>8293</v>
      </c>
      <c r="E2169" s="10" t="s">
        <v>2519</v>
      </c>
      <c r="F2169" s="11">
        <v>1689</v>
      </c>
      <c r="G2169" s="11">
        <v>1710</v>
      </c>
      <c r="H2169" s="11">
        <v>3399</v>
      </c>
      <c r="I2169" s="11">
        <v>2230</v>
      </c>
    </row>
    <row r="2170" spans="1:9" x14ac:dyDescent="0.2">
      <c r="A2170" s="10">
        <v>6712</v>
      </c>
      <c r="B2170" s="10">
        <v>82</v>
      </c>
      <c r="C2170" s="10" t="s">
        <v>2508</v>
      </c>
      <c r="D2170" s="10">
        <v>8294</v>
      </c>
      <c r="E2170" s="10" t="s">
        <v>2520</v>
      </c>
      <c r="F2170" s="11">
        <v>1826</v>
      </c>
      <c r="G2170" s="11">
        <v>2067</v>
      </c>
      <c r="H2170" s="11">
        <v>3893</v>
      </c>
      <c r="I2170" s="11">
        <v>1772</v>
      </c>
    </row>
    <row r="2171" spans="1:9" x14ac:dyDescent="0.2">
      <c r="A2171" s="10">
        <v>6712</v>
      </c>
      <c r="B2171" s="10">
        <v>82</v>
      </c>
      <c r="C2171" s="10" t="s">
        <v>2508</v>
      </c>
      <c r="D2171" s="10">
        <v>8295</v>
      </c>
      <c r="E2171" s="10" t="s">
        <v>2521</v>
      </c>
      <c r="F2171" s="10">
        <v>852</v>
      </c>
      <c r="G2171" s="10">
        <v>958</v>
      </c>
      <c r="H2171" s="11">
        <v>1810</v>
      </c>
      <c r="I2171" s="10">
        <v>791</v>
      </c>
    </row>
    <row r="2172" spans="1:9" x14ac:dyDescent="0.2">
      <c r="A2172" s="10">
        <v>6712</v>
      </c>
      <c r="B2172" s="10">
        <v>82</v>
      </c>
      <c r="C2172" s="10" t="s">
        <v>2508</v>
      </c>
      <c r="D2172" s="10">
        <v>8296</v>
      </c>
      <c r="E2172" s="10" t="s">
        <v>2522</v>
      </c>
      <c r="F2172" s="10">
        <v>488</v>
      </c>
      <c r="G2172" s="10">
        <v>549</v>
      </c>
      <c r="H2172" s="11">
        <v>1037</v>
      </c>
      <c r="I2172" s="10">
        <v>600</v>
      </c>
    </row>
    <row r="2173" spans="1:9" x14ac:dyDescent="0.2">
      <c r="A2173" s="10">
        <v>6712</v>
      </c>
      <c r="B2173" s="10">
        <v>82</v>
      </c>
      <c r="C2173" s="10" t="s">
        <v>2508</v>
      </c>
      <c r="D2173" s="10">
        <v>8298</v>
      </c>
      <c r="E2173" s="10" t="s">
        <v>2523</v>
      </c>
      <c r="F2173" s="11">
        <v>3616</v>
      </c>
      <c r="G2173" s="11">
        <v>4010</v>
      </c>
      <c r="H2173" s="11">
        <v>7626</v>
      </c>
      <c r="I2173" s="11">
        <v>2841</v>
      </c>
    </row>
    <row r="2174" spans="1:9" x14ac:dyDescent="0.2">
      <c r="A2174" s="10">
        <v>6712</v>
      </c>
      <c r="B2174" s="10">
        <v>82</v>
      </c>
      <c r="C2174" s="10" t="s">
        <v>2508</v>
      </c>
      <c r="D2174" s="10">
        <v>8299</v>
      </c>
      <c r="E2174" s="10" t="s">
        <v>2524</v>
      </c>
      <c r="F2174" s="11">
        <v>4753</v>
      </c>
      <c r="G2174" s="11">
        <v>5089</v>
      </c>
      <c r="H2174" s="11">
        <v>9842</v>
      </c>
      <c r="I2174" s="11">
        <v>6094</v>
      </c>
    </row>
    <row r="2175" spans="1:9" x14ac:dyDescent="0.2">
      <c r="A2175" s="10">
        <v>6712</v>
      </c>
      <c r="B2175" s="10">
        <v>83</v>
      </c>
      <c r="C2175" s="10" t="s">
        <v>2525</v>
      </c>
      <c r="D2175" s="10">
        <v>8301</v>
      </c>
      <c r="E2175" s="10" t="s">
        <v>2526</v>
      </c>
      <c r="F2175" s="11">
        <v>22166</v>
      </c>
      <c r="G2175" s="11">
        <v>25064</v>
      </c>
      <c r="H2175" s="11">
        <v>47230</v>
      </c>
      <c r="I2175" s="11">
        <v>32419</v>
      </c>
    </row>
    <row r="2176" spans="1:9" x14ac:dyDescent="0.2">
      <c r="A2176" s="10">
        <v>6712</v>
      </c>
      <c r="B2176" s="10">
        <v>83</v>
      </c>
      <c r="C2176" s="10" t="s">
        <v>2525</v>
      </c>
      <c r="D2176" s="10">
        <v>8302</v>
      </c>
      <c r="E2176" s="10" t="s">
        <v>2527</v>
      </c>
      <c r="F2176" s="11">
        <v>3404</v>
      </c>
      <c r="G2176" s="11">
        <v>3760</v>
      </c>
      <c r="H2176" s="11">
        <v>7164</v>
      </c>
      <c r="I2176" s="11">
        <v>7745</v>
      </c>
    </row>
    <row r="2177" spans="1:9" x14ac:dyDescent="0.2">
      <c r="A2177" s="10">
        <v>6712</v>
      </c>
      <c r="B2177" s="10">
        <v>83</v>
      </c>
      <c r="C2177" s="10" t="s">
        <v>2525</v>
      </c>
      <c r="D2177" s="10">
        <v>8303</v>
      </c>
      <c r="E2177" s="10" t="s">
        <v>2528</v>
      </c>
      <c r="F2177" s="11">
        <v>48607</v>
      </c>
      <c r="G2177" s="11">
        <v>51911</v>
      </c>
      <c r="H2177" s="11">
        <v>100518</v>
      </c>
      <c r="I2177" s="11">
        <v>79963</v>
      </c>
    </row>
    <row r="2178" spans="1:9" x14ac:dyDescent="0.2">
      <c r="A2178" s="10">
        <v>6712</v>
      </c>
      <c r="B2178" s="10">
        <v>83</v>
      </c>
      <c r="C2178" s="10" t="s">
        <v>2525</v>
      </c>
      <c r="D2178" s="10">
        <v>8391</v>
      </c>
      <c r="E2178" s="10" t="s">
        <v>2529</v>
      </c>
      <c r="F2178" s="11">
        <v>25810</v>
      </c>
      <c r="G2178" s="11">
        <v>29824</v>
      </c>
      <c r="H2178" s="11">
        <v>55634</v>
      </c>
      <c r="I2178" s="11">
        <v>36111</v>
      </c>
    </row>
    <row r="2179" spans="1:9" x14ac:dyDescent="0.2">
      <c r="A2179" s="10">
        <v>6712</v>
      </c>
      <c r="B2179" s="10">
        <v>83</v>
      </c>
      <c r="C2179" s="10" t="s">
        <v>2525</v>
      </c>
      <c r="D2179" s="10">
        <v>8392</v>
      </c>
      <c r="E2179" s="10" t="s">
        <v>2530</v>
      </c>
      <c r="F2179" s="11">
        <v>9104</v>
      </c>
      <c r="G2179" s="11">
        <v>10414</v>
      </c>
      <c r="H2179" s="11">
        <v>19518</v>
      </c>
      <c r="I2179" s="11">
        <v>21246</v>
      </c>
    </row>
    <row r="2180" spans="1:9" x14ac:dyDescent="0.2">
      <c r="A2180" s="10">
        <v>6712</v>
      </c>
      <c r="B2180" s="10">
        <v>83</v>
      </c>
      <c r="C2180" s="10" t="s">
        <v>2525</v>
      </c>
      <c r="D2180" s="10">
        <v>8393</v>
      </c>
      <c r="E2180" s="10" t="s">
        <v>2531</v>
      </c>
      <c r="F2180" s="11">
        <v>24093</v>
      </c>
      <c r="G2180" s="11">
        <v>27129</v>
      </c>
      <c r="H2180" s="11">
        <v>51222</v>
      </c>
      <c r="I2180" s="11">
        <v>32097</v>
      </c>
    </row>
    <row r="2181" spans="1:9" x14ac:dyDescent="0.2">
      <c r="A2181" s="10">
        <v>6712</v>
      </c>
      <c r="B2181" s="10">
        <v>83</v>
      </c>
      <c r="C2181" s="10" t="s">
        <v>2525</v>
      </c>
      <c r="D2181" s="10">
        <v>8394</v>
      </c>
      <c r="E2181" s="10" t="s">
        <v>2532</v>
      </c>
      <c r="F2181" s="11">
        <v>4808</v>
      </c>
      <c r="G2181" s="11">
        <v>5106</v>
      </c>
      <c r="H2181" s="11">
        <v>9914</v>
      </c>
      <c r="I2181" s="11">
        <v>5270</v>
      </c>
    </row>
    <row r="2182" spans="1:9" x14ac:dyDescent="0.2">
      <c r="A2182" s="10">
        <v>6712</v>
      </c>
      <c r="B2182" s="10">
        <v>83</v>
      </c>
      <c r="C2182" s="10" t="s">
        <v>2525</v>
      </c>
      <c r="D2182" s="10">
        <v>8395</v>
      </c>
      <c r="E2182" s="10" t="s">
        <v>2533</v>
      </c>
      <c r="F2182" s="11">
        <v>3092</v>
      </c>
      <c r="G2182" s="11">
        <v>3864</v>
      </c>
      <c r="H2182" s="11">
        <v>6956</v>
      </c>
      <c r="I2182" s="11">
        <v>3815</v>
      </c>
    </row>
    <row r="2183" spans="1:9" x14ac:dyDescent="0.2">
      <c r="A2183" s="10">
        <v>6712</v>
      </c>
      <c r="B2183" s="10">
        <v>83</v>
      </c>
      <c r="C2183" s="10" t="s">
        <v>2525</v>
      </c>
      <c r="D2183" s="10">
        <v>8396</v>
      </c>
      <c r="E2183" s="10" t="s">
        <v>2534</v>
      </c>
      <c r="F2183" s="11">
        <v>15048</v>
      </c>
      <c r="G2183" s="11">
        <v>17711</v>
      </c>
      <c r="H2183" s="11">
        <v>32759</v>
      </c>
      <c r="I2183" s="11">
        <v>22837</v>
      </c>
    </row>
    <row r="2184" spans="1:9" x14ac:dyDescent="0.2">
      <c r="A2184" s="10">
        <v>6712</v>
      </c>
      <c r="B2184" s="10">
        <v>83</v>
      </c>
      <c r="C2184" s="10" t="s">
        <v>2525</v>
      </c>
      <c r="D2184" s="10">
        <v>8397</v>
      </c>
      <c r="E2184" s="10" t="s">
        <v>2535</v>
      </c>
      <c r="F2184" s="11">
        <v>3603</v>
      </c>
      <c r="G2184" s="11">
        <v>4024</v>
      </c>
      <c r="H2184" s="11">
        <v>7627</v>
      </c>
      <c r="I2184" s="11">
        <v>9210</v>
      </c>
    </row>
    <row r="2185" spans="1:9" x14ac:dyDescent="0.2">
      <c r="A2185" s="10">
        <v>6712</v>
      </c>
      <c r="B2185" s="10">
        <v>83</v>
      </c>
      <c r="C2185" s="10" t="s">
        <v>2525</v>
      </c>
      <c r="D2185" s="10">
        <v>8398</v>
      </c>
      <c r="E2185" s="10" t="s">
        <v>2536</v>
      </c>
      <c r="F2185" s="11">
        <v>9469</v>
      </c>
      <c r="G2185" s="11">
        <v>10288</v>
      </c>
      <c r="H2185" s="11">
        <v>19757</v>
      </c>
      <c r="I2185" s="11">
        <v>16662</v>
      </c>
    </row>
    <row r="2186" spans="1:9" x14ac:dyDescent="0.2">
      <c r="A2186" s="10">
        <v>6712</v>
      </c>
      <c r="B2186" s="10">
        <v>83</v>
      </c>
      <c r="C2186" s="10" t="s">
        <v>2525</v>
      </c>
      <c r="D2186" s="10">
        <v>8399</v>
      </c>
      <c r="E2186" s="10" t="s">
        <v>2537</v>
      </c>
      <c r="F2186" s="11">
        <v>32784</v>
      </c>
      <c r="G2186" s="11">
        <v>38500</v>
      </c>
      <c r="H2186" s="11">
        <v>71284</v>
      </c>
      <c r="I2186" s="11">
        <v>27008</v>
      </c>
    </row>
    <row r="2187" spans="1:9" x14ac:dyDescent="0.2">
      <c r="A2187" s="10">
        <v>6712</v>
      </c>
      <c r="B2187" s="10">
        <v>84</v>
      </c>
      <c r="C2187" s="10" t="s">
        <v>2538</v>
      </c>
      <c r="D2187" s="10">
        <v>8401</v>
      </c>
      <c r="E2187" s="10" t="s">
        <v>2539</v>
      </c>
      <c r="F2187" s="11">
        <v>9133</v>
      </c>
      <c r="G2187" s="11">
        <v>10044</v>
      </c>
      <c r="H2187" s="11">
        <v>19177</v>
      </c>
      <c r="I2187" s="11">
        <v>8794</v>
      </c>
    </row>
    <row r="2188" spans="1:9" x14ac:dyDescent="0.2">
      <c r="A2188" s="10">
        <v>6712</v>
      </c>
      <c r="B2188" s="10">
        <v>84</v>
      </c>
      <c r="C2188" s="10" t="s">
        <v>2538</v>
      </c>
      <c r="D2188" s="10">
        <v>8402</v>
      </c>
      <c r="E2188" s="10" t="s">
        <v>2540</v>
      </c>
      <c r="F2188" s="11">
        <v>41142</v>
      </c>
      <c r="G2188" s="11">
        <v>41970</v>
      </c>
      <c r="H2188" s="11">
        <v>83112</v>
      </c>
      <c r="I2188" s="11">
        <v>36100</v>
      </c>
    </row>
    <row r="2189" spans="1:9" x14ac:dyDescent="0.2">
      <c r="A2189" s="10">
        <v>6712</v>
      </c>
      <c r="B2189" s="10">
        <v>84</v>
      </c>
      <c r="C2189" s="10" t="s">
        <v>2538</v>
      </c>
      <c r="D2189" s="10">
        <v>8403</v>
      </c>
      <c r="E2189" s="10" t="s">
        <v>2541</v>
      </c>
      <c r="F2189" s="11">
        <v>12458</v>
      </c>
      <c r="G2189" s="11">
        <v>12419</v>
      </c>
      <c r="H2189" s="11">
        <v>24877</v>
      </c>
      <c r="I2189" s="11">
        <v>11061</v>
      </c>
    </row>
    <row r="2190" spans="1:9" x14ac:dyDescent="0.2">
      <c r="A2190" s="10">
        <v>6712</v>
      </c>
      <c r="B2190" s="10">
        <v>84</v>
      </c>
      <c r="C2190" s="10" t="s">
        <v>2538</v>
      </c>
      <c r="D2190" s="10">
        <v>8405</v>
      </c>
      <c r="E2190" s="10" t="s">
        <v>2542</v>
      </c>
      <c r="F2190" s="11">
        <v>5937</v>
      </c>
      <c r="G2190" s="11">
        <v>5682</v>
      </c>
      <c r="H2190" s="11">
        <v>11619</v>
      </c>
      <c r="I2190" s="11">
        <v>14031</v>
      </c>
    </row>
    <row r="2191" spans="1:9" x14ac:dyDescent="0.2">
      <c r="A2191" s="10">
        <v>6712</v>
      </c>
      <c r="B2191" s="10">
        <v>84</v>
      </c>
      <c r="C2191" s="10" t="s">
        <v>2538</v>
      </c>
      <c r="D2191" s="10">
        <v>8406</v>
      </c>
      <c r="E2191" s="10" t="s">
        <v>2543</v>
      </c>
      <c r="F2191" s="11">
        <v>18939</v>
      </c>
      <c r="G2191" s="11">
        <v>19770</v>
      </c>
      <c r="H2191" s="11">
        <v>38709</v>
      </c>
      <c r="I2191" s="11">
        <v>17756</v>
      </c>
    </row>
    <row r="2192" spans="1:9" x14ac:dyDescent="0.2">
      <c r="A2192" s="10">
        <v>6712</v>
      </c>
      <c r="B2192" s="10">
        <v>84</v>
      </c>
      <c r="C2192" s="10" t="s">
        <v>2538</v>
      </c>
      <c r="D2192" s="10">
        <v>8407</v>
      </c>
      <c r="E2192" s="10" t="s">
        <v>2544</v>
      </c>
      <c r="F2192" s="11">
        <v>26010</v>
      </c>
      <c r="G2192" s="11">
        <v>25584</v>
      </c>
      <c r="H2192" s="11">
        <v>51594</v>
      </c>
      <c r="I2192" s="11">
        <v>23599</v>
      </c>
    </row>
    <row r="2193" spans="1:9" x14ac:dyDescent="0.2">
      <c r="A2193" s="10">
        <v>6712</v>
      </c>
      <c r="B2193" s="10">
        <v>84</v>
      </c>
      <c r="C2193" s="10" t="s">
        <v>2538</v>
      </c>
      <c r="D2193" s="10">
        <v>8408</v>
      </c>
      <c r="E2193" s="10" t="s">
        <v>2545</v>
      </c>
      <c r="F2193" s="11">
        <v>21053</v>
      </c>
      <c r="G2193" s="11">
        <v>21195</v>
      </c>
      <c r="H2193" s="11">
        <v>42248</v>
      </c>
      <c r="I2193" s="11">
        <v>17704</v>
      </c>
    </row>
    <row r="2194" spans="1:9" x14ac:dyDescent="0.2">
      <c r="A2194" s="10">
        <v>6712</v>
      </c>
      <c r="B2194" s="10">
        <v>84</v>
      </c>
      <c r="C2194" s="10" t="s">
        <v>2538</v>
      </c>
      <c r="D2194" s="10">
        <v>8409</v>
      </c>
      <c r="E2194" s="10" t="s">
        <v>2546</v>
      </c>
      <c r="F2194" s="11">
        <v>4613</v>
      </c>
      <c r="G2194" s="11">
        <v>4674</v>
      </c>
      <c r="H2194" s="11">
        <v>9287</v>
      </c>
      <c r="I2194" s="11">
        <v>4136</v>
      </c>
    </row>
    <row r="2195" spans="1:9" x14ac:dyDescent="0.2">
      <c r="A2195" s="10">
        <v>6712</v>
      </c>
      <c r="B2195" s="10">
        <v>84</v>
      </c>
      <c r="C2195" s="10" t="s">
        <v>2538</v>
      </c>
      <c r="D2195" s="10">
        <v>8410</v>
      </c>
      <c r="E2195" s="10" t="s">
        <v>2547</v>
      </c>
      <c r="F2195" s="11">
        <v>12499</v>
      </c>
      <c r="G2195" s="11">
        <v>12016</v>
      </c>
      <c r="H2195" s="11">
        <v>24515</v>
      </c>
      <c r="I2195" s="11">
        <v>9865</v>
      </c>
    </row>
    <row r="2196" spans="1:9" x14ac:dyDescent="0.2">
      <c r="A2196" s="10">
        <v>6712</v>
      </c>
      <c r="B2196" s="10">
        <v>84</v>
      </c>
      <c r="C2196" s="10" t="s">
        <v>2538</v>
      </c>
      <c r="D2196" s="10">
        <v>8411</v>
      </c>
      <c r="E2196" s="10" t="s">
        <v>2548</v>
      </c>
      <c r="F2196" s="11">
        <v>14912</v>
      </c>
      <c r="G2196" s="11">
        <v>14745</v>
      </c>
      <c r="H2196" s="11">
        <v>29657</v>
      </c>
      <c r="I2196" s="11">
        <v>13632</v>
      </c>
    </row>
    <row r="2197" spans="1:9" x14ac:dyDescent="0.2">
      <c r="A2197" s="10">
        <v>6712</v>
      </c>
      <c r="B2197" s="10">
        <v>84</v>
      </c>
      <c r="C2197" s="10" t="s">
        <v>2538</v>
      </c>
      <c r="D2197" s="10">
        <v>8412</v>
      </c>
      <c r="E2197" s="10" t="s">
        <v>2549</v>
      </c>
      <c r="F2197" s="11">
        <v>25135</v>
      </c>
      <c r="G2197" s="11">
        <v>25621</v>
      </c>
      <c r="H2197" s="11">
        <v>50756</v>
      </c>
      <c r="I2197" s="11">
        <v>19007</v>
      </c>
    </row>
    <row r="2198" spans="1:9" x14ac:dyDescent="0.2">
      <c r="A2198" s="10">
        <v>6712</v>
      </c>
      <c r="B2198" s="10">
        <v>84</v>
      </c>
      <c r="C2198" s="10" t="s">
        <v>2538</v>
      </c>
      <c r="D2198" s="10">
        <v>8413</v>
      </c>
      <c r="E2198" s="10" t="s">
        <v>2550</v>
      </c>
      <c r="F2198" s="11">
        <v>10286</v>
      </c>
      <c r="G2198" s="11">
        <v>10484</v>
      </c>
      <c r="H2198" s="11">
        <v>20770</v>
      </c>
      <c r="I2198" s="11">
        <v>8086</v>
      </c>
    </row>
    <row r="2199" spans="1:9" x14ac:dyDescent="0.2">
      <c r="A2199" s="10">
        <v>6712</v>
      </c>
      <c r="B2199" s="10">
        <v>84</v>
      </c>
      <c r="C2199" s="10" t="s">
        <v>2538</v>
      </c>
      <c r="D2199" s="10">
        <v>8414</v>
      </c>
      <c r="E2199" s="10" t="s">
        <v>2551</v>
      </c>
      <c r="F2199" s="11">
        <v>13791</v>
      </c>
      <c r="G2199" s="11">
        <v>13784</v>
      </c>
      <c r="H2199" s="11">
        <v>27575</v>
      </c>
      <c r="I2199" s="11">
        <v>11781</v>
      </c>
    </row>
    <row r="2200" spans="1:9" x14ac:dyDescent="0.2">
      <c r="A2200" s="10">
        <v>6712</v>
      </c>
      <c r="B2200" s="10">
        <v>84</v>
      </c>
      <c r="C2200" s="10" t="s">
        <v>2538</v>
      </c>
      <c r="D2200" s="10">
        <v>8415</v>
      </c>
      <c r="E2200" s="10" t="s">
        <v>2552</v>
      </c>
      <c r="F2200" s="11">
        <v>8560</v>
      </c>
      <c r="G2200" s="11">
        <v>8833</v>
      </c>
      <c r="H2200" s="11">
        <v>17393</v>
      </c>
      <c r="I2200" s="11">
        <v>7281</v>
      </c>
    </row>
    <row r="2201" spans="1:9" x14ac:dyDescent="0.2">
      <c r="A2201" s="10">
        <v>6712</v>
      </c>
      <c r="B2201" s="10">
        <v>84</v>
      </c>
      <c r="C2201" s="10" t="s">
        <v>2538</v>
      </c>
      <c r="D2201" s="10">
        <v>8416</v>
      </c>
      <c r="E2201" s="10" t="s">
        <v>2553</v>
      </c>
      <c r="F2201" s="11">
        <v>31583</v>
      </c>
      <c r="G2201" s="11">
        <v>31205</v>
      </c>
      <c r="H2201" s="11">
        <v>62788</v>
      </c>
      <c r="I2201" s="11">
        <v>25331</v>
      </c>
    </row>
    <row r="2202" spans="1:9" x14ac:dyDescent="0.2">
      <c r="A2202" s="10">
        <v>6712</v>
      </c>
      <c r="B2202" s="10">
        <v>84</v>
      </c>
      <c r="C2202" s="10" t="s">
        <v>2538</v>
      </c>
      <c r="D2202" s="10">
        <v>8417</v>
      </c>
      <c r="E2202" s="10" t="s">
        <v>2554</v>
      </c>
      <c r="F2202" s="11">
        <v>37668</v>
      </c>
      <c r="G2202" s="11">
        <v>37830</v>
      </c>
      <c r="H2202" s="11">
        <v>75498</v>
      </c>
      <c r="I2202" s="11">
        <v>38068</v>
      </c>
    </row>
    <row r="2203" spans="1:9" x14ac:dyDescent="0.2">
      <c r="A2203" s="10">
        <v>6712</v>
      </c>
      <c r="B2203" s="10">
        <v>84</v>
      </c>
      <c r="C2203" s="10" t="s">
        <v>2538</v>
      </c>
      <c r="D2203" s="10">
        <v>8418</v>
      </c>
      <c r="E2203" s="10" t="s">
        <v>2555</v>
      </c>
      <c r="F2203" s="11">
        <v>14313</v>
      </c>
      <c r="G2203" s="11">
        <v>14090</v>
      </c>
      <c r="H2203" s="11">
        <v>28403</v>
      </c>
      <c r="I2203" s="11">
        <v>12017</v>
      </c>
    </row>
    <row r="2204" spans="1:9" x14ac:dyDescent="0.2">
      <c r="A2204" s="10">
        <v>6712</v>
      </c>
      <c r="B2204" s="10">
        <v>84</v>
      </c>
      <c r="C2204" s="10" t="s">
        <v>2538</v>
      </c>
      <c r="D2204" s="10">
        <v>8419</v>
      </c>
      <c r="E2204" s="10" t="s">
        <v>2556</v>
      </c>
      <c r="F2204" s="11">
        <v>8232</v>
      </c>
      <c r="G2204" s="11">
        <v>7689</v>
      </c>
      <c r="H2204" s="11">
        <v>15921</v>
      </c>
      <c r="I2204" s="11">
        <v>7667</v>
      </c>
    </row>
    <row r="2205" spans="1:9" x14ac:dyDescent="0.2">
      <c r="A2205" s="10">
        <v>6712</v>
      </c>
      <c r="B2205" s="10">
        <v>84</v>
      </c>
      <c r="C2205" s="10" t="s">
        <v>2538</v>
      </c>
      <c r="D2205" s="10">
        <v>8471</v>
      </c>
      <c r="E2205" s="10" t="s">
        <v>2557</v>
      </c>
      <c r="F2205" s="11">
        <v>9771</v>
      </c>
      <c r="G2205" s="11">
        <v>9537</v>
      </c>
      <c r="H2205" s="11">
        <v>19308</v>
      </c>
      <c r="I2205" s="11">
        <v>8130</v>
      </c>
    </row>
    <row r="2206" spans="1:9" x14ac:dyDescent="0.2">
      <c r="A2206" s="10">
        <v>6712</v>
      </c>
      <c r="B2206" s="10">
        <v>84</v>
      </c>
      <c r="C2206" s="10" t="s">
        <v>2538</v>
      </c>
      <c r="D2206" s="10">
        <v>8472</v>
      </c>
      <c r="E2206" s="10" t="s">
        <v>2558</v>
      </c>
      <c r="F2206" s="11">
        <v>4941</v>
      </c>
      <c r="G2206" s="11">
        <v>4899</v>
      </c>
      <c r="H2206" s="11">
        <v>9840</v>
      </c>
      <c r="I2206" s="11">
        <v>3573</v>
      </c>
    </row>
    <row r="2207" spans="1:9" x14ac:dyDescent="0.2">
      <c r="A2207" s="10">
        <v>6712</v>
      </c>
      <c r="B2207" s="10">
        <v>84</v>
      </c>
      <c r="C2207" s="10" t="s">
        <v>2538</v>
      </c>
      <c r="D2207" s="10">
        <v>8473</v>
      </c>
      <c r="E2207" s="10" t="s">
        <v>2116</v>
      </c>
      <c r="F2207" s="11">
        <v>5406</v>
      </c>
      <c r="G2207" s="11">
        <v>5719</v>
      </c>
      <c r="H2207" s="11">
        <v>11125</v>
      </c>
      <c r="I2207" s="11">
        <v>4378</v>
      </c>
    </row>
    <row r="2208" spans="1:9" x14ac:dyDescent="0.2">
      <c r="A2208" s="10">
        <v>6712</v>
      </c>
      <c r="B2208" s="10">
        <v>84</v>
      </c>
      <c r="C2208" s="10" t="s">
        <v>2538</v>
      </c>
      <c r="D2208" s="10">
        <v>8474</v>
      </c>
      <c r="E2208" s="10" t="s">
        <v>2559</v>
      </c>
      <c r="F2208" s="11">
        <v>7429</v>
      </c>
      <c r="G2208" s="11">
        <v>9238</v>
      </c>
      <c r="H2208" s="11">
        <v>16667</v>
      </c>
      <c r="I2208" s="11">
        <v>12007</v>
      </c>
    </row>
    <row r="2209" spans="1:9" x14ac:dyDescent="0.2">
      <c r="A2209" s="10">
        <v>6712</v>
      </c>
      <c r="B2209" s="10">
        <v>84</v>
      </c>
      <c r="C2209" s="10" t="s">
        <v>2538</v>
      </c>
      <c r="D2209" s="10">
        <v>8475</v>
      </c>
      <c r="E2209" s="10" t="s">
        <v>2560</v>
      </c>
      <c r="F2209" s="11">
        <v>5593</v>
      </c>
      <c r="G2209" s="11">
        <v>5648</v>
      </c>
      <c r="H2209" s="11">
        <v>11241</v>
      </c>
      <c r="I2209" s="11">
        <v>4141</v>
      </c>
    </row>
    <row r="2210" spans="1:9" x14ac:dyDescent="0.2">
      <c r="A2210" s="10">
        <v>6712</v>
      </c>
      <c r="B2210" s="10">
        <v>84</v>
      </c>
      <c r="C2210" s="10" t="s">
        <v>2538</v>
      </c>
      <c r="D2210" s="10">
        <v>8476</v>
      </c>
      <c r="E2210" s="10" t="s">
        <v>2561</v>
      </c>
      <c r="F2210" s="11">
        <v>3392</v>
      </c>
      <c r="G2210" s="11">
        <v>3430</v>
      </c>
      <c r="H2210" s="11">
        <v>6822</v>
      </c>
      <c r="I2210" s="11">
        <v>3104</v>
      </c>
    </row>
    <row r="2211" spans="1:9" x14ac:dyDescent="0.2">
      <c r="A2211" s="10">
        <v>6712</v>
      </c>
      <c r="B2211" s="10">
        <v>84</v>
      </c>
      <c r="C2211" s="10" t="s">
        <v>2538</v>
      </c>
      <c r="D2211" s="10">
        <v>8477</v>
      </c>
      <c r="E2211" s="10" t="s">
        <v>2562</v>
      </c>
      <c r="F2211" s="11">
        <v>9950</v>
      </c>
      <c r="G2211" s="11">
        <v>11146</v>
      </c>
      <c r="H2211" s="11">
        <v>21096</v>
      </c>
      <c r="I2211" s="11">
        <v>13336</v>
      </c>
    </row>
    <row r="2212" spans="1:9" x14ac:dyDescent="0.2">
      <c r="A2212" s="10">
        <v>6712</v>
      </c>
      <c r="B2212" s="10">
        <v>84</v>
      </c>
      <c r="C2212" s="10" t="s">
        <v>2538</v>
      </c>
      <c r="D2212" s="10">
        <v>8478</v>
      </c>
      <c r="E2212" s="10" t="s">
        <v>2563</v>
      </c>
      <c r="F2212" s="11">
        <v>8727</v>
      </c>
      <c r="G2212" s="11">
        <v>9015</v>
      </c>
      <c r="H2212" s="11">
        <v>17742</v>
      </c>
      <c r="I2212" s="11">
        <v>7417</v>
      </c>
    </row>
    <row r="2213" spans="1:9" x14ac:dyDescent="0.2">
      <c r="A2213" s="10">
        <v>6712</v>
      </c>
      <c r="B2213" s="10">
        <v>84</v>
      </c>
      <c r="C2213" s="10" t="s">
        <v>2538</v>
      </c>
      <c r="D2213" s="10">
        <v>8479</v>
      </c>
      <c r="E2213" s="10" t="s">
        <v>2564</v>
      </c>
      <c r="F2213" s="11">
        <v>1111</v>
      </c>
      <c r="G2213" s="11">
        <v>1146</v>
      </c>
      <c r="H2213" s="11">
        <v>2257</v>
      </c>
      <c r="I2213" s="11">
        <v>1103</v>
      </c>
    </row>
    <row r="2214" spans="1:9" x14ac:dyDescent="0.2">
      <c r="A2214" s="10">
        <v>6712</v>
      </c>
      <c r="B2214" s="10">
        <v>84</v>
      </c>
      <c r="C2214" s="10" t="s">
        <v>2538</v>
      </c>
      <c r="D2214" s="10">
        <v>8480</v>
      </c>
      <c r="E2214" s="10" t="s">
        <v>2565</v>
      </c>
      <c r="F2214" s="11">
        <v>2077</v>
      </c>
      <c r="G2214" s="11">
        <v>2147</v>
      </c>
      <c r="H2214" s="11">
        <v>4224</v>
      </c>
      <c r="I2214" s="11">
        <v>2093</v>
      </c>
    </row>
    <row r="2215" spans="1:9" x14ac:dyDescent="0.2">
      <c r="A2215" s="10">
        <v>6712</v>
      </c>
      <c r="B2215" s="10">
        <v>84</v>
      </c>
      <c r="C2215" s="10" t="s">
        <v>2538</v>
      </c>
      <c r="D2215" s="10">
        <v>8481</v>
      </c>
      <c r="E2215" s="10" t="s">
        <v>2566</v>
      </c>
      <c r="F2215" s="11">
        <v>4430</v>
      </c>
      <c r="G2215" s="11">
        <v>4993</v>
      </c>
      <c r="H2215" s="11">
        <v>9423</v>
      </c>
      <c r="I2215" s="11">
        <v>5983</v>
      </c>
    </row>
    <row r="2216" spans="1:9" x14ac:dyDescent="0.2">
      <c r="A2216" s="10">
        <v>6712</v>
      </c>
      <c r="B2216" s="10">
        <v>84</v>
      </c>
      <c r="C2216" s="10" t="s">
        <v>2538</v>
      </c>
      <c r="D2216" s="10">
        <v>8482</v>
      </c>
      <c r="E2216" s="10" t="s">
        <v>2567</v>
      </c>
      <c r="F2216" s="10">
        <v>849</v>
      </c>
      <c r="G2216" s="10">
        <v>802</v>
      </c>
      <c r="H2216" s="11">
        <v>1651</v>
      </c>
      <c r="I2216" s="10">
        <v>762</v>
      </c>
    </row>
    <row r="2217" spans="1:9" x14ac:dyDescent="0.2">
      <c r="A2217" s="10">
        <v>6712</v>
      </c>
      <c r="B2217" s="10">
        <v>84</v>
      </c>
      <c r="C2217" s="10" t="s">
        <v>2538</v>
      </c>
      <c r="D2217" s="10">
        <v>8483</v>
      </c>
      <c r="E2217" s="10" t="s">
        <v>703</v>
      </c>
      <c r="F2217" s="11">
        <v>1550</v>
      </c>
      <c r="G2217" s="11">
        <v>1684</v>
      </c>
      <c r="H2217" s="11">
        <v>3234</v>
      </c>
      <c r="I2217" s="11">
        <v>1755</v>
      </c>
    </row>
    <row r="2218" spans="1:9" x14ac:dyDescent="0.2">
      <c r="A2218" s="10">
        <v>6712</v>
      </c>
      <c r="B2218" s="10">
        <v>84</v>
      </c>
      <c r="C2218" s="10" t="s">
        <v>2538</v>
      </c>
      <c r="D2218" s="10">
        <v>8484</v>
      </c>
      <c r="E2218" s="10" t="s">
        <v>2568</v>
      </c>
      <c r="F2218" s="11">
        <v>2235</v>
      </c>
      <c r="G2218" s="11">
        <v>2425</v>
      </c>
      <c r="H2218" s="11">
        <v>4660</v>
      </c>
      <c r="I2218" s="11">
        <v>2018</v>
      </c>
    </row>
    <row r="2219" spans="1:9" x14ac:dyDescent="0.2">
      <c r="A2219" s="10">
        <v>6712</v>
      </c>
      <c r="B2219" s="10">
        <v>84</v>
      </c>
      <c r="C2219" s="10" t="s">
        <v>2538</v>
      </c>
      <c r="D2219" s="10">
        <v>8485</v>
      </c>
      <c r="E2219" s="10" t="s">
        <v>2569</v>
      </c>
      <c r="F2219" s="11">
        <v>2451</v>
      </c>
      <c r="G2219" s="11">
        <v>2469</v>
      </c>
      <c r="H2219" s="11">
        <v>4920</v>
      </c>
      <c r="I2219" s="11">
        <v>2083</v>
      </c>
    </row>
    <row r="2220" spans="1:9" x14ac:dyDescent="0.2">
      <c r="A2220" s="10">
        <v>6712</v>
      </c>
      <c r="B2220" s="10">
        <v>84</v>
      </c>
      <c r="C2220" s="10" t="s">
        <v>2538</v>
      </c>
      <c r="D2220" s="10">
        <v>8486</v>
      </c>
      <c r="E2220" s="10" t="s">
        <v>2570</v>
      </c>
      <c r="F2220" s="11">
        <v>1164</v>
      </c>
      <c r="G2220" s="11">
        <v>1249</v>
      </c>
      <c r="H2220" s="11">
        <v>2413</v>
      </c>
      <c r="I2220" s="11">
        <v>1921</v>
      </c>
    </row>
    <row r="2221" spans="1:9" x14ac:dyDescent="0.2">
      <c r="A2221" s="10">
        <v>6712</v>
      </c>
      <c r="B2221" s="10">
        <v>84</v>
      </c>
      <c r="C2221" s="10" t="s">
        <v>2538</v>
      </c>
      <c r="D2221" s="10">
        <v>8487</v>
      </c>
      <c r="E2221" s="10" t="s">
        <v>2571</v>
      </c>
      <c r="F2221" s="11">
        <v>2282</v>
      </c>
      <c r="G2221" s="11">
        <v>2295</v>
      </c>
      <c r="H2221" s="11">
        <v>4577</v>
      </c>
      <c r="I2221" s="11">
        <v>2091</v>
      </c>
    </row>
    <row r="2222" spans="1:9" x14ac:dyDescent="0.2">
      <c r="A2222" s="10">
        <v>6712</v>
      </c>
      <c r="B2222" s="10">
        <v>84</v>
      </c>
      <c r="C2222" s="10" t="s">
        <v>2538</v>
      </c>
      <c r="D2222" s="10">
        <v>8488</v>
      </c>
      <c r="E2222" s="10" t="s">
        <v>2572</v>
      </c>
      <c r="F2222" s="10">
        <v>924</v>
      </c>
      <c r="G2222" s="10">
        <v>892</v>
      </c>
      <c r="H2222" s="11">
        <v>1816</v>
      </c>
      <c r="I2222" s="11">
        <v>1120</v>
      </c>
    </row>
    <row r="2223" spans="1:9" x14ac:dyDescent="0.2">
      <c r="A2223" s="10">
        <v>6712</v>
      </c>
      <c r="B2223" s="10">
        <v>84</v>
      </c>
      <c r="C2223" s="10" t="s">
        <v>2538</v>
      </c>
      <c r="D2223" s="10">
        <v>8489</v>
      </c>
      <c r="E2223" s="10" t="s">
        <v>2573</v>
      </c>
      <c r="F2223" s="11">
        <v>1357</v>
      </c>
      <c r="G2223" s="11">
        <v>1509</v>
      </c>
      <c r="H2223" s="11">
        <v>2866</v>
      </c>
      <c r="I2223" s="11">
        <v>1837</v>
      </c>
    </row>
    <row r="2224" spans="1:9" x14ac:dyDescent="0.2">
      <c r="A2224" s="10">
        <v>6712</v>
      </c>
      <c r="B2224" s="10">
        <v>84</v>
      </c>
      <c r="C2224" s="10" t="s">
        <v>2538</v>
      </c>
      <c r="D2224" s="10">
        <v>8490</v>
      </c>
      <c r="E2224" s="10" t="s">
        <v>2574</v>
      </c>
      <c r="F2224" s="11">
        <v>3827</v>
      </c>
      <c r="G2224" s="11">
        <v>3999</v>
      </c>
      <c r="H2224" s="11">
        <v>7826</v>
      </c>
      <c r="I2224" s="11">
        <v>2972</v>
      </c>
    </row>
    <row r="2225" spans="1:9" x14ac:dyDescent="0.2">
      <c r="A2225" s="10">
        <v>6712</v>
      </c>
      <c r="B2225" s="10">
        <v>84</v>
      </c>
      <c r="C2225" s="10" t="s">
        <v>2538</v>
      </c>
      <c r="D2225" s="10">
        <v>8491</v>
      </c>
      <c r="E2225" s="10" t="s">
        <v>2575</v>
      </c>
      <c r="F2225" s="11">
        <v>2347</v>
      </c>
      <c r="G2225" s="11">
        <v>2669</v>
      </c>
      <c r="H2225" s="11">
        <v>5016</v>
      </c>
      <c r="I2225" s="11">
        <v>3045</v>
      </c>
    </row>
    <row r="2226" spans="1:9" x14ac:dyDescent="0.2">
      <c r="A2226" s="10">
        <v>6712</v>
      </c>
      <c r="B2226" s="10">
        <v>84</v>
      </c>
      <c r="C2226" s="10" t="s">
        <v>2538</v>
      </c>
      <c r="D2226" s="10">
        <v>8492</v>
      </c>
      <c r="E2226" s="10" t="s">
        <v>2576</v>
      </c>
      <c r="F2226" s="11">
        <v>4059</v>
      </c>
      <c r="G2226" s="11">
        <v>4121</v>
      </c>
      <c r="H2226" s="11">
        <v>8180</v>
      </c>
      <c r="I2226" s="11">
        <v>6452</v>
      </c>
    </row>
    <row r="2227" spans="1:9" x14ac:dyDescent="0.2">
      <c r="A2227" s="10">
        <v>6712</v>
      </c>
      <c r="B2227" s="10">
        <v>84</v>
      </c>
      <c r="C2227" s="10" t="s">
        <v>2538</v>
      </c>
      <c r="D2227" s="10">
        <v>8493</v>
      </c>
      <c r="E2227" s="10" t="s">
        <v>2577</v>
      </c>
      <c r="F2227" s="11">
        <v>33390</v>
      </c>
      <c r="G2227" s="11">
        <v>36299</v>
      </c>
      <c r="H2227" s="11">
        <v>69689</v>
      </c>
      <c r="I2227" s="11">
        <v>61602</v>
      </c>
    </row>
    <row r="2228" spans="1:9" x14ac:dyDescent="0.2">
      <c r="A2228" s="10">
        <v>6712</v>
      </c>
      <c r="B2228" s="10">
        <v>84</v>
      </c>
      <c r="C2228" s="10" t="s">
        <v>2538</v>
      </c>
      <c r="D2228" s="10">
        <v>8494</v>
      </c>
      <c r="E2228" s="10" t="s">
        <v>2578</v>
      </c>
      <c r="F2228" s="11">
        <v>5919</v>
      </c>
      <c r="G2228" s="11">
        <v>6199</v>
      </c>
      <c r="H2228" s="11">
        <v>12118</v>
      </c>
      <c r="I2228" s="11">
        <v>6109</v>
      </c>
    </row>
    <row r="2229" spans="1:9" x14ac:dyDescent="0.2">
      <c r="A2229" s="10">
        <v>6712</v>
      </c>
      <c r="B2229" s="10">
        <v>84</v>
      </c>
      <c r="C2229" s="10" t="s">
        <v>2538</v>
      </c>
      <c r="D2229" s="10">
        <v>8495</v>
      </c>
      <c r="E2229" s="10" t="s">
        <v>2579</v>
      </c>
      <c r="F2229" s="11">
        <v>3575</v>
      </c>
      <c r="G2229" s="11">
        <v>3633</v>
      </c>
      <c r="H2229" s="11">
        <v>7208</v>
      </c>
      <c r="I2229" s="11">
        <v>3336</v>
      </c>
    </row>
    <row r="2230" spans="1:9" x14ac:dyDescent="0.2">
      <c r="A2230" s="10">
        <v>6712</v>
      </c>
      <c r="B2230" s="10">
        <v>84</v>
      </c>
      <c r="C2230" s="10" t="s">
        <v>2538</v>
      </c>
      <c r="D2230" s="10">
        <v>8496</v>
      </c>
      <c r="E2230" s="10" t="s">
        <v>2580</v>
      </c>
      <c r="F2230" s="11">
        <v>4452</v>
      </c>
      <c r="G2230" s="11">
        <v>4836</v>
      </c>
      <c r="H2230" s="11">
        <v>9288</v>
      </c>
      <c r="I2230" s="11">
        <v>4989</v>
      </c>
    </row>
    <row r="2231" spans="1:9" x14ac:dyDescent="0.2">
      <c r="A2231" s="10">
        <v>6712</v>
      </c>
      <c r="B2231" s="10">
        <v>84</v>
      </c>
      <c r="C2231" s="10" t="s">
        <v>2538</v>
      </c>
      <c r="D2231" s="10">
        <v>8497</v>
      </c>
      <c r="E2231" s="10" t="s">
        <v>2581</v>
      </c>
      <c r="F2231" s="11">
        <v>8526</v>
      </c>
      <c r="G2231" s="11">
        <v>9166</v>
      </c>
      <c r="H2231" s="11">
        <v>17692</v>
      </c>
      <c r="I2231" s="11">
        <v>9232</v>
      </c>
    </row>
    <row r="2232" spans="1:9" x14ac:dyDescent="0.2">
      <c r="A2232" s="10">
        <v>6712</v>
      </c>
      <c r="B2232" s="10">
        <v>84</v>
      </c>
      <c r="C2232" s="10" t="s">
        <v>2538</v>
      </c>
      <c r="D2232" s="10">
        <v>8498</v>
      </c>
      <c r="E2232" s="10" t="s">
        <v>2582</v>
      </c>
      <c r="F2232" s="11">
        <v>9254</v>
      </c>
      <c r="G2232" s="11">
        <v>9729</v>
      </c>
      <c r="H2232" s="11">
        <v>18983</v>
      </c>
      <c r="I2232" s="11">
        <v>8609</v>
      </c>
    </row>
    <row r="2233" spans="1:9" x14ac:dyDescent="0.2">
      <c r="A2233" s="10">
        <v>6712</v>
      </c>
      <c r="B2233" s="10">
        <v>84</v>
      </c>
      <c r="C2233" s="10" t="s">
        <v>2538</v>
      </c>
      <c r="D2233" s="10">
        <v>8499</v>
      </c>
      <c r="E2233" s="10" t="s">
        <v>2583</v>
      </c>
      <c r="F2233" s="11">
        <v>61825</v>
      </c>
      <c r="G2233" s="11">
        <v>69060</v>
      </c>
      <c r="H2233" s="11">
        <v>130885</v>
      </c>
      <c r="I2233" s="11">
        <v>79259</v>
      </c>
    </row>
    <row r="2234" spans="1:9" x14ac:dyDescent="0.2">
      <c r="A2234" s="10">
        <v>6712</v>
      </c>
      <c r="B2234" s="10">
        <v>85</v>
      </c>
      <c r="C2234" s="10" t="s">
        <v>2584</v>
      </c>
      <c r="D2234" s="10">
        <v>8501</v>
      </c>
      <c r="E2234" s="10" t="s">
        <v>2585</v>
      </c>
      <c r="F2234" s="11">
        <v>35589</v>
      </c>
      <c r="G2234" s="11">
        <v>35295</v>
      </c>
      <c r="H2234" s="11">
        <v>70884</v>
      </c>
      <c r="I2234" s="11">
        <v>40595</v>
      </c>
    </row>
    <row r="2235" spans="1:9" x14ac:dyDescent="0.2">
      <c r="A2235" s="10">
        <v>6712</v>
      </c>
      <c r="B2235" s="10">
        <v>85</v>
      </c>
      <c r="C2235" s="10" t="s">
        <v>2584</v>
      </c>
      <c r="D2235" s="10">
        <v>8502</v>
      </c>
      <c r="E2235" s="10" t="s">
        <v>2586</v>
      </c>
      <c r="F2235" s="11">
        <v>6413</v>
      </c>
      <c r="G2235" s="11">
        <v>6238</v>
      </c>
      <c r="H2235" s="11">
        <v>12651</v>
      </c>
      <c r="I2235" s="11">
        <v>5838</v>
      </c>
    </row>
    <row r="2236" spans="1:9" x14ac:dyDescent="0.2">
      <c r="A2236" s="10">
        <v>6712</v>
      </c>
      <c r="B2236" s="10">
        <v>85</v>
      </c>
      <c r="C2236" s="10" t="s">
        <v>2584</v>
      </c>
      <c r="D2236" s="10">
        <v>8503</v>
      </c>
      <c r="E2236" s="10" t="s">
        <v>2587</v>
      </c>
      <c r="F2236" s="11">
        <v>10441</v>
      </c>
      <c r="G2236" s="11">
        <v>10188</v>
      </c>
      <c r="H2236" s="11">
        <v>20629</v>
      </c>
      <c r="I2236" s="11">
        <v>8463</v>
      </c>
    </row>
    <row r="2237" spans="1:9" x14ac:dyDescent="0.2">
      <c r="A2237" s="10">
        <v>6712</v>
      </c>
      <c r="B2237" s="10">
        <v>85</v>
      </c>
      <c r="C2237" s="10" t="s">
        <v>2584</v>
      </c>
      <c r="D2237" s="10">
        <v>8504</v>
      </c>
      <c r="E2237" s="10" t="s">
        <v>2588</v>
      </c>
      <c r="F2237" s="11">
        <v>22683</v>
      </c>
      <c r="G2237" s="11">
        <v>21923</v>
      </c>
      <c r="H2237" s="11">
        <v>44606</v>
      </c>
      <c r="I2237" s="11">
        <v>23388</v>
      </c>
    </row>
    <row r="2238" spans="1:9" x14ac:dyDescent="0.2">
      <c r="A2238" s="10">
        <v>6712</v>
      </c>
      <c r="B2238" s="10">
        <v>85</v>
      </c>
      <c r="C2238" s="10" t="s">
        <v>2584</v>
      </c>
      <c r="D2238" s="10">
        <v>8505</v>
      </c>
      <c r="E2238" s="10" t="s">
        <v>2589</v>
      </c>
      <c r="F2238" s="11">
        <v>7389</v>
      </c>
      <c r="G2238" s="11">
        <v>7461</v>
      </c>
      <c r="H2238" s="11">
        <v>14850</v>
      </c>
      <c r="I2238" s="11">
        <v>4845</v>
      </c>
    </row>
    <row r="2239" spans="1:9" x14ac:dyDescent="0.2">
      <c r="A2239" s="10">
        <v>6712</v>
      </c>
      <c r="B2239" s="10">
        <v>85</v>
      </c>
      <c r="C2239" s="10" t="s">
        <v>2584</v>
      </c>
      <c r="D2239" s="10">
        <v>8594</v>
      </c>
      <c r="E2239" s="10" t="s">
        <v>2590</v>
      </c>
      <c r="F2239" s="11">
        <v>1697</v>
      </c>
      <c r="G2239" s="11">
        <v>1744</v>
      </c>
      <c r="H2239" s="11">
        <v>3441</v>
      </c>
      <c r="I2239" s="11">
        <v>2010</v>
      </c>
    </row>
    <row r="2240" spans="1:9" x14ac:dyDescent="0.2">
      <c r="A2240" s="10">
        <v>6712</v>
      </c>
      <c r="B2240" s="10">
        <v>85</v>
      </c>
      <c r="C2240" s="10" t="s">
        <v>2584</v>
      </c>
      <c r="D2240" s="10">
        <v>8595</v>
      </c>
      <c r="E2240" s="10" t="s">
        <v>2591</v>
      </c>
      <c r="F2240" s="10">
        <v>765</v>
      </c>
      <c r="G2240" s="10">
        <v>798</v>
      </c>
      <c r="H2240" s="11">
        <v>1563</v>
      </c>
      <c r="I2240" s="10">
        <v>687</v>
      </c>
    </row>
    <row r="2241" spans="1:9" x14ac:dyDescent="0.2">
      <c r="A2241" s="10">
        <v>6712</v>
      </c>
      <c r="B2241" s="10">
        <v>85</v>
      </c>
      <c r="C2241" s="10" t="s">
        <v>2584</v>
      </c>
      <c r="D2241" s="10">
        <v>8596</v>
      </c>
      <c r="E2241" s="10" t="s">
        <v>2592</v>
      </c>
      <c r="F2241" s="11">
        <v>1344</v>
      </c>
      <c r="G2241" s="11">
        <v>1287</v>
      </c>
      <c r="H2241" s="11">
        <v>2631</v>
      </c>
      <c r="I2241" s="11">
        <v>1244</v>
      </c>
    </row>
    <row r="2242" spans="1:9" x14ac:dyDescent="0.2">
      <c r="A2242" s="10">
        <v>6712</v>
      </c>
      <c r="B2242" s="10">
        <v>85</v>
      </c>
      <c r="C2242" s="10" t="s">
        <v>2584</v>
      </c>
      <c r="D2242" s="10">
        <v>8597</v>
      </c>
      <c r="E2242" s="10" t="s">
        <v>2593</v>
      </c>
      <c r="F2242" s="11">
        <v>1159</v>
      </c>
      <c r="G2242" s="11">
        <v>1259</v>
      </c>
      <c r="H2242" s="11">
        <v>2418</v>
      </c>
      <c r="I2242" s="11">
        <v>1131</v>
      </c>
    </row>
    <row r="2243" spans="1:9" x14ac:dyDescent="0.2">
      <c r="A2243" s="10">
        <v>6712</v>
      </c>
      <c r="B2243" s="10">
        <v>85</v>
      </c>
      <c r="C2243" s="10" t="s">
        <v>2584</v>
      </c>
      <c r="D2243" s="10">
        <v>8598</v>
      </c>
      <c r="E2243" s="10" t="s">
        <v>814</v>
      </c>
      <c r="F2243" s="11">
        <v>1220</v>
      </c>
      <c r="G2243" s="11">
        <v>1125</v>
      </c>
      <c r="H2243" s="11">
        <v>2345</v>
      </c>
      <c r="I2243" s="11">
        <v>1836</v>
      </c>
    </row>
    <row r="2244" spans="1:9" x14ac:dyDescent="0.2">
      <c r="A2244" s="10">
        <v>6712</v>
      </c>
      <c r="B2244" s="10">
        <v>85</v>
      </c>
      <c r="C2244" s="10" t="s">
        <v>2584</v>
      </c>
      <c r="D2244" s="10">
        <v>8599</v>
      </c>
      <c r="E2244" s="10" t="s">
        <v>2594</v>
      </c>
      <c r="F2244" s="11">
        <v>8244</v>
      </c>
      <c r="G2244" s="11">
        <v>8665</v>
      </c>
      <c r="H2244" s="11">
        <v>16909</v>
      </c>
      <c r="I2244" s="11">
        <v>8333</v>
      </c>
    </row>
    <row r="2245" spans="1:9" x14ac:dyDescent="0.2">
      <c r="A2245" s="10">
        <v>6712</v>
      </c>
      <c r="B2245" s="10">
        <v>86</v>
      </c>
      <c r="C2245" s="10" t="s">
        <v>2595</v>
      </c>
      <c r="D2245" s="10">
        <v>8601</v>
      </c>
      <c r="E2245" s="10" t="s">
        <v>2596</v>
      </c>
      <c r="F2245" s="11">
        <v>46282</v>
      </c>
      <c r="G2245" s="11">
        <v>47336</v>
      </c>
      <c r="H2245" s="11">
        <v>93618</v>
      </c>
      <c r="I2245" s="11">
        <v>47513</v>
      </c>
    </row>
    <row r="2246" spans="1:9" x14ac:dyDescent="0.2">
      <c r="A2246" s="10">
        <v>6712</v>
      </c>
      <c r="B2246" s="10">
        <v>86</v>
      </c>
      <c r="C2246" s="10" t="s">
        <v>2595</v>
      </c>
      <c r="D2246" s="10">
        <v>8602</v>
      </c>
      <c r="E2246" s="10" t="s">
        <v>2597</v>
      </c>
      <c r="F2246" s="11">
        <v>41279</v>
      </c>
      <c r="G2246" s="11">
        <v>41506</v>
      </c>
      <c r="H2246" s="11">
        <v>82785</v>
      </c>
      <c r="I2246" s="11">
        <v>37440</v>
      </c>
    </row>
    <row r="2247" spans="1:9" x14ac:dyDescent="0.2">
      <c r="A2247" s="10">
        <v>6712</v>
      </c>
      <c r="B2247" s="10">
        <v>86</v>
      </c>
      <c r="C2247" s="10" t="s">
        <v>2595</v>
      </c>
      <c r="D2247" s="10">
        <v>8603</v>
      </c>
      <c r="E2247" s="10" t="s">
        <v>2598</v>
      </c>
      <c r="F2247" s="11">
        <v>19659</v>
      </c>
      <c r="G2247" s="11">
        <v>20161</v>
      </c>
      <c r="H2247" s="11">
        <v>39820</v>
      </c>
      <c r="I2247" s="11">
        <v>19062</v>
      </c>
    </row>
    <row r="2248" spans="1:9" x14ac:dyDescent="0.2">
      <c r="A2248" s="10">
        <v>6712</v>
      </c>
      <c r="B2248" s="10">
        <v>86</v>
      </c>
      <c r="C2248" s="10" t="s">
        <v>2595</v>
      </c>
      <c r="D2248" s="10">
        <v>8604</v>
      </c>
      <c r="E2248" s="10" t="s">
        <v>2599</v>
      </c>
      <c r="F2248" s="11">
        <v>27594</v>
      </c>
      <c r="G2248" s="11">
        <v>28722</v>
      </c>
      <c r="H2248" s="11">
        <v>56316</v>
      </c>
      <c r="I2248" s="11">
        <v>26186</v>
      </c>
    </row>
    <row r="2249" spans="1:9" x14ac:dyDescent="0.2">
      <c r="A2249" s="10">
        <v>6712</v>
      </c>
      <c r="B2249" s="10">
        <v>86</v>
      </c>
      <c r="C2249" s="10" t="s">
        <v>2595</v>
      </c>
      <c r="D2249" s="10">
        <v>8605</v>
      </c>
      <c r="E2249" s="10" t="s">
        <v>2600</v>
      </c>
      <c r="F2249" s="11">
        <v>12994</v>
      </c>
      <c r="G2249" s="11">
        <v>12964</v>
      </c>
      <c r="H2249" s="11">
        <v>25958</v>
      </c>
      <c r="I2249" s="11">
        <v>12433</v>
      </c>
    </row>
    <row r="2250" spans="1:9" x14ac:dyDescent="0.2">
      <c r="A2250" s="10">
        <v>6712</v>
      </c>
      <c r="B2250" s="10">
        <v>86</v>
      </c>
      <c r="C2250" s="10" t="s">
        <v>2595</v>
      </c>
      <c r="D2250" s="10">
        <v>8606</v>
      </c>
      <c r="E2250" s="10" t="s">
        <v>2601</v>
      </c>
      <c r="F2250" s="11">
        <v>11829</v>
      </c>
      <c r="G2250" s="11">
        <v>11426</v>
      </c>
      <c r="H2250" s="11">
        <v>23255</v>
      </c>
      <c r="I2250" s="11">
        <v>11354</v>
      </c>
    </row>
    <row r="2251" spans="1:9" x14ac:dyDescent="0.2">
      <c r="A2251" s="10">
        <v>6712</v>
      </c>
      <c r="B2251" s="10">
        <v>86</v>
      </c>
      <c r="C2251" s="10" t="s">
        <v>2595</v>
      </c>
      <c r="D2251" s="10">
        <v>8607</v>
      </c>
      <c r="E2251" s="10" t="s">
        <v>2602</v>
      </c>
      <c r="F2251" s="11">
        <v>34696</v>
      </c>
      <c r="G2251" s="11">
        <v>35098</v>
      </c>
      <c r="H2251" s="11">
        <v>69794</v>
      </c>
      <c r="I2251" s="11">
        <v>33712</v>
      </c>
    </row>
    <row r="2252" spans="1:9" x14ac:dyDescent="0.2">
      <c r="A2252" s="10">
        <v>6712</v>
      </c>
      <c r="B2252" s="10">
        <v>86</v>
      </c>
      <c r="C2252" s="10" t="s">
        <v>2595</v>
      </c>
      <c r="D2252" s="10">
        <v>8608</v>
      </c>
      <c r="E2252" s="10" t="s">
        <v>2603</v>
      </c>
      <c r="F2252" s="11">
        <v>10881</v>
      </c>
      <c r="G2252" s="11">
        <v>10855</v>
      </c>
      <c r="H2252" s="11">
        <v>21736</v>
      </c>
      <c r="I2252" s="11">
        <v>10400</v>
      </c>
    </row>
    <row r="2253" spans="1:9" x14ac:dyDescent="0.2">
      <c r="A2253" s="10">
        <v>6712</v>
      </c>
      <c r="B2253" s="10">
        <v>86</v>
      </c>
      <c r="C2253" s="10" t="s">
        <v>2595</v>
      </c>
      <c r="D2253" s="10">
        <v>8685</v>
      </c>
      <c r="E2253" s="10" t="s">
        <v>2604</v>
      </c>
      <c r="F2253" s="11">
        <v>5037</v>
      </c>
      <c r="G2253" s="11">
        <v>5312</v>
      </c>
      <c r="H2253" s="11">
        <v>10349</v>
      </c>
      <c r="I2253" s="11">
        <v>4985</v>
      </c>
    </row>
    <row r="2254" spans="1:9" x14ac:dyDescent="0.2">
      <c r="A2254" s="10">
        <v>6712</v>
      </c>
      <c r="B2254" s="10">
        <v>86</v>
      </c>
      <c r="C2254" s="10" t="s">
        <v>2595</v>
      </c>
      <c r="D2254" s="10">
        <v>8686</v>
      </c>
      <c r="E2254" s="10" t="s">
        <v>2605</v>
      </c>
      <c r="F2254" s="11">
        <v>2027</v>
      </c>
      <c r="G2254" s="11">
        <v>1986</v>
      </c>
      <c r="H2254" s="11">
        <v>4013</v>
      </c>
      <c r="I2254" s="11">
        <v>1719</v>
      </c>
    </row>
    <row r="2255" spans="1:9" x14ac:dyDescent="0.2">
      <c r="A2255" s="10">
        <v>6712</v>
      </c>
      <c r="B2255" s="10">
        <v>86</v>
      </c>
      <c r="C2255" s="10" t="s">
        <v>2595</v>
      </c>
      <c r="D2255" s="10">
        <v>8687</v>
      </c>
      <c r="E2255" s="10" t="s">
        <v>1003</v>
      </c>
      <c r="F2255" s="11">
        <v>1348</v>
      </c>
      <c r="G2255" s="11">
        <v>1535</v>
      </c>
      <c r="H2255" s="11">
        <v>2883</v>
      </c>
      <c r="I2255" s="11">
        <v>1726</v>
      </c>
    </row>
    <row r="2256" spans="1:9" x14ac:dyDescent="0.2">
      <c r="A2256" s="10">
        <v>6712</v>
      </c>
      <c r="B2256" s="10">
        <v>86</v>
      </c>
      <c r="C2256" s="10" t="s">
        <v>2595</v>
      </c>
      <c r="D2256" s="10">
        <v>8688</v>
      </c>
      <c r="E2256" s="10" t="s">
        <v>2606</v>
      </c>
      <c r="F2256" s="10">
        <v>760</v>
      </c>
      <c r="G2256" s="10">
        <v>753</v>
      </c>
      <c r="H2256" s="11">
        <v>1513</v>
      </c>
      <c r="I2256" s="10">
        <v>717</v>
      </c>
    </row>
    <row r="2257" spans="1:9" x14ac:dyDescent="0.2">
      <c r="A2257" s="10">
        <v>6712</v>
      </c>
      <c r="B2257" s="10">
        <v>86</v>
      </c>
      <c r="C2257" s="10" t="s">
        <v>2595</v>
      </c>
      <c r="D2257" s="10">
        <v>8689</v>
      </c>
      <c r="E2257" s="10" t="s">
        <v>2607</v>
      </c>
      <c r="F2257" s="11">
        <v>1582</v>
      </c>
      <c r="G2257" s="11">
        <v>1701</v>
      </c>
      <c r="H2257" s="11">
        <v>3283</v>
      </c>
      <c r="I2257" s="11">
        <v>2038</v>
      </c>
    </row>
    <row r="2258" spans="1:9" x14ac:dyDescent="0.2">
      <c r="A2258" s="10">
        <v>6712</v>
      </c>
      <c r="B2258" s="10">
        <v>86</v>
      </c>
      <c r="C2258" s="10" t="s">
        <v>2595</v>
      </c>
      <c r="D2258" s="10">
        <v>8690</v>
      </c>
      <c r="E2258" s="10" t="s">
        <v>2608</v>
      </c>
      <c r="F2258" s="11">
        <v>3105</v>
      </c>
      <c r="G2258" s="11">
        <v>3201</v>
      </c>
      <c r="H2258" s="11">
        <v>6306</v>
      </c>
      <c r="I2258" s="11">
        <v>3210</v>
      </c>
    </row>
    <row r="2259" spans="1:9" x14ac:dyDescent="0.2">
      <c r="A2259" s="10">
        <v>6712</v>
      </c>
      <c r="B2259" s="10">
        <v>86</v>
      </c>
      <c r="C2259" s="10" t="s">
        <v>2595</v>
      </c>
      <c r="D2259" s="10">
        <v>8691</v>
      </c>
      <c r="E2259" s="10" t="s">
        <v>2609</v>
      </c>
      <c r="F2259" s="11">
        <v>1030</v>
      </c>
      <c r="G2259" s="11">
        <v>1101</v>
      </c>
      <c r="H2259" s="11">
        <v>2131</v>
      </c>
      <c r="I2259" s="11">
        <v>1212</v>
      </c>
    </row>
    <row r="2260" spans="1:9" x14ac:dyDescent="0.2">
      <c r="A2260" s="10">
        <v>6712</v>
      </c>
      <c r="B2260" s="10">
        <v>86</v>
      </c>
      <c r="C2260" s="10" t="s">
        <v>2595</v>
      </c>
      <c r="D2260" s="10">
        <v>8692</v>
      </c>
      <c r="E2260" s="10" t="s">
        <v>2610</v>
      </c>
      <c r="F2260" s="11">
        <v>1740</v>
      </c>
      <c r="G2260" s="11">
        <v>1810</v>
      </c>
      <c r="H2260" s="11">
        <v>3550</v>
      </c>
      <c r="I2260" s="11">
        <v>2307</v>
      </c>
    </row>
    <row r="2261" spans="1:9" x14ac:dyDescent="0.2">
      <c r="A2261" s="10">
        <v>6712</v>
      </c>
      <c r="B2261" s="10">
        <v>86</v>
      </c>
      <c r="C2261" s="10" t="s">
        <v>2595</v>
      </c>
      <c r="D2261" s="10">
        <v>8693</v>
      </c>
      <c r="E2261" s="10" t="s">
        <v>2611</v>
      </c>
      <c r="F2261" s="10">
        <v>582</v>
      </c>
      <c r="G2261" s="10">
        <v>657</v>
      </c>
      <c r="H2261" s="11">
        <v>1239</v>
      </c>
      <c r="I2261" s="10">
        <v>908</v>
      </c>
    </row>
    <row r="2262" spans="1:9" x14ac:dyDescent="0.2">
      <c r="A2262" s="10">
        <v>6712</v>
      </c>
      <c r="B2262" s="10">
        <v>86</v>
      </c>
      <c r="C2262" s="10" t="s">
        <v>2595</v>
      </c>
      <c r="D2262" s="10">
        <v>8694</v>
      </c>
      <c r="E2262" s="10" t="s">
        <v>2612</v>
      </c>
      <c r="F2262" s="10">
        <v>920</v>
      </c>
      <c r="G2262" s="10">
        <v>959</v>
      </c>
      <c r="H2262" s="11">
        <v>1879</v>
      </c>
      <c r="I2262" s="11">
        <v>1346</v>
      </c>
    </row>
    <row r="2263" spans="1:9" x14ac:dyDescent="0.2">
      <c r="A2263" s="10">
        <v>6712</v>
      </c>
      <c r="B2263" s="10">
        <v>86</v>
      </c>
      <c r="C2263" s="10" t="s">
        <v>2595</v>
      </c>
      <c r="D2263" s="10">
        <v>8695</v>
      </c>
      <c r="E2263" s="10" t="s">
        <v>2613</v>
      </c>
      <c r="F2263" s="10">
        <v>938</v>
      </c>
      <c r="G2263" s="11">
        <v>1046</v>
      </c>
      <c r="H2263" s="11">
        <v>1984</v>
      </c>
      <c r="I2263" s="11">
        <v>1439</v>
      </c>
    </row>
    <row r="2264" spans="1:9" x14ac:dyDescent="0.2">
      <c r="A2264" s="10">
        <v>6712</v>
      </c>
      <c r="B2264" s="10">
        <v>86</v>
      </c>
      <c r="C2264" s="10" t="s">
        <v>2595</v>
      </c>
      <c r="D2264" s="10">
        <v>8696</v>
      </c>
      <c r="E2264" s="10" t="s">
        <v>2614</v>
      </c>
      <c r="F2264" s="11">
        <v>3184</v>
      </c>
      <c r="G2264" s="11">
        <v>3513</v>
      </c>
      <c r="H2264" s="11">
        <v>6697</v>
      </c>
      <c r="I2264" s="11">
        <v>4920</v>
      </c>
    </row>
    <row r="2265" spans="1:9" x14ac:dyDescent="0.2">
      <c r="A2265" s="10">
        <v>6712</v>
      </c>
      <c r="B2265" s="10">
        <v>86</v>
      </c>
      <c r="C2265" s="10" t="s">
        <v>2595</v>
      </c>
      <c r="D2265" s="10">
        <v>8697</v>
      </c>
      <c r="E2265" s="10" t="s">
        <v>2615</v>
      </c>
      <c r="F2265" s="11">
        <v>2894</v>
      </c>
      <c r="G2265" s="11">
        <v>3044</v>
      </c>
      <c r="H2265" s="11">
        <v>5938</v>
      </c>
      <c r="I2265" s="11">
        <v>3466</v>
      </c>
    </row>
    <row r="2266" spans="1:9" x14ac:dyDescent="0.2">
      <c r="A2266" s="10">
        <v>6712</v>
      </c>
      <c r="B2266" s="10">
        <v>86</v>
      </c>
      <c r="C2266" s="10" t="s">
        <v>2595</v>
      </c>
      <c r="D2266" s="10">
        <v>8698</v>
      </c>
      <c r="E2266" s="10" t="s">
        <v>2616</v>
      </c>
      <c r="F2266" s="11">
        <v>5050</v>
      </c>
      <c r="G2266" s="11">
        <v>5808</v>
      </c>
      <c r="H2266" s="11">
        <v>10858</v>
      </c>
      <c r="I2266" s="11">
        <v>7243</v>
      </c>
    </row>
    <row r="2267" spans="1:9" x14ac:dyDescent="0.2">
      <c r="A2267" s="10">
        <v>6712</v>
      </c>
      <c r="B2267" s="10">
        <v>86</v>
      </c>
      <c r="C2267" s="10" t="s">
        <v>2595</v>
      </c>
      <c r="D2267" s="10">
        <v>8699</v>
      </c>
      <c r="E2267" s="10" t="s">
        <v>2617</v>
      </c>
      <c r="F2267" s="11">
        <v>14856</v>
      </c>
      <c r="G2267" s="11">
        <v>17292</v>
      </c>
      <c r="H2267" s="11">
        <v>32148</v>
      </c>
      <c r="I2267" s="11">
        <v>20812</v>
      </c>
    </row>
    <row r="2268" spans="1:9" x14ac:dyDescent="0.2">
      <c r="A2268" s="10">
        <v>6712</v>
      </c>
      <c r="B2268" s="10">
        <v>90</v>
      </c>
      <c r="C2268" s="10" t="s">
        <v>2618</v>
      </c>
      <c r="D2268" s="10">
        <v>9001</v>
      </c>
      <c r="E2268" s="10" t="s">
        <v>2619</v>
      </c>
      <c r="F2268" s="11">
        <v>7272</v>
      </c>
      <c r="G2268" s="11">
        <v>7930</v>
      </c>
      <c r="H2268" s="11">
        <v>15202</v>
      </c>
      <c r="I2268" s="11">
        <v>5918</v>
      </c>
    </row>
    <row r="2269" spans="1:9" x14ac:dyDescent="0.2">
      <c r="A2269" s="10">
        <v>6712</v>
      </c>
      <c r="B2269" s="10">
        <v>90</v>
      </c>
      <c r="C2269" s="10" t="s">
        <v>2618</v>
      </c>
      <c r="D2269" s="10">
        <v>9002</v>
      </c>
      <c r="E2269" s="10" t="s">
        <v>2620</v>
      </c>
      <c r="F2269" s="11">
        <v>21446</v>
      </c>
      <c r="G2269" s="11">
        <v>22447</v>
      </c>
      <c r="H2269" s="11">
        <v>43893</v>
      </c>
      <c r="I2269" s="11">
        <v>14551</v>
      </c>
    </row>
    <row r="2270" spans="1:9" x14ac:dyDescent="0.2">
      <c r="A2270" s="10">
        <v>6712</v>
      </c>
      <c r="B2270" s="10">
        <v>90</v>
      </c>
      <c r="C2270" s="10" t="s">
        <v>2618</v>
      </c>
      <c r="D2270" s="10">
        <v>9003</v>
      </c>
      <c r="E2270" s="10" t="s">
        <v>2621</v>
      </c>
      <c r="F2270" s="11">
        <v>50876</v>
      </c>
      <c r="G2270" s="11">
        <v>51458</v>
      </c>
      <c r="H2270" s="11">
        <v>102334</v>
      </c>
      <c r="I2270" s="11">
        <v>29763</v>
      </c>
    </row>
    <row r="2271" spans="1:9" x14ac:dyDescent="0.2">
      <c r="A2271" s="10">
        <v>6712</v>
      </c>
      <c r="B2271" s="10">
        <v>90</v>
      </c>
      <c r="C2271" s="10" t="s">
        <v>2618</v>
      </c>
      <c r="D2271" s="10">
        <v>9004</v>
      </c>
      <c r="E2271" s="10" t="s">
        <v>2622</v>
      </c>
      <c r="F2271" s="11">
        <v>31791</v>
      </c>
      <c r="G2271" s="11">
        <v>31167</v>
      </c>
      <c r="H2271" s="11">
        <v>62958</v>
      </c>
      <c r="I2271" s="11">
        <v>20460</v>
      </c>
    </row>
    <row r="2272" spans="1:9" x14ac:dyDescent="0.2">
      <c r="A2272" s="10">
        <v>6712</v>
      </c>
      <c r="B2272" s="10">
        <v>90</v>
      </c>
      <c r="C2272" s="10" t="s">
        <v>2618</v>
      </c>
      <c r="D2272" s="10">
        <v>9005</v>
      </c>
      <c r="E2272" s="10" t="s">
        <v>2623</v>
      </c>
      <c r="F2272" s="11">
        <v>30974</v>
      </c>
      <c r="G2272" s="11">
        <v>29515</v>
      </c>
      <c r="H2272" s="11">
        <v>60489</v>
      </c>
      <c r="I2272" s="11">
        <v>17541</v>
      </c>
    </row>
    <row r="2273" spans="1:9" x14ac:dyDescent="0.2">
      <c r="A2273" s="10">
        <v>6712</v>
      </c>
      <c r="B2273" s="10">
        <v>90</v>
      </c>
      <c r="C2273" s="10" t="s">
        <v>2618</v>
      </c>
      <c r="D2273" s="10">
        <v>9006</v>
      </c>
      <c r="E2273" s="10" t="s">
        <v>2624</v>
      </c>
      <c r="F2273" s="11">
        <v>40468</v>
      </c>
      <c r="G2273" s="11">
        <v>39840</v>
      </c>
      <c r="H2273" s="11">
        <v>80308</v>
      </c>
      <c r="I2273" s="11">
        <v>20407</v>
      </c>
    </row>
    <row r="2274" spans="1:9" x14ac:dyDescent="0.2">
      <c r="A2274" s="10">
        <v>6712</v>
      </c>
      <c r="B2274" s="10">
        <v>90</v>
      </c>
      <c r="C2274" s="10" t="s">
        <v>2618</v>
      </c>
      <c r="D2274" s="10">
        <v>9007</v>
      </c>
      <c r="E2274" s="10" t="s">
        <v>2625</v>
      </c>
      <c r="F2274" s="11">
        <v>23485</v>
      </c>
      <c r="G2274" s="11">
        <v>23966</v>
      </c>
      <c r="H2274" s="11">
        <v>47451</v>
      </c>
      <c r="I2274" s="11">
        <v>20201</v>
      </c>
    </row>
    <row r="2275" spans="1:9" x14ac:dyDescent="0.2">
      <c r="A2275" s="10">
        <v>6712</v>
      </c>
      <c r="B2275" s="10">
        <v>90</v>
      </c>
      <c r="C2275" s="10" t="s">
        <v>2618</v>
      </c>
      <c r="D2275" s="10">
        <v>9008</v>
      </c>
      <c r="E2275" s="10" t="s">
        <v>2626</v>
      </c>
      <c r="F2275" s="11">
        <v>7156</v>
      </c>
      <c r="G2275" s="11">
        <v>7453</v>
      </c>
      <c r="H2275" s="11">
        <v>14609</v>
      </c>
      <c r="I2275" s="11">
        <v>5499</v>
      </c>
    </row>
    <row r="2276" spans="1:9" x14ac:dyDescent="0.2">
      <c r="A2276" s="10">
        <v>6712</v>
      </c>
      <c r="B2276" s="10">
        <v>90</v>
      </c>
      <c r="C2276" s="10" t="s">
        <v>2618</v>
      </c>
      <c r="D2276" s="10">
        <v>9009</v>
      </c>
      <c r="E2276" s="10" t="s">
        <v>2627</v>
      </c>
      <c r="F2276" s="11">
        <v>33783</v>
      </c>
      <c r="G2276" s="11">
        <v>34135</v>
      </c>
      <c r="H2276" s="11">
        <v>67918</v>
      </c>
      <c r="I2276" s="11">
        <v>23493</v>
      </c>
    </row>
    <row r="2277" spans="1:9" x14ac:dyDescent="0.2">
      <c r="A2277" s="10">
        <v>6712</v>
      </c>
      <c r="B2277" s="10">
        <v>90</v>
      </c>
      <c r="C2277" s="10" t="s">
        <v>2618</v>
      </c>
      <c r="D2277" s="10">
        <v>9010</v>
      </c>
      <c r="E2277" s="10" t="s">
        <v>2628</v>
      </c>
      <c r="F2277" s="11">
        <v>29594</v>
      </c>
      <c r="G2277" s="11">
        <v>29333</v>
      </c>
      <c r="H2277" s="11">
        <v>58927</v>
      </c>
      <c r="I2277" s="11">
        <v>22395</v>
      </c>
    </row>
    <row r="2278" spans="1:9" x14ac:dyDescent="0.2">
      <c r="A2278" s="10">
        <v>6712</v>
      </c>
      <c r="B2278" s="10">
        <v>90</v>
      </c>
      <c r="C2278" s="10" t="s">
        <v>2618</v>
      </c>
      <c r="D2278" s="10">
        <v>9011</v>
      </c>
      <c r="E2278" s="10" t="s">
        <v>2629</v>
      </c>
      <c r="F2278" s="11">
        <v>15637</v>
      </c>
      <c r="G2278" s="11">
        <v>17032</v>
      </c>
      <c r="H2278" s="11">
        <v>32669</v>
      </c>
      <c r="I2278" s="11">
        <v>15251</v>
      </c>
    </row>
    <row r="2279" spans="1:9" x14ac:dyDescent="0.2">
      <c r="A2279" s="10">
        <v>6712</v>
      </c>
      <c r="B2279" s="10">
        <v>90</v>
      </c>
      <c r="C2279" s="10" t="s">
        <v>2618</v>
      </c>
      <c r="D2279" s="10">
        <v>9012</v>
      </c>
      <c r="E2279" s="10" t="s">
        <v>2630</v>
      </c>
      <c r="F2279" s="11">
        <v>11101</v>
      </c>
      <c r="G2279" s="11">
        <v>11964</v>
      </c>
      <c r="H2279" s="11">
        <v>23065</v>
      </c>
      <c r="I2279" s="11">
        <v>9810</v>
      </c>
    </row>
    <row r="2280" spans="1:9" x14ac:dyDescent="0.2">
      <c r="A2280" s="10">
        <v>6712</v>
      </c>
      <c r="B2280" s="10">
        <v>90</v>
      </c>
      <c r="C2280" s="10" t="s">
        <v>2618</v>
      </c>
      <c r="D2280" s="10">
        <v>9013</v>
      </c>
      <c r="E2280" s="10" t="s">
        <v>2631</v>
      </c>
      <c r="F2280" s="11">
        <v>14787</v>
      </c>
      <c r="G2280" s="11">
        <v>15300</v>
      </c>
      <c r="H2280" s="11">
        <v>30087</v>
      </c>
      <c r="I2280" s="11">
        <v>10564</v>
      </c>
    </row>
    <row r="2281" spans="1:9" x14ac:dyDescent="0.2">
      <c r="A2281" s="10">
        <v>6712</v>
      </c>
      <c r="B2281" s="10">
        <v>90</v>
      </c>
      <c r="C2281" s="10" t="s">
        <v>2618</v>
      </c>
      <c r="D2281" s="10">
        <v>9014</v>
      </c>
      <c r="E2281" s="10" t="s">
        <v>2632</v>
      </c>
      <c r="F2281" s="11">
        <v>5161</v>
      </c>
      <c r="G2281" s="11">
        <v>5299</v>
      </c>
      <c r="H2281" s="11">
        <v>10460</v>
      </c>
      <c r="I2281" s="11">
        <v>3991</v>
      </c>
    </row>
    <row r="2282" spans="1:9" x14ac:dyDescent="0.2">
      <c r="A2282" s="10">
        <v>6712</v>
      </c>
      <c r="B2282" s="10">
        <v>90</v>
      </c>
      <c r="C2282" s="10" t="s">
        <v>2618</v>
      </c>
      <c r="D2282" s="10">
        <v>9015</v>
      </c>
      <c r="E2282" s="10" t="s">
        <v>2633</v>
      </c>
      <c r="F2282" s="11">
        <v>21415</v>
      </c>
      <c r="G2282" s="11">
        <v>22386</v>
      </c>
      <c r="H2282" s="11">
        <v>43801</v>
      </c>
      <c r="I2282" s="11">
        <v>15721</v>
      </c>
    </row>
    <row r="2283" spans="1:9" x14ac:dyDescent="0.2">
      <c r="A2283" s="10">
        <v>6712</v>
      </c>
      <c r="B2283" s="10">
        <v>90</v>
      </c>
      <c r="C2283" s="10" t="s">
        <v>2618</v>
      </c>
      <c r="D2283" s="10">
        <v>9016</v>
      </c>
      <c r="E2283" s="10" t="s">
        <v>2634</v>
      </c>
      <c r="F2283" s="11">
        <v>5898</v>
      </c>
      <c r="G2283" s="11">
        <v>5888</v>
      </c>
      <c r="H2283" s="11">
        <v>11786</v>
      </c>
      <c r="I2283" s="11">
        <v>5470</v>
      </c>
    </row>
    <row r="2284" spans="1:9" x14ac:dyDescent="0.2">
      <c r="A2284" s="10">
        <v>6712</v>
      </c>
      <c r="B2284" s="10">
        <v>90</v>
      </c>
      <c r="C2284" s="10" t="s">
        <v>2618</v>
      </c>
      <c r="D2284" s="10">
        <v>9066</v>
      </c>
      <c r="E2284" s="10" t="s">
        <v>2635</v>
      </c>
      <c r="F2284" s="11">
        <v>8439</v>
      </c>
      <c r="G2284" s="11">
        <v>8946</v>
      </c>
      <c r="H2284" s="11">
        <v>17385</v>
      </c>
      <c r="I2284" s="11">
        <v>6860</v>
      </c>
    </row>
    <row r="2285" spans="1:9" x14ac:dyDescent="0.2">
      <c r="A2285" s="10">
        <v>6712</v>
      </c>
      <c r="B2285" s="10">
        <v>90</v>
      </c>
      <c r="C2285" s="10" t="s">
        <v>2618</v>
      </c>
      <c r="D2285" s="10">
        <v>9067</v>
      </c>
      <c r="E2285" s="10" t="s">
        <v>2636</v>
      </c>
      <c r="F2285" s="11">
        <v>4107</v>
      </c>
      <c r="G2285" s="11">
        <v>3502</v>
      </c>
      <c r="H2285" s="11">
        <v>7609</v>
      </c>
      <c r="I2285" s="11">
        <v>2938</v>
      </c>
    </row>
    <row r="2286" spans="1:9" x14ac:dyDescent="0.2">
      <c r="A2286" s="10">
        <v>6712</v>
      </c>
      <c r="B2286" s="10">
        <v>90</v>
      </c>
      <c r="C2286" s="10" t="s">
        <v>2618</v>
      </c>
      <c r="D2286" s="10">
        <v>9068</v>
      </c>
      <c r="E2286" s="10" t="s">
        <v>2637</v>
      </c>
      <c r="F2286" s="11">
        <v>3737</v>
      </c>
      <c r="G2286" s="11">
        <v>4013</v>
      </c>
      <c r="H2286" s="11">
        <v>7750</v>
      </c>
      <c r="I2286" s="11">
        <v>2822</v>
      </c>
    </row>
    <row r="2287" spans="1:9" x14ac:dyDescent="0.2">
      <c r="A2287" s="10">
        <v>6712</v>
      </c>
      <c r="B2287" s="10">
        <v>90</v>
      </c>
      <c r="C2287" s="10" t="s">
        <v>2618</v>
      </c>
      <c r="D2287" s="10">
        <v>9069</v>
      </c>
      <c r="E2287" s="10" t="s">
        <v>2638</v>
      </c>
      <c r="F2287" s="11">
        <v>5644</v>
      </c>
      <c r="G2287" s="11">
        <v>5982</v>
      </c>
      <c r="H2287" s="11">
        <v>11626</v>
      </c>
      <c r="I2287" s="11">
        <v>4057</v>
      </c>
    </row>
    <row r="2288" spans="1:9" x14ac:dyDescent="0.2">
      <c r="A2288" s="10">
        <v>6712</v>
      </c>
      <c r="B2288" s="10">
        <v>90</v>
      </c>
      <c r="C2288" s="10" t="s">
        <v>2618</v>
      </c>
      <c r="D2288" s="10">
        <v>9070</v>
      </c>
      <c r="E2288" s="10" t="s">
        <v>2639</v>
      </c>
      <c r="F2288" s="11">
        <v>5904</v>
      </c>
      <c r="G2288" s="11">
        <v>6017</v>
      </c>
      <c r="H2288" s="11">
        <v>11921</v>
      </c>
      <c r="I2288" s="11">
        <v>3473</v>
      </c>
    </row>
    <row r="2289" spans="1:9" x14ac:dyDescent="0.2">
      <c r="A2289" s="10">
        <v>6712</v>
      </c>
      <c r="B2289" s="10">
        <v>90</v>
      </c>
      <c r="C2289" s="10" t="s">
        <v>2618</v>
      </c>
      <c r="D2289" s="10">
        <v>9071</v>
      </c>
      <c r="E2289" s="10" t="s">
        <v>844</v>
      </c>
      <c r="F2289" s="11">
        <v>11781</v>
      </c>
      <c r="G2289" s="11">
        <v>11869</v>
      </c>
      <c r="H2289" s="11">
        <v>23650</v>
      </c>
      <c r="I2289" s="11">
        <v>11027</v>
      </c>
    </row>
    <row r="2290" spans="1:9" x14ac:dyDescent="0.2">
      <c r="A2290" s="10">
        <v>6712</v>
      </c>
      <c r="B2290" s="10">
        <v>90</v>
      </c>
      <c r="C2290" s="10" t="s">
        <v>2618</v>
      </c>
      <c r="D2290" s="10">
        <v>9072</v>
      </c>
      <c r="E2290" s="10" t="s">
        <v>2640</v>
      </c>
      <c r="F2290" s="11">
        <v>7300</v>
      </c>
      <c r="G2290" s="11">
        <v>8200</v>
      </c>
      <c r="H2290" s="11">
        <v>15500</v>
      </c>
      <c r="I2290" s="11">
        <v>6875</v>
      </c>
    </row>
    <row r="2291" spans="1:9" x14ac:dyDescent="0.2">
      <c r="A2291" s="10">
        <v>6712</v>
      </c>
      <c r="B2291" s="10">
        <v>90</v>
      </c>
      <c r="C2291" s="10" t="s">
        <v>2618</v>
      </c>
      <c r="D2291" s="10">
        <v>9073</v>
      </c>
      <c r="E2291" s="10" t="s">
        <v>2641</v>
      </c>
      <c r="F2291" s="11">
        <v>7835</v>
      </c>
      <c r="G2291" s="11">
        <v>8057</v>
      </c>
      <c r="H2291" s="11">
        <v>15892</v>
      </c>
      <c r="I2291" s="11">
        <v>4841</v>
      </c>
    </row>
    <row r="2292" spans="1:9" x14ac:dyDescent="0.2">
      <c r="A2292" s="10">
        <v>6712</v>
      </c>
      <c r="B2292" s="10">
        <v>90</v>
      </c>
      <c r="C2292" s="10" t="s">
        <v>2618</v>
      </c>
      <c r="D2292" s="10">
        <v>9074</v>
      </c>
      <c r="E2292" s="10" t="s">
        <v>2032</v>
      </c>
      <c r="F2292" s="11">
        <v>4047</v>
      </c>
      <c r="G2292" s="11">
        <v>4312</v>
      </c>
      <c r="H2292" s="11">
        <v>8359</v>
      </c>
      <c r="I2292" s="11">
        <v>3689</v>
      </c>
    </row>
    <row r="2293" spans="1:9" x14ac:dyDescent="0.2">
      <c r="A2293" s="10">
        <v>6712</v>
      </c>
      <c r="B2293" s="10">
        <v>90</v>
      </c>
      <c r="C2293" s="10" t="s">
        <v>2618</v>
      </c>
      <c r="D2293" s="10">
        <v>9075</v>
      </c>
      <c r="E2293" s="10" t="s">
        <v>2642</v>
      </c>
      <c r="F2293" s="11">
        <v>17014</v>
      </c>
      <c r="G2293" s="11">
        <v>18749</v>
      </c>
      <c r="H2293" s="11">
        <v>35763</v>
      </c>
      <c r="I2293" s="11">
        <v>16945</v>
      </c>
    </row>
    <row r="2294" spans="1:9" x14ac:dyDescent="0.2">
      <c r="A2294" s="10">
        <v>6712</v>
      </c>
      <c r="B2294" s="10">
        <v>90</v>
      </c>
      <c r="C2294" s="10" t="s">
        <v>2618</v>
      </c>
      <c r="D2294" s="10">
        <v>9076</v>
      </c>
      <c r="E2294" s="10" t="s">
        <v>2643</v>
      </c>
      <c r="F2294" s="11">
        <v>20410</v>
      </c>
      <c r="G2294" s="11">
        <v>22757</v>
      </c>
      <c r="H2294" s="11">
        <v>43167</v>
      </c>
      <c r="I2294" s="11">
        <v>22492</v>
      </c>
    </row>
    <row r="2295" spans="1:9" x14ac:dyDescent="0.2">
      <c r="A2295" s="10">
        <v>6712</v>
      </c>
      <c r="B2295" s="10">
        <v>90</v>
      </c>
      <c r="C2295" s="10" t="s">
        <v>2618</v>
      </c>
      <c r="D2295" s="10">
        <v>9077</v>
      </c>
      <c r="E2295" s="10" t="s">
        <v>2644</v>
      </c>
      <c r="F2295" s="11">
        <v>6394</v>
      </c>
      <c r="G2295" s="11">
        <v>7429</v>
      </c>
      <c r="H2295" s="11">
        <v>13823</v>
      </c>
      <c r="I2295" s="11">
        <v>9493</v>
      </c>
    </row>
    <row r="2296" spans="1:9" x14ac:dyDescent="0.2">
      <c r="A2296" s="10">
        <v>6712</v>
      </c>
      <c r="B2296" s="10">
        <v>90</v>
      </c>
      <c r="C2296" s="10" t="s">
        <v>2618</v>
      </c>
      <c r="D2296" s="10">
        <v>9078</v>
      </c>
      <c r="E2296" s="10" t="s">
        <v>2645</v>
      </c>
      <c r="F2296" s="11">
        <v>20931</v>
      </c>
      <c r="G2296" s="11">
        <v>23852</v>
      </c>
      <c r="H2296" s="11">
        <v>44783</v>
      </c>
      <c r="I2296" s="11">
        <v>23597</v>
      </c>
    </row>
    <row r="2297" spans="1:9" x14ac:dyDescent="0.2">
      <c r="A2297" s="10">
        <v>6712</v>
      </c>
      <c r="B2297" s="10">
        <v>90</v>
      </c>
      <c r="C2297" s="10" t="s">
        <v>2618</v>
      </c>
      <c r="D2297" s="10">
        <v>9079</v>
      </c>
      <c r="E2297" s="10" t="s">
        <v>2646</v>
      </c>
      <c r="F2297" s="11">
        <v>24657</v>
      </c>
      <c r="G2297" s="11">
        <v>28190</v>
      </c>
      <c r="H2297" s="11">
        <v>52847</v>
      </c>
      <c r="I2297" s="11">
        <v>28678</v>
      </c>
    </row>
    <row r="2298" spans="1:9" x14ac:dyDescent="0.2">
      <c r="A2298" s="10">
        <v>6712</v>
      </c>
      <c r="B2298" s="10">
        <v>90</v>
      </c>
      <c r="C2298" s="10" t="s">
        <v>2618</v>
      </c>
      <c r="D2298" s="10">
        <v>9080</v>
      </c>
      <c r="E2298" s="10" t="s">
        <v>2647</v>
      </c>
      <c r="F2298" s="11">
        <v>21610</v>
      </c>
      <c r="G2298" s="11">
        <v>24487</v>
      </c>
      <c r="H2298" s="11">
        <v>46097</v>
      </c>
      <c r="I2298" s="11">
        <v>30251</v>
      </c>
    </row>
    <row r="2299" spans="1:9" x14ac:dyDescent="0.2">
      <c r="A2299" s="10">
        <v>6712</v>
      </c>
      <c r="B2299" s="10">
        <v>90</v>
      </c>
      <c r="C2299" s="10" t="s">
        <v>2618</v>
      </c>
      <c r="D2299" s="10">
        <v>9081</v>
      </c>
      <c r="E2299" s="10" t="s">
        <v>2648</v>
      </c>
      <c r="F2299" s="11">
        <v>19852</v>
      </c>
      <c r="G2299" s="11">
        <v>20281</v>
      </c>
      <c r="H2299" s="11">
        <v>40133</v>
      </c>
      <c r="I2299" s="11">
        <v>14173</v>
      </c>
    </row>
    <row r="2300" spans="1:9" x14ac:dyDescent="0.2">
      <c r="A2300" s="10">
        <v>6712</v>
      </c>
      <c r="B2300" s="10">
        <v>90</v>
      </c>
      <c r="C2300" s="10" t="s">
        <v>2618</v>
      </c>
      <c r="D2300" s="10">
        <v>9082</v>
      </c>
      <c r="E2300" s="10" t="s">
        <v>2649</v>
      </c>
      <c r="F2300" s="11">
        <v>1872</v>
      </c>
      <c r="G2300" s="11">
        <v>2132</v>
      </c>
      <c r="H2300" s="11">
        <v>4004</v>
      </c>
      <c r="I2300" s="11">
        <v>1831</v>
      </c>
    </row>
    <row r="2301" spans="1:9" x14ac:dyDescent="0.2">
      <c r="A2301" s="10">
        <v>6712</v>
      </c>
      <c r="B2301" s="10">
        <v>90</v>
      </c>
      <c r="C2301" s="10" t="s">
        <v>2618</v>
      </c>
      <c r="D2301" s="10">
        <v>9083</v>
      </c>
      <c r="E2301" s="10" t="s">
        <v>2650</v>
      </c>
      <c r="F2301" s="11">
        <v>3660</v>
      </c>
      <c r="G2301" s="11">
        <v>4094</v>
      </c>
      <c r="H2301" s="11">
        <v>7754</v>
      </c>
      <c r="I2301" s="11">
        <v>4992</v>
      </c>
    </row>
    <row r="2302" spans="1:9" x14ac:dyDescent="0.2">
      <c r="A2302" s="10">
        <v>6712</v>
      </c>
      <c r="B2302" s="10">
        <v>90</v>
      </c>
      <c r="C2302" s="10" t="s">
        <v>2618</v>
      </c>
      <c r="D2302" s="10">
        <v>9084</v>
      </c>
      <c r="E2302" s="10" t="s">
        <v>2651</v>
      </c>
      <c r="F2302" s="11">
        <v>3916</v>
      </c>
      <c r="G2302" s="11">
        <v>4154</v>
      </c>
      <c r="H2302" s="11">
        <v>8070</v>
      </c>
      <c r="I2302" s="11">
        <v>3252</v>
      </c>
    </row>
    <row r="2303" spans="1:9" x14ac:dyDescent="0.2">
      <c r="A2303" s="10">
        <v>6712</v>
      </c>
      <c r="B2303" s="10">
        <v>90</v>
      </c>
      <c r="C2303" s="10" t="s">
        <v>2618</v>
      </c>
      <c r="D2303" s="10">
        <v>9085</v>
      </c>
      <c r="E2303" s="10" t="s">
        <v>2652</v>
      </c>
      <c r="F2303" s="11">
        <v>7703</v>
      </c>
      <c r="G2303" s="11">
        <v>8163</v>
      </c>
      <c r="H2303" s="11">
        <v>15866</v>
      </c>
      <c r="I2303" s="11">
        <v>6450</v>
      </c>
    </row>
    <row r="2304" spans="1:9" x14ac:dyDescent="0.2">
      <c r="A2304" s="10">
        <v>6712</v>
      </c>
      <c r="B2304" s="10">
        <v>90</v>
      </c>
      <c r="C2304" s="10" t="s">
        <v>2618</v>
      </c>
      <c r="D2304" s="10">
        <v>9086</v>
      </c>
      <c r="E2304" s="10" t="s">
        <v>2653</v>
      </c>
      <c r="F2304" s="11">
        <v>3138</v>
      </c>
      <c r="G2304" s="11">
        <v>3322</v>
      </c>
      <c r="H2304" s="11">
        <v>6460</v>
      </c>
      <c r="I2304" s="11">
        <v>2170</v>
      </c>
    </row>
    <row r="2305" spans="1:9" x14ac:dyDescent="0.2">
      <c r="A2305" s="10">
        <v>6712</v>
      </c>
      <c r="B2305" s="10">
        <v>90</v>
      </c>
      <c r="C2305" s="10" t="s">
        <v>2618</v>
      </c>
      <c r="D2305" s="10">
        <v>9087</v>
      </c>
      <c r="E2305" s="10" t="s">
        <v>2654</v>
      </c>
      <c r="F2305" s="11">
        <v>1388</v>
      </c>
      <c r="G2305" s="11">
        <v>1551</v>
      </c>
      <c r="H2305" s="11">
        <v>2939</v>
      </c>
      <c r="I2305" s="11">
        <v>1190</v>
      </c>
    </row>
    <row r="2306" spans="1:9" x14ac:dyDescent="0.2">
      <c r="A2306" s="10">
        <v>6712</v>
      </c>
      <c r="B2306" s="10">
        <v>90</v>
      </c>
      <c r="C2306" s="10" t="s">
        <v>2618</v>
      </c>
      <c r="D2306" s="10">
        <v>9088</v>
      </c>
      <c r="E2306" s="10" t="s">
        <v>2655</v>
      </c>
      <c r="F2306" s="11">
        <v>2315</v>
      </c>
      <c r="G2306" s="11">
        <v>2554</v>
      </c>
      <c r="H2306" s="11">
        <v>4869</v>
      </c>
      <c r="I2306" s="11">
        <v>2704</v>
      </c>
    </row>
    <row r="2307" spans="1:9" x14ac:dyDescent="0.2">
      <c r="A2307" s="10">
        <v>6712</v>
      </c>
      <c r="B2307" s="10">
        <v>90</v>
      </c>
      <c r="C2307" s="10" t="s">
        <v>2618</v>
      </c>
      <c r="D2307" s="10">
        <v>9089</v>
      </c>
      <c r="E2307" s="10" t="s">
        <v>2656</v>
      </c>
      <c r="F2307" s="11">
        <v>2006</v>
      </c>
      <c r="G2307" s="11">
        <v>2208</v>
      </c>
      <c r="H2307" s="11">
        <v>4214</v>
      </c>
      <c r="I2307" s="11">
        <v>2029</v>
      </c>
    </row>
    <row r="2308" spans="1:9" x14ac:dyDescent="0.2">
      <c r="A2308" s="10">
        <v>6712</v>
      </c>
      <c r="B2308" s="10">
        <v>90</v>
      </c>
      <c r="C2308" s="10" t="s">
        <v>2618</v>
      </c>
      <c r="D2308" s="10">
        <v>9090</v>
      </c>
      <c r="E2308" s="10" t="s">
        <v>2657</v>
      </c>
      <c r="F2308" s="11">
        <v>5240</v>
      </c>
      <c r="G2308" s="11">
        <v>5480</v>
      </c>
      <c r="H2308" s="11">
        <v>10720</v>
      </c>
      <c r="I2308" s="11">
        <v>3648</v>
      </c>
    </row>
    <row r="2309" spans="1:9" x14ac:dyDescent="0.2">
      <c r="A2309" s="10">
        <v>6712</v>
      </c>
      <c r="B2309" s="10">
        <v>90</v>
      </c>
      <c r="C2309" s="10" t="s">
        <v>2618</v>
      </c>
      <c r="D2309" s="10">
        <v>9091</v>
      </c>
      <c r="E2309" s="10" t="s">
        <v>2658</v>
      </c>
      <c r="F2309" s="10">
        <v>640</v>
      </c>
      <c r="G2309" s="10">
        <v>688</v>
      </c>
      <c r="H2309" s="11">
        <v>1328</v>
      </c>
      <c r="I2309" s="10">
        <v>809</v>
      </c>
    </row>
    <row r="2310" spans="1:9" x14ac:dyDescent="0.2">
      <c r="A2310" s="10">
        <v>6712</v>
      </c>
      <c r="B2310" s="10">
        <v>90</v>
      </c>
      <c r="C2310" s="10" t="s">
        <v>2618</v>
      </c>
      <c r="D2310" s="10">
        <v>9092</v>
      </c>
      <c r="E2310" s="10" t="s">
        <v>2659</v>
      </c>
      <c r="F2310" s="11">
        <v>1370</v>
      </c>
      <c r="G2310" s="11">
        <v>1329</v>
      </c>
      <c r="H2310" s="11">
        <v>2699</v>
      </c>
      <c r="I2310" s="11">
        <v>1125</v>
      </c>
    </row>
    <row r="2311" spans="1:9" x14ac:dyDescent="0.2">
      <c r="A2311" s="10">
        <v>6712</v>
      </c>
      <c r="B2311" s="10">
        <v>90</v>
      </c>
      <c r="C2311" s="10" t="s">
        <v>2618</v>
      </c>
      <c r="D2311" s="10">
        <v>9093</v>
      </c>
      <c r="E2311" s="10" t="s">
        <v>2660</v>
      </c>
      <c r="F2311" s="11">
        <v>2939</v>
      </c>
      <c r="G2311" s="11">
        <v>2991</v>
      </c>
      <c r="H2311" s="11">
        <v>5930</v>
      </c>
      <c r="I2311" s="11">
        <v>3858</v>
      </c>
    </row>
    <row r="2312" spans="1:9" x14ac:dyDescent="0.2">
      <c r="A2312" s="10">
        <v>6712</v>
      </c>
      <c r="B2312" s="10">
        <v>90</v>
      </c>
      <c r="C2312" s="10" t="s">
        <v>2618</v>
      </c>
      <c r="D2312" s="10">
        <v>9094</v>
      </c>
      <c r="E2312" s="10" t="s">
        <v>2661</v>
      </c>
      <c r="F2312" s="11">
        <v>3291</v>
      </c>
      <c r="G2312" s="11">
        <v>3418</v>
      </c>
      <c r="H2312" s="11">
        <v>6709</v>
      </c>
      <c r="I2312" s="11">
        <v>3478</v>
      </c>
    </row>
    <row r="2313" spans="1:9" x14ac:dyDescent="0.2">
      <c r="A2313" s="10">
        <v>6712</v>
      </c>
      <c r="B2313" s="10">
        <v>90</v>
      </c>
      <c r="C2313" s="10" t="s">
        <v>2618</v>
      </c>
      <c r="D2313" s="10">
        <v>9095</v>
      </c>
      <c r="E2313" s="10" t="s">
        <v>2662</v>
      </c>
      <c r="F2313" s="11">
        <v>1353</v>
      </c>
      <c r="G2313" s="11">
        <v>1477</v>
      </c>
      <c r="H2313" s="11">
        <v>2830</v>
      </c>
      <c r="I2313" s="11">
        <v>1336</v>
      </c>
    </row>
    <row r="2314" spans="1:9" x14ac:dyDescent="0.2">
      <c r="A2314" s="10">
        <v>6712</v>
      </c>
      <c r="B2314" s="10">
        <v>90</v>
      </c>
      <c r="C2314" s="10" t="s">
        <v>2618</v>
      </c>
      <c r="D2314" s="10">
        <v>9096</v>
      </c>
      <c r="E2314" s="10" t="s">
        <v>2663</v>
      </c>
      <c r="F2314" s="11">
        <v>13456</v>
      </c>
      <c r="G2314" s="11">
        <v>14894</v>
      </c>
      <c r="H2314" s="11">
        <v>28350</v>
      </c>
      <c r="I2314" s="11">
        <v>13986</v>
      </c>
    </row>
    <row r="2315" spans="1:9" x14ac:dyDescent="0.2">
      <c r="A2315" s="10">
        <v>6712</v>
      </c>
      <c r="B2315" s="10">
        <v>90</v>
      </c>
      <c r="C2315" s="10" t="s">
        <v>2618</v>
      </c>
      <c r="D2315" s="10">
        <v>9097</v>
      </c>
      <c r="E2315" s="10" t="s">
        <v>2664</v>
      </c>
      <c r="F2315" s="11">
        <v>10347</v>
      </c>
      <c r="G2315" s="11">
        <v>10949</v>
      </c>
      <c r="H2315" s="11">
        <v>21296</v>
      </c>
      <c r="I2315" s="11">
        <v>9238</v>
      </c>
    </row>
    <row r="2316" spans="1:9" x14ac:dyDescent="0.2">
      <c r="A2316" s="10">
        <v>6712</v>
      </c>
      <c r="B2316" s="10">
        <v>90</v>
      </c>
      <c r="C2316" s="10" t="s">
        <v>2618</v>
      </c>
      <c r="D2316" s="10">
        <v>9098</v>
      </c>
      <c r="E2316" s="10" t="s">
        <v>2665</v>
      </c>
      <c r="F2316" s="11">
        <v>64864</v>
      </c>
      <c r="G2316" s="11">
        <v>75987</v>
      </c>
      <c r="H2316" s="11">
        <v>140851</v>
      </c>
      <c r="I2316" s="11">
        <v>70703</v>
      </c>
    </row>
    <row r="2317" spans="1:9" x14ac:dyDescent="0.2">
      <c r="A2317" s="10">
        <v>6712</v>
      </c>
      <c r="B2317" s="10">
        <v>90</v>
      </c>
      <c r="C2317" s="10" t="s">
        <v>2618</v>
      </c>
      <c r="D2317" s="10">
        <v>9099</v>
      </c>
      <c r="E2317" s="10" t="s">
        <v>2666</v>
      </c>
      <c r="F2317" s="11">
        <v>25798</v>
      </c>
      <c r="G2317" s="11">
        <v>28158</v>
      </c>
      <c r="H2317" s="11">
        <v>53956</v>
      </c>
      <c r="I2317" s="11">
        <v>27878</v>
      </c>
    </row>
    <row r="2318" spans="1:9" x14ac:dyDescent="0.2">
      <c r="A2318" s="10">
        <v>6712</v>
      </c>
      <c r="B2318" s="10">
        <v>91</v>
      </c>
      <c r="C2318" s="10" t="s">
        <v>2667</v>
      </c>
      <c r="D2318" s="10">
        <v>9101</v>
      </c>
      <c r="E2318" s="10" t="s">
        <v>2668</v>
      </c>
      <c r="F2318" s="11">
        <v>32816</v>
      </c>
      <c r="G2318" s="11">
        <v>33625</v>
      </c>
      <c r="H2318" s="11">
        <v>66441</v>
      </c>
      <c r="I2318" s="11">
        <v>19610</v>
      </c>
    </row>
    <row r="2319" spans="1:9" x14ac:dyDescent="0.2">
      <c r="A2319" s="10">
        <v>6712</v>
      </c>
      <c r="B2319" s="10">
        <v>91</v>
      </c>
      <c r="C2319" s="10" t="s">
        <v>2667</v>
      </c>
      <c r="D2319" s="10">
        <v>9102</v>
      </c>
      <c r="E2319" s="10" t="s">
        <v>2669</v>
      </c>
      <c r="F2319" s="11">
        <v>11067</v>
      </c>
      <c r="G2319" s="11">
        <v>11161</v>
      </c>
      <c r="H2319" s="11">
        <v>22228</v>
      </c>
      <c r="I2319" s="11">
        <v>6347</v>
      </c>
    </row>
    <row r="2320" spans="1:9" x14ac:dyDescent="0.2">
      <c r="A2320" s="10">
        <v>6712</v>
      </c>
      <c r="B2320" s="10">
        <v>91</v>
      </c>
      <c r="C2320" s="10" t="s">
        <v>2667</v>
      </c>
      <c r="D2320" s="10">
        <v>9103</v>
      </c>
      <c r="E2320" s="10" t="s">
        <v>2670</v>
      </c>
      <c r="F2320" s="11">
        <v>17766</v>
      </c>
      <c r="G2320" s="11">
        <v>17717</v>
      </c>
      <c r="H2320" s="11">
        <v>35483</v>
      </c>
      <c r="I2320" s="11">
        <v>12380</v>
      </c>
    </row>
    <row r="2321" spans="1:9" x14ac:dyDescent="0.2">
      <c r="A2321" s="10">
        <v>6712</v>
      </c>
      <c r="B2321" s="10">
        <v>91</v>
      </c>
      <c r="C2321" s="10" t="s">
        <v>2667</v>
      </c>
      <c r="D2321" s="10">
        <v>9104</v>
      </c>
      <c r="E2321" s="10" t="s">
        <v>2671</v>
      </c>
      <c r="F2321" s="11">
        <v>14873</v>
      </c>
      <c r="G2321" s="11">
        <v>15070</v>
      </c>
      <c r="H2321" s="11">
        <v>29943</v>
      </c>
      <c r="I2321" s="11">
        <v>9197</v>
      </c>
    </row>
    <row r="2322" spans="1:9" x14ac:dyDescent="0.2">
      <c r="A2322" s="10">
        <v>6712</v>
      </c>
      <c r="B2322" s="10">
        <v>91</v>
      </c>
      <c r="C2322" s="10" t="s">
        <v>2667</v>
      </c>
      <c r="D2322" s="10">
        <v>9105</v>
      </c>
      <c r="E2322" s="10" t="s">
        <v>2672</v>
      </c>
      <c r="F2322" s="11">
        <v>34386</v>
      </c>
      <c r="G2322" s="11">
        <v>34751</v>
      </c>
      <c r="H2322" s="11">
        <v>69137</v>
      </c>
      <c r="I2322" s="11">
        <v>22266</v>
      </c>
    </row>
    <row r="2323" spans="1:9" x14ac:dyDescent="0.2">
      <c r="A2323" s="10">
        <v>6712</v>
      </c>
      <c r="B2323" s="10">
        <v>91</v>
      </c>
      <c r="C2323" s="10" t="s">
        <v>2667</v>
      </c>
      <c r="D2323" s="10">
        <v>9106</v>
      </c>
      <c r="E2323" s="10" t="s">
        <v>2673</v>
      </c>
      <c r="F2323" s="11">
        <v>10770</v>
      </c>
      <c r="G2323" s="11">
        <v>10601</v>
      </c>
      <c r="H2323" s="11">
        <v>21371</v>
      </c>
      <c r="I2323" s="11">
        <v>7074</v>
      </c>
    </row>
    <row r="2324" spans="1:9" x14ac:dyDescent="0.2">
      <c r="A2324" s="10">
        <v>6712</v>
      </c>
      <c r="B2324" s="10">
        <v>91</v>
      </c>
      <c r="C2324" s="10" t="s">
        <v>2667</v>
      </c>
      <c r="D2324" s="10">
        <v>9107</v>
      </c>
      <c r="E2324" s="10" t="s">
        <v>2674</v>
      </c>
      <c r="F2324" s="11">
        <v>9531</v>
      </c>
      <c r="G2324" s="11">
        <v>9171</v>
      </c>
      <c r="H2324" s="11">
        <v>18702</v>
      </c>
      <c r="I2324" s="11">
        <v>6715</v>
      </c>
    </row>
    <row r="2325" spans="1:9" x14ac:dyDescent="0.2">
      <c r="A2325" s="10">
        <v>6712</v>
      </c>
      <c r="B2325" s="10">
        <v>91</v>
      </c>
      <c r="C2325" s="10" t="s">
        <v>2667</v>
      </c>
      <c r="D2325" s="10">
        <v>9193</v>
      </c>
      <c r="E2325" s="10" t="s">
        <v>2675</v>
      </c>
      <c r="F2325" s="11">
        <v>10529</v>
      </c>
      <c r="G2325" s="11">
        <v>9964</v>
      </c>
      <c r="H2325" s="11">
        <v>20493</v>
      </c>
      <c r="I2325" s="11">
        <v>9640</v>
      </c>
    </row>
    <row r="2326" spans="1:9" x14ac:dyDescent="0.2">
      <c r="A2326" s="10">
        <v>6712</v>
      </c>
      <c r="B2326" s="10">
        <v>91</v>
      </c>
      <c r="C2326" s="10" t="s">
        <v>2667</v>
      </c>
      <c r="D2326" s="10">
        <v>9194</v>
      </c>
      <c r="E2326" s="10" t="s">
        <v>2676</v>
      </c>
      <c r="F2326" s="11">
        <v>1603</v>
      </c>
      <c r="G2326" s="11">
        <v>1626</v>
      </c>
      <c r="H2326" s="11">
        <v>3229</v>
      </c>
      <c r="I2326" s="11">
        <v>1271</v>
      </c>
    </row>
    <row r="2327" spans="1:9" x14ac:dyDescent="0.2">
      <c r="A2327" s="10">
        <v>6712</v>
      </c>
      <c r="B2327" s="10">
        <v>91</v>
      </c>
      <c r="C2327" s="10" t="s">
        <v>2667</v>
      </c>
      <c r="D2327" s="10">
        <v>9195</v>
      </c>
      <c r="E2327" s="10" t="s">
        <v>1083</v>
      </c>
      <c r="F2327" s="11">
        <v>2326</v>
      </c>
      <c r="G2327" s="11">
        <v>2570</v>
      </c>
      <c r="H2327" s="11">
        <v>4896</v>
      </c>
      <c r="I2327" s="11">
        <v>2953</v>
      </c>
    </row>
    <row r="2328" spans="1:9" x14ac:dyDescent="0.2">
      <c r="A2328" s="10">
        <v>6712</v>
      </c>
      <c r="B2328" s="10">
        <v>91</v>
      </c>
      <c r="C2328" s="10" t="s">
        <v>2667</v>
      </c>
      <c r="D2328" s="10">
        <v>9196</v>
      </c>
      <c r="E2328" s="10" t="s">
        <v>2677</v>
      </c>
      <c r="F2328" s="11">
        <v>2684</v>
      </c>
      <c r="G2328" s="11">
        <v>2783</v>
      </c>
      <c r="H2328" s="11">
        <v>5467</v>
      </c>
      <c r="I2328" s="11">
        <v>2028</v>
      </c>
    </row>
    <row r="2329" spans="1:9" x14ac:dyDescent="0.2">
      <c r="A2329" s="10">
        <v>6712</v>
      </c>
      <c r="B2329" s="10">
        <v>91</v>
      </c>
      <c r="C2329" s="10" t="s">
        <v>2667</v>
      </c>
      <c r="D2329" s="10">
        <v>9197</v>
      </c>
      <c r="E2329" s="10" t="s">
        <v>2678</v>
      </c>
      <c r="F2329" s="11">
        <v>1094</v>
      </c>
      <c r="G2329" s="11">
        <v>1221</v>
      </c>
      <c r="H2329" s="11">
        <v>2315</v>
      </c>
      <c r="I2329" s="11">
        <v>1046</v>
      </c>
    </row>
    <row r="2330" spans="1:9" x14ac:dyDescent="0.2">
      <c r="A2330" s="10">
        <v>6712</v>
      </c>
      <c r="B2330" s="10">
        <v>91</v>
      </c>
      <c r="C2330" s="10" t="s">
        <v>2667</v>
      </c>
      <c r="D2330" s="10">
        <v>9198</v>
      </c>
      <c r="E2330" s="10" t="s">
        <v>2679</v>
      </c>
      <c r="F2330" s="11">
        <v>2007</v>
      </c>
      <c r="G2330" s="11">
        <v>2030</v>
      </c>
      <c r="H2330" s="11">
        <v>4037</v>
      </c>
      <c r="I2330" s="11">
        <v>1041</v>
      </c>
    </row>
    <row r="2331" spans="1:9" x14ac:dyDescent="0.2">
      <c r="A2331" s="10">
        <v>6712</v>
      </c>
      <c r="B2331" s="10">
        <v>91</v>
      </c>
      <c r="C2331" s="10" t="s">
        <v>2667</v>
      </c>
      <c r="D2331" s="10">
        <v>9199</v>
      </c>
      <c r="E2331" s="10" t="s">
        <v>2680</v>
      </c>
      <c r="F2331" s="11">
        <v>10215</v>
      </c>
      <c r="G2331" s="11">
        <v>10922</v>
      </c>
      <c r="H2331" s="11">
        <v>21137</v>
      </c>
      <c r="I2331" s="11">
        <v>10207</v>
      </c>
    </row>
    <row r="2332" spans="1:9" x14ac:dyDescent="0.2">
      <c r="A2332" s="10">
        <v>6712</v>
      </c>
      <c r="B2332" s="10">
        <v>92</v>
      </c>
      <c r="C2332" s="10" t="s">
        <v>2681</v>
      </c>
      <c r="D2332" s="10">
        <v>9201</v>
      </c>
      <c r="E2332" s="10" t="s">
        <v>2682</v>
      </c>
      <c r="F2332" s="11">
        <v>46421</v>
      </c>
      <c r="G2332" s="11">
        <v>50340</v>
      </c>
      <c r="H2332" s="11">
        <v>96761</v>
      </c>
      <c r="I2332" s="11">
        <v>43309</v>
      </c>
    </row>
    <row r="2333" spans="1:9" x14ac:dyDescent="0.2">
      <c r="A2333" s="10">
        <v>6712</v>
      </c>
      <c r="B2333" s="10">
        <v>92</v>
      </c>
      <c r="C2333" s="10" t="s">
        <v>2681</v>
      </c>
      <c r="D2333" s="10">
        <v>9202</v>
      </c>
      <c r="E2333" s="10" t="s">
        <v>2683</v>
      </c>
      <c r="F2333" s="11">
        <v>37295</v>
      </c>
      <c r="G2333" s="11">
        <v>38060</v>
      </c>
      <c r="H2333" s="11">
        <v>75355</v>
      </c>
      <c r="I2333" s="11">
        <v>25257</v>
      </c>
    </row>
    <row r="2334" spans="1:9" x14ac:dyDescent="0.2">
      <c r="A2334" s="10">
        <v>6712</v>
      </c>
      <c r="B2334" s="10">
        <v>92</v>
      </c>
      <c r="C2334" s="10" t="s">
        <v>2681</v>
      </c>
      <c r="D2334" s="10">
        <v>9203</v>
      </c>
      <c r="E2334" s="10" t="s">
        <v>2684</v>
      </c>
      <c r="F2334" s="11">
        <v>27718</v>
      </c>
      <c r="G2334" s="11">
        <v>28645</v>
      </c>
      <c r="H2334" s="11">
        <v>56363</v>
      </c>
      <c r="I2334" s="11">
        <v>18750</v>
      </c>
    </row>
    <row r="2335" spans="1:9" x14ac:dyDescent="0.2">
      <c r="A2335" s="10">
        <v>6712</v>
      </c>
      <c r="B2335" s="10">
        <v>92</v>
      </c>
      <c r="C2335" s="10" t="s">
        <v>2681</v>
      </c>
      <c r="D2335" s="10">
        <v>9204</v>
      </c>
      <c r="E2335" s="10" t="s">
        <v>2685</v>
      </c>
      <c r="F2335" s="11">
        <v>30666</v>
      </c>
      <c r="G2335" s="11">
        <v>31394</v>
      </c>
      <c r="H2335" s="11">
        <v>62060</v>
      </c>
      <c r="I2335" s="11">
        <v>22375</v>
      </c>
    </row>
    <row r="2336" spans="1:9" x14ac:dyDescent="0.2">
      <c r="A2336" s="10">
        <v>6712</v>
      </c>
      <c r="B2336" s="10">
        <v>92</v>
      </c>
      <c r="C2336" s="10" t="s">
        <v>2681</v>
      </c>
      <c r="D2336" s="10">
        <v>9205</v>
      </c>
      <c r="E2336" s="10" t="s">
        <v>2686</v>
      </c>
      <c r="F2336" s="11">
        <v>17651</v>
      </c>
      <c r="G2336" s="11">
        <v>17239</v>
      </c>
      <c r="H2336" s="11">
        <v>34890</v>
      </c>
      <c r="I2336" s="11">
        <v>13112</v>
      </c>
    </row>
    <row r="2337" spans="1:9" x14ac:dyDescent="0.2">
      <c r="A2337" s="10">
        <v>6712</v>
      </c>
      <c r="B2337" s="10">
        <v>92</v>
      </c>
      <c r="C2337" s="10" t="s">
        <v>2681</v>
      </c>
      <c r="D2337" s="10">
        <v>9206</v>
      </c>
      <c r="E2337" s="10" t="s">
        <v>2687</v>
      </c>
      <c r="F2337" s="11">
        <v>38286</v>
      </c>
      <c r="G2337" s="11">
        <v>39412</v>
      </c>
      <c r="H2337" s="11">
        <v>77698</v>
      </c>
      <c r="I2337" s="11">
        <v>27826</v>
      </c>
    </row>
    <row r="2338" spans="1:9" x14ac:dyDescent="0.2">
      <c r="A2338" s="10">
        <v>6712</v>
      </c>
      <c r="B2338" s="10">
        <v>92</v>
      </c>
      <c r="C2338" s="10" t="s">
        <v>2681</v>
      </c>
      <c r="D2338" s="10">
        <v>9207</v>
      </c>
      <c r="E2338" s="10" t="s">
        <v>2688</v>
      </c>
      <c r="F2338" s="11">
        <v>20002</v>
      </c>
      <c r="G2338" s="11">
        <v>20267</v>
      </c>
      <c r="H2338" s="11">
        <v>40269</v>
      </c>
      <c r="I2338" s="11">
        <v>14381</v>
      </c>
    </row>
    <row r="2339" spans="1:9" x14ac:dyDescent="0.2">
      <c r="A2339" s="10">
        <v>6712</v>
      </c>
      <c r="B2339" s="10">
        <v>92</v>
      </c>
      <c r="C2339" s="10" t="s">
        <v>2681</v>
      </c>
      <c r="D2339" s="10">
        <v>9208</v>
      </c>
      <c r="E2339" s="10" t="s">
        <v>2689</v>
      </c>
      <c r="F2339" s="11">
        <v>19839</v>
      </c>
      <c r="G2339" s="11">
        <v>21050</v>
      </c>
      <c r="H2339" s="11">
        <v>40889</v>
      </c>
      <c r="I2339" s="11">
        <v>14157</v>
      </c>
    </row>
    <row r="2340" spans="1:9" x14ac:dyDescent="0.2">
      <c r="A2340" s="10">
        <v>6712</v>
      </c>
      <c r="B2340" s="10">
        <v>92</v>
      </c>
      <c r="C2340" s="10" t="s">
        <v>2681</v>
      </c>
      <c r="D2340" s="10">
        <v>9209</v>
      </c>
      <c r="E2340" s="10" t="s">
        <v>2690</v>
      </c>
      <c r="F2340" s="11">
        <v>13174</v>
      </c>
      <c r="G2340" s="11">
        <v>13518</v>
      </c>
      <c r="H2340" s="11">
        <v>26692</v>
      </c>
      <c r="I2340" s="11">
        <v>10197</v>
      </c>
    </row>
    <row r="2341" spans="1:9" x14ac:dyDescent="0.2">
      <c r="A2341" s="10">
        <v>6712</v>
      </c>
      <c r="B2341" s="10">
        <v>92</v>
      </c>
      <c r="C2341" s="10" t="s">
        <v>2681</v>
      </c>
      <c r="D2341" s="10">
        <v>9210</v>
      </c>
      <c r="E2341" s="10" t="s">
        <v>2691</v>
      </c>
      <c r="F2341" s="11">
        <v>8420</v>
      </c>
      <c r="G2341" s="11">
        <v>8331</v>
      </c>
      <c r="H2341" s="11">
        <v>16751</v>
      </c>
      <c r="I2341" s="11">
        <v>5144</v>
      </c>
    </row>
    <row r="2342" spans="1:9" x14ac:dyDescent="0.2">
      <c r="A2342" s="10">
        <v>6712</v>
      </c>
      <c r="B2342" s="10">
        <v>92</v>
      </c>
      <c r="C2342" s="10" t="s">
        <v>2681</v>
      </c>
      <c r="D2342" s="10">
        <v>9286</v>
      </c>
      <c r="E2342" s="10" t="s">
        <v>2692</v>
      </c>
      <c r="F2342" s="11">
        <v>1155</v>
      </c>
      <c r="G2342" s="11">
        <v>1272</v>
      </c>
      <c r="H2342" s="11">
        <v>2427</v>
      </c>
      <c r="I2342" s="11">
        <v>1379</v>
      </c>
    </row>
    <row r="2343" spans="1:9" x14ac:dyDescent="0.2">
      <c r="A2343" s="10">
        <v>6712</v>
      </c>
      <c r="B2343" s="10">
        <v>92</v>
      </c>
      <c r="C2343" s="10" t="s">
        <v>2681</v>
      </c>
      <c r="D2343" s="10">
        <v>9287</v>
      </c>
      <c r="E2343" s="10" t="s">
        <v>2693</v>
      </c>
      <c r="F2343" s="11">
        <v>1611</v>
      </c>
      <c r="G2343" s="11">
        <v>1806</v>
      </c>
      <c r="H2343" s="11">
        <v>3417</v>
      </c>
      <c r="I2343" s="11">
        <v>1618</v>
      </c>
    </row>
    <row r="2344" spans="1:9" x14ac:dyDescent="0.2">
      <c r="A2344" s="10">
        <v>6712</v>
      </c>
      <c r="B2344" s="10">
        <v>92</v>
      </c>
      <c r="C2344" s="10" t="s">
        <v>2681</v>
      </c>
      <c r="D2344" s="10">
        <v>9288</v>
      </c>
      <c r="E2344" s="10" t="s">
        <v>2694</v>
      </c>
      <c r="F2344" s="11">
        <v>1466</v>
      </c>
      <c r="G2344" s="11">
        <v>1488</v>
      </c>
      <c r="H2344" s="11">
        <v>2954</v>
      </c>
      <c r="I2344" s="11">
        <v>1411</v>
      </c>
    </row>
    <row r="2345" spans="1:9" x14ac:dyDescent="0.2">
      <c r="A2345" s="10">
        <v>6712</v>
      </c>
      <c r="B2345" s="10">
        <v>92</v>
      </c>
      <c r="C2345" s="10" t="s">
        <v>2681</v>
      </c>
      <c r="D2345" s="10">
        <v>9289</v>
      </c>
      <c r="E2345" s="10" t="s">
        <v>2695</v>
      </c>
      <c r="F2345" s="11">
        <v>1780</v>
      </c>
      <c r="G2345" s="11">
        <v>1457</v>
      </c>
      <c r="H2345" s="11">
        <v>3237</v>
      </c>
      <c r="I2345" s="11">
        <v>1476</v>
      </c>
    </row>
    <row r="2346" spans="1:9" x14ac:dyDescent="0.2">
      <c r="A2346" s="10">
        <v>6712</v>
      </c>
      <c r="B2346" s="10">
        <v>92</v>
      </c>
      <c r="C2346" s="10" t="s">
        <v>2681</v>
      </c>
      <c r="D2346" s="10">
        <v>9290</v>
      </c>
      <c r="E2346" s="10" t="s">
        <v>2696</v>
      </c>
      <c r="F2346" s="11">
        <v>1927</v>
      </c>
      <c r="G2346" s="11">
        <v>2049</v>
      </c>
      <c r="H2346" s="11">
        <v>3976</v>
      </c>
      <c r="I2346" s="11">
        <v>1888</v>
      </c>
    </row>
    <row r="2347" spans="1:9" x14ac:dyDescent="0.2">
      <c r="A2347" s="10">
        <v>6712</v>
      </c>
      <c r="B2347" s="10">
        <v>92</v>
      </c>
      <c r="C2347" s="10" t="s">
        <v>2681</v>
      </c>
      <c r="D2347" s="10">
        <v>9291</v>
      </c>
      <c r="E2347" s="10" t="s">
        <v>2697</v>
      </c>
      <c r="F2347" s="10">
        <v>619</v>
      </c>
      <c r="G2347" s="10">
        <v>683</v>
      </c>
      <c r="H2347" s="11">
        <v>1302</v>
      </c>
      <c r="I2347" s="10">
        <v>664</v>
      </c>
    </row>
    <row r="2348" spans="1:9" x14ac:dyDescent="0.2">
      <c r="A2348" s="10">
        <v>6712</v>
      </c>
      <c r="B2348" s="10">
        <v>92</v>
      </c>
      <c r="C2348" s="10" t="s">
        <v>2681</v>
      </c>
      <c r="D2348" s="10">
        <v>9292</v>
      </c>
      <c r="E2348" s="10" t="s">
        <v>2698</v>
      </c>
      <c r="F2348" s="11">
        <v>1013</v>
      </c>
      <c r="G2348" s="11">
        <v>1068</v>
      </c>
      <c r="H2348" s="11">
        <v>2081</v>
      </c>
      <c r="I2348" s="10">
        <v>790</v>
      </c>
    </row>
    <row r="2349" spans="1:9" x14ac:dyDescent="0.2">
      <c r="A2349" s="10">
        <v>6712</v>
      </c>
      <c r="B2349" s="10">
        <v>92</v>
      </c>
      <c r="C2349" s="10" t="s">
        <v>2681</v>
      </c>
      <c r="D2349" s="10">
        <v>9293</v>
      </c>
      <c r="E2349" s="10" t="s">
        <v>2699</v>
      </c>
      <c r="F2349" s="11">
        <v>1096</v>
      </c>
      <c r="G2349" s="11">
        <v>1238</v>
      </c>
      <c r="H2349" s="11">
        <v>2334</v>
      </c>
      <c r="I2349" s="11">
        <v>1117</v>
      </c>
    </row>
    <row r="2350" spans="1:9" x14ac:dyDescent="0.2">
      <c r="A2350" s="10">
        <v>6712</v>
      </c>
      <c r="B2350" s="10">
        <v>92</v>
      </c>
      <c r="C2350" s="10" t="s">
        <v>2681</v>
      </c>
      <c r="D2350" s="10">
        <v>9294</v>
      </c>
      <c r="E2350" s="10" t="s">
        <v>809</v>
      </c>
      <c r="F2350" s="10">
        <v>645</v>
      </c>
      <c r="G2350" s="10">
        <v>655</v>
      </c>
      <c r="H2350" s="11">
        <v>1300</v>
      </c>
      <c r="I2350" s="10">
        <v>670</v>
      </c>
    </row>
    <row r="2351" spans="1:9" x14ac:dyDescent="0.2">
      <c r="A2351" s="10">
        <v>6712</v>
      </c>
      <c r="B2351" s="10">
        <v>92</v>
      </c>
      <c r="C2351" s="10" t="s">
        <v>2681</v>
      </c>
      <c r="D2351" s="10">
        <v>9295</v>
      </c>
      <c r="E2351" s="10" t="s">
        <v>2700</v>
      </c>
      <c r="F2351" s="11">
        <v>3432</v>
      </c>
      <c r="G2351" s="11">
        <v>3987</v>
      </c>
      <c r="H2351" s="11">
        <v>7419</v>
      </c>
      <c r="I2351" s="11">
        <v>3874</v>
      </c>
    </row>
    <row r="2352" spans="1:9" x14ac:dyDescent="0.2">
      <c r="A2352" s="10">
        <v>6712</v>
      </c>
      <c r="B2352" s="10">
        <v>92</v>
      </c>
      <c r="C2352" s="10" t="s">
        <v>2681</v>
      </c>
      <c r="D2352" s="10">
        <v>9296</v>
      </c>
      <c r="E2352" s="10" t="s">
        <v>2701</v>
      </c>
      <c r="F2352" s="11">
        <v>1848</v>
      </c>
      <c r="G2352" s="11">
        <v>2009</v>
      </c>
      <c r="H2352" s="11">
        <v>3857</v>
      </c>
      <c r="I2352" s="11">
        <v>1819</v>
      </c>
    </row>
    <row r="2353" spans="1:9" x14ac:dyDescent="0.2">
      <c r="A2353" s="10">
        <v>6712</v>
      </c>
      <c r="B2353" s="10">
        <v>92</v>
      </c>
      <c r="C2353" s="10" t="s">
        <v>2681</v>
      </c>
      <c r="D2353" s="10">
        <v>9297</v>
      </c>
      <c r="E2353" s="10" t="s">
        <v>2702</v>
      </c>
      <c r="F2353" s="11">
        <v>3691</v>
      </c>
      <c r="G2353" s="11">
        <v>4103</v>
      </c>
      <c r="H2353" s="11">
        <v>7794</v>
      </c>
      <c r="I2353" s="11">
        <v>4232</v>
      </c>
    </row>
    <row r="2354" spans="1:9" x14ac:dyDescent="0.2">
      <c r="A2354" s="10">
        <v>6712</v>
      </c>
      <c r="B2354" s="10">
        <v>92</v>
      </c>
      <c r="C2354" s="10" t="s">
        <v>2681</v>
      </c>
      <c r="D2354" s="10">
        <v>9298</v>
      </c>
      <c r="E2354" s="10" t="s">
        <v>2703</v>
      </c>
      <c r="F2354" s="11">
        <v>5483</v>
      </c>
      <c r="G2354" s="11">
        <v>5705</v>
      </c>
      <c r="H2354" s="11">
        <v>11188</v>
      </c>
      <c r="I2354" s="11">
        <v>5143</v>
      </c>
    </row>
    <row r="2355" spans="1:9" x14ac:dyDescent="0.2">
      <c r="A2355" s="10">
        <v>6712</v>
      </c>
      <c r="B2355" s="10">
        <v>92</v>
      </c>
      <c r="C2355" s="10" t="s">
        <v>2681</v>
      </c>
      <c r="D2355" s="10">
        <v>9299</v>
      </c>
      <c r="E2355" s="10" t="s">
        <v>2704</v>
      </c>
      <c r="F2355" s="11">
        <v>24807</v>
      </c>
      <c r="G2355" s="11">
        <v>29138</v>
      </c>
      <c r="H2355" s="11">
        <v>53945</v>
      </c>
      <c r="I2355" s="11">
        <v>26264</v>
      </c>
    </row>
    <row r="2356" spans="1:9" x14ac:dyDescent="0.2">
      <c r="A2356" s="10">
        <v>6712</v>
      </c>
      <c r="B2356" s="10">
        <v>93</v>
      </c>
      <c r="C2356" s="10" t="s">
        <v>2705</v>
      </c>
      <c r="D2356" s="10">
        <v>9301</v>
      </c>
      <c r="E2356" s="10" t="s">
        <v>2706</v>
      </c>
      <c r="F2356" s="11">
        <v>42603</v>
      </c>
      <c r="G2356" s="11">
        <v>46931</v>
      </c>
      <c r="H2356" s="11">
        <v>89534</v>
      </c>
      <c r="I2356" s="11">
        <v>36125</v>
      </c>
    </row>
    <row r="2357" spans="1:9" x14ac:dyDescent="0.2">
      <c r="A2357" s="10">
        <v>6712</v>
      </c>
      <c r="B2357" s="10">
        <v>93</v>
      </c>
      <c r="C2357" s="10" t="s">
        <v>2705</v>
      </c>
      <c r="D2357" s="10">
        <v>9302</v>
      </c>
      <c r="E2357" s="10" t="s">
        <v>2707</v>
      </c>
      <c r="F2357" s="11">
        <v>14689</v>
      </c>
      <c r="G2357" s="11">
        <v>14882</v>
      </c>
      <c r="H2357" s="11">
        <v>29571</v>
      </c>
      <c r="I2357" s="11">
        <v>9934</v>
      </c>
    </row>
    <row r="2358" spans="1:9" x14ac:dyDescent="0.2">
      <c r="A2358" s="10">
        <v>6712</v>
      </c>
      <c r="B2358" s="10">
        <v>93</v>
      </c>
      <c r="C2358" s="10" t="s">
        <v>2705</v>
      </c>
      <c r="D2358" s="10">
        <v>9303</v>
      </c>
      <c r="E2358" s="10" t="s">
        <v>2708</v>
      </c>
      <c r="F2358" s="11">
        <v>15074</v>
      </c>
      <c r="G2358" s="11">
        <v>15762</v>
      </c>
      <c r="H2358" s="11">
        <v>30836</v>
      </c>
      <c r="I2358" s="11">
        <v>12083</v>
      </c>
    </row>
    <row r="2359" spans="1:9" x14ac:dyDescent="0.2">
      <c r="A2359" s="10">
        <v>6712</v>
      </c>
      <c r="B2359" s="10">
        <v>93</v>
      </c>
      <c r="C2359" s="10" t="s">
        <v>2705</v>
      </c>
      <c r="D2359" s="10">
        <v>9304</v>
      </c>
      <c r="E2359" s="10" t="s">
        <v>2709</v>
      </c>
      <c r="F2359" s="11">
        <v>7123</v>
      </c>
      <c r="G2359" s="11">
        <v>7215</v>
      </c>
      <c r="H2359" s="11">
        <v>14338</v>
      </c>
      <c r="I2359" s="11">
        <v>4992</v>
      </c>
    </row>
    <row r="2360" spans="1:9" x14ac:dyDescent="0.2">
      <c r="A2360" s="10">
        <v>6712</v>
      </c>
      <c r="B2360" s="10">
        <v>93</v>
      </c>
      <c r="C2360" s="10" t="s">
        <v>2705</v>
      </c>
      <c r="D2360" s="10">
        <v>9305</v>
      </c>
      <c r="E2360" s="10" t="s">
        <v>2710</v>
      </c>
      <c r="F2360" s="11">
        <v>37631</v>
      </c>
      <c r="G2360" s="11">
        <v>40840</v>
      </c>
      <c r="H2360" s="11">
        <v>78471</v>
      </c>
      <c r="I2360" s="11">
        <v>31374</v>
      </c>
    </row>
    <row r="2361" spans="1:9" x14ac:dyDescent="0.2">
      <c r="A2361" s="10">
        <v>6712</v>
      </c>
      <c r="B2361" s="10">
        <v>93</v>
      </c>
      <c r="C2361" s="10" t="s">
        <v>2705</v>
      </c>
      <c r="D2361" s="10">
        <v>9306</v>
      </c>
      <c r="E2361" s="10" t="s">
        <v>2711</v>
      </c>
      <c r="F2361" s="11">
        <v>16042</v>
      </c>
      <c r="G2361" s="11">
        <v>16641</v>
      </c>
      <c r="H2361" s="11">
        <v>32683</v>
      </c>
      <c r="I2361" s="11">
        <v>11544</v>
      </c>
    </row>
    <row r="2362" spans="1:9" x14ac:dyDescent="0.2">
      <c r="A2362" s="10">
        <v>6712</v>
      </c>
      <c r="B2362" s="10">
        <v>93</v>
      </c>
      <c r="C2362" s="10" t="s">
        <v>2705</v>
      </c>
      <c r="D2362" s="10">
        <v>9307</v>
      </c>
      <c r="E2362" s="10" t="s">
        <v>2712</v>
      </c>
      <c r="F2362" s="11">
        <v>8993</v>
      </c>
      <c r="G2362" s="11">
        <v>9026</v>
      </c>
      <c r="H2362" s="11">
        <v>18019</v>
      </c>
      <c r="I2362" s="11">
        <v>7138</v>
      </c>
    </row>
    <row r="2363" spans="1:9" x14ac:dyDescent="0.2">
      <c r="A2363" s="10">
        <v>6712</v>
      </c>
      <c r="B2363" s="10">
        <v>93</v>
      </c>
      <c r="C2363" s="10" t="s">
        <v>2705</v>
      </c>
      <c r="D2363" s="10">
        <v>9308</v>
      </c>
      <c r="E2363" s="10" t="s">
        <v>2713</v>
      </c>
      <c r="F2363" s="11">
        <v>21390</v>
      </c>
      <c r="G2363" s="11">
        <v>21810</v>
      </c>
      <c r="H2363" s="11">
        <v>43200</v>
      </c>
      <c r="I2363" s="11">
        <v>16564</v>
      </c>
    </row>
    <row r="2364" spans="1:9" x14ac:dyDescent="0.2">
      <c r="A2364" s="10">
        <v>6712</v>
      </c>
      <c r="B2364" s="10">
        <v>93</v>
      </c>
      <c r="C2364" s="10" t="s">
        <v>2705</v>
      </c>
      <c r="D2364" s="10">
        <v>9309</v>
      </c>
      <c r="E2364" s="10" t="s">
        <v>2714</v>
      </c>
      <c r="F2364" s="11">
        <v>8928</v>
      </c>
      <c r="G2364" s="11">
        <v>9106</v>
      </c>
      <c r="H2364" s="11">
        <v>18034</v>
      </c>
      <c r="I2364" s="11">
        <v>6797</v>
      </c>
    </row>
    <row r="2365" spans="1:9" x14ac:dyDescent="0.2">
      <c r="A2365" s="10">
        <v>6712</v>
      </c>
      <c r="B2365" s="10">
        <v>93</v>
      </c>
      <c r="C2365" s="10" t="s">
        <v>2705</v>
      </c>
      <c r="D2365" s="10">
        <v>9310</v>
      </c>
      <c r="E2365" s="10" t="s">
        <v>2715</v>
      </c>
      <c r="F2365" s="11">
        <v>13126</v>
      </c>
      <c r="G2365" s="11">
        <v>13667</v>
      </c>
      <c r="H2365" s="11">
        <v>26793</v>
      </c>
      <c r="I2365" s="11">
        <v>11251</v>
      </c>
    </row>
    <row r="2366" spans="1:9" x14ac:dyDescent="0.2">
      <c r="A2366" s="10">
        <v>6712</v>
      </c>
      <c r="B2366" s="10">
        <v>93</v>
      </c>
      <c r="C2366" s="10" t="s">
        <v>2705</v>
      </c>
      <c r="D2366" s="10">
        <v>9311</v>
      </c>
      <c r="E2366" s="10" t="s">
        <v>2716</v>
      </c>
      <c r="F2366" s="11">
        <v>5122</v>
      </c>
      <c r="G2366" s="11">
        <v>5270</v>
      </c>
      <c r="H2366" s="11">
        <v>10392</v>
      </c>
      <c r="I2366" s="11">
        <v>3790</v>
      </c>
    </row>
    <row r="2367" spans="1:9" x14ac:dyDescent="0.2">
      <c r="A2367" s="10">
        <v>6712</v>
      </c>
      <c r="B2367" s="10">
        <v>93</v>
      </c>
      <c r="C2367" s="10" t="s">
        <v>2705</v>
      </c>
      <c r="D2367" s="10">
        <v>9382</v>
      </c>
      <c r="E2367" s="10" t="s">
        <v>2717</v>
      </c>
      <c r="F2367" s="11">
        <v>3603</v>
      </c>
      <c r="G2367" s="11">
        <v>3583</v>
      </c>
      <c r="H2367" s="11">
        <v>7186</v>
      </c>
      <c r="I2367" s="11">
        <v>2281</v>
      </c>
    </row>
    <row r="2368" spans="1:9" x14ac:dyDescent="0.2">
      <c r="A2368" s="10">
        <v>6712</v>
      </c>
      <c r="B2368" s="10">
        <v>93</v>
      </c>
      <c r="C2368" s="10" t="s">
        <v>2705</v>
      </c>
      <c r="D2368" s="10">
        <v>9383</v>
      </c>
      <c r="E2368" s="10" t="s">
        <v>2718</v>
      </c>
      <c r="F2368" s="11">
        <v>3632</v>
      </c>
      <c r="G2368" s="11">
        <v>3688</v>
      </c>
      <c r="H2368" s="11">
        <v>7320</v>
      </c>
      <c r="I2368" s="11">
        <v>2390</v>
      </c>
    </row>
    <row r="2369" spans="1:9" x14ac:dyDescent="0.2">
      <c r="A2369" s="10">
        <v>6712</v>
      </c>
      <c r="B2369" s="10">
        <v>93</v>
      </c>
      <c r="C2369" s="10" t="s">
        <v>2705</v>
      </c>
      <c r="D2369" s="10">
        <v>9384</v>
      </c>
      <c r="E2369" s="10" t="s">
        <v>2719</v>
      </c>
      <c r="F2369" s="11">
        <v>4881</v>
      </c>
      <c r="G2369" s="11">
        <v>5085</v>
      </c>
      <c r="H2369" s="11">
        <v>9966</v>
      </c>
      <c r="I2369" s="11">
        <v>3624</v>
      </c>
    </row>
    <row r="2370" spans="1:9" x14ac:dyDescent="0.2">
      <c r="A2370" s="10">
        <v>6712</v>
      </c>
      <c r="B2370" s="10">
        <v>93</v>
      </c>
      <c r="C2370" s="10" t="s">
        <v>2705</v>
      </c>
      <c r="D2370" s="10">
        <v>9385</v>
      </c>
      <c r="E2370" s="10" t="s">
        <v>2720</v>
      </c>
      <c r="F2370" s="11">
        <v>1892</v>
      </c>
      <c r="G2370" s="11">
        <v>1945</v>
      </c>
      <c r="H2370" s="11">
        <v>3837</v>
      </c>
      <c r="I2370" s="11">
        <v>1498</v>
      </c>
    </row>
    <row r="2371" spans="1:9" x14ac:dyDescent="0.2">
      <c r="A2371" s="10">
        <v>6712</v>
      </c>
      <c r="B2371" s="10">
        <v>93</v>
      </c>
      <c r="C2371" s="10" t="s">
        <v>2705</v>
      </c>
      <c r="D2371" s="10">
        <v>9386</v>
      </c>
      <c r="E2371" s="10" t="s">
        <v>2721</v>
      </c>
      <c r="F2371" s="11">
        <v>2249</v>
      </c>
      <c r="G2371" s="11">
        <v>2325</v>
      </c>
      <c r="H2371" s="11">
        <v>4574</v>
      </c>
      <c r="I2371" s="11">
        <v>1729</v>
      </c>
    </row>
    <row r="2372" spans="1:9" x14ac:dyDescent="0.2">
      <c r="A2372" s="10">
        <v>6712</v>
      </c>
      <c r="B2372" s="10">
        <v>93</v>
      </c>
      <c r="C2372" s="10" t="s">
        <v>2705</v>
      </c>
      <c r="D2372" s="10">
        <v>9387</v>
      </c>
      <c r="E2372" s="10" t="s">
        <v>2722</v>
      </c>
      <c r="F2372" s="11">
        <v>4781</v>
      </c>
      <c r="G2372" s="11">
        <v>4138</v>
      </c>
      <c r="H2372" s="11">
        <v>8919</v>
      </c>
      <c r="I2372" s="11">
        <v>3688</v>
      </c>
    </row>
    <row r="2373" spans="1:9" x14ac:dyDescent="0.2">
      <c r="A2373" s="10">
        <v>6712</v>
      </c>
      <c r="B2373" s="10">
        <v>93</v>
      </c>
      <c r="C2373" s="10" t="s">
        <v>2705</v>
      </c>
      <c r="D2373" s="10">
        <v>9388</v>
      </c>
      <c r="E2373" s="10" t="s">
        <v>2636</v>
      </c>
      <c r="F2373" s="11">
        <v>5045</v>
      </c>
      <c r="G2373" s="11">
        <v>5294</v>
      </c>
      <c r="H2373" s="11">
        <v>10339</v>
      </c>
      <c r="I2373" s="11">
        <v>3784</v>
      </c>
    </row>
    <row r="2374" spans="1:9" x14ac:dyDescent="0.2">
      <c r="A2374" s="10">
        <v>6712</v>
      </c>
      <c r="B2374" s="10">
        <v>93</v>
      </c>
      <c r="C2374" s="10" t="s">
        <v>2705</v>
      </c>
      <c r="D2374" s="10">
        <v>9389</v>
      </c>
      <c r="E2374" s="10" t="s">
        <v>703</v>
      </c>
      <c r="F2374" s="11">
        <v>3687</v>
      </c>
      <c r="G2374" s="11">
        <v>3782</v>
      </c>
      <c r="H2374" s="11">
        <v>7469</v>
      </c>
      <c r="I2374" s="11">
        <v>3288</v>
      </c>
    </row>
    <row r="2375" spans="1:9" x14ac:dyDescent="0.2">
      <c r="A2375" s="10">
        <v>6712</v>
      </c>
      <c r="B2375" s="10">
        <v>93</v>
      </c>
      <c r="C2375" s="10" t="s">
        <v>2705</v>
      </c>
      <c r="D2375" s="10">
        <v>9390</v>
      </c>
      <c r="E2375" s="10" t="s">
        <v>2723</v>
      </c>
      <c r="F2375" s="11">
        <v>4233</v>
      </c>
      <c r="G2375" s="11">
        <v>4459</v>
      </c>
      <c r="H2375" s="11">
        <v>8692</v>
      </c>
      <c r="I2375" s="11">
        <v>3081</v>
      </c>
    </row>
    <row r="2376" spans="1:9" x14ac:dyDescent="0.2">
      <c r="A2376" s="10">
        <v>6712</v>
      </c>
      <c r="B2376" s="10">
        <v>93</v>
      </c>
      <c r="C2376" s="10" t="s">
        <v>2705</v>
      </c>
      <c r="D2376" s="10">
        <v>9391</v>
      </c>
      <c r="E2376" s="10" t="s">
        <v>2724</v>
      </c>
      <c r="F2376" s="11">
        <v>1900</v>
      </c>
      <c r="G2376" s="11">
        <v>2090</v>
      </c>
      <c r="H2376" s="11">
        <v>3990</v>
      </c>
      <c r="I2376" s="11">
        <v>1934</v>
      </c>
    </row>
    <row r="2377" spans="1:9" x14ac:dyDescent="0.2">
      <c r="A2377" s="10">
        <v>6712</v>
      </c>
      <c r="B2377" s="10">
        <v>93</v>
      </c>
      <c r="C2377" s="10" t="s">
        <v>2705</v>
      </c>
      <c r="D2377" s="10">
        <v>9392</v>
      </c>
      <c r="E2377" s="10" t="s">
        <v>2725</v>
      </c>
      <c r="F2377" s="11">
        <v>2015</v>
      </c>
      <c r="G2377" s="11">
        <v>2087</v>
      </c>
      <c r="H2377" s="11">
        <v>4102</v>
      </c>
      <c r="I2377" s="11">
        <v>1828</v>
      </c>
    </row>
    <row r="2378" spans="1:9" x14ac:dyDescent="0.2">
      <c r="A2378" s="10">
        <v>6712</v>
      </c>
      <c r="B2378" s="10">
        <v>93</v>
      </c>
      <c r="C2378" s="10" t="s">
        <v>2705</v>
      </c>
      <c r="D2378" s="10">
        <v>9393</v>
      </c>
      <c r="E2378" s="10" t="s">
        <v>2726</v>
      </c>
      <c r="F2378" s="11">
        <v>1447</v>
      </c>
      <c r="G2378" s="11">
        <v>1610</v>
      </c>
      <c r="H2378" s="11">
        <v>3057</v>
      </c>
      <c r="I2378" s="11">
        <v>1546</v>
      </c>
    </row>
    <row r="2379" spans="1:9" x14ac:dyDescent="0.2">
      <c r="A2379" s="10">
        <v>6712</v>
      </c>
      <c r="B2379" s="10">
        <v>93</v>
      </c>
      <c r="C2379" s="10" t="s">
        <v>2705</v>
      </c>
      <c r="D2379" s="10">
        <v>9394</v>
      </c>
      <c r="E2379" s="10" t="s">
        <v>2727</v>
      </c>
      <c r="F2379" s="11">
        <v>1009</v>
      </c>
      <c r="G2379" s="11">
        <v>1153</v>
      </c>
      <c r="H2379" s="11">
        <v>2162</v>
      </c>
      <c r="I2379" s="10">
        <v>811</v>
      </c>
    </row>
    <row r="2380" spans="1:9" x14ac:dyDescent="0.2">
      <c r="A2380" s="10">
        <v>6712</v>
      </c>
      <c r="B2380" s="10">
        <v>93</v>
      </c>
      <c r="C2380" s="10" t="s">
        <v>2705</v>
      </c>
      <c r="D2380" s="10">
        <v>9395</v>
      </c>
      <c r="E2380" s="10" t="s">
        <v>2728</v>
      </c>
      <c r="F2380" s="10">
        <v>890</v>
      </c>
      <c r="G2380" s="11">
        <v>1072</v>
      </c>
      <c r="H2380" s="11">
        <v>1962</v>
      </c>
      <c r="I2380" s="11">
        <v>1212</v>
      </c>
    </row>
    <row r="2381" spans="1:9" x14ac:dyDescent="0.2">
      <c r="A2381" s="10">
        <v>6712</v>
      </c>
      <c r="B2381" s="10">
        <v>93</v>
      </c>
      <c r="C2381" s="10" t="s">
        <v>2705</v>
      </c>
      <c r="D2381" s="10">
        <v>9396</v>
      </c>
      <c r="E2381" s="10" t="s">
        <v>2729</v>
      </c>
      <c r="F2381" s="11">
        <v>2949</v>
      </c>
      <c r="G2381" s="11">
        <v>3227</v>
      </c>
      <c r="H2381" s="11">
        <v>6176</v>
      </c>
      <c r="I2381" s="11">
        <v>3579</v>
      </c>
    </row>
    <row r="2382" spans="1:9" x14ac:dyDescent="0.2">
      <c r="A2382" s="10">
        <v>6712</v>
      </c>
      <c r="B2382" s="10">
        <v>93</v>
      </c>
      <c r="C2382" s="10" t="s">
        <v>2705</v>
      </c>
      <c r="D2382" s="10">
        <v>9397</v>
      </c>
      <c r="E2382" s="10" t="s">
        <v>2730</v>
      </c>
      <c r="F2382" s="11">
        <v>2051</v>
      </c>
      <c r="G2382" s="11">
        <v>2187</v>
      </c>
      <c r="H2382" s="11">
        <v>4238</v>
      </c>
      <c r="I2382" s="11">
        <v>1609</v>
      </c>
    </row>
    <row r="2383" spans="1:9" x14ac:dyDescent="0.2">
      <c r="A2383" s="10">
        <v>6712</v>
      </c>
      <c r="B2383" s="10">
        <v>93</v>
      </c>
      <c r="C2383" s="10" t="s">
        <v>2705</v>
      </c>
      <c r="D2383" s="10">
        <v>9398</v>
      </c>
      <c r="E2383" s="10" t="s">
        <v>2731</v>
      </c>
      <c r="F2383" s="11">
        <v>1623</v>
      </c>
      <c r="G2383" s="11">
        <v>1788</v>
      </c>
      <c r="H2383" s="11">
        <v>3411</v>
      </c>
      <c r="I2383" s="11">
        <v>1678</v>
      </c>
    </row>
    <row r="2384" spans="1:9" x14ac:dyDescent="0.2">
      <c r="A2384" s="10">
        <v>6712</v>
      </c>
      <c r="B2384" s="10">
        <v>93</v>
      </c>
      <c r="C2384" s="10" t="s">
        <v>2705</v>
      </c>
      <c r="D2384" s="10">
        <v>9399</v>
      </c>
      <c r="E2384" s="10" t="s">
        <v>2732</v>
      </c>
      <c r="F2384" s="11">
        <v>13852</v>
      </c>
      <c r="G2384" s="11">
        <v>16317</v>
      </c>
      <c r="H2384" s="11">
        <v>30169</v>
      </c>
      <c r="I2384" s="11">
        <v>16615</v>
      </c>
    </row>
    <row r="2385" spans="1:9" x14ac:dyDescent="0.2">
      <c r="A2385" s="10">
        <v>6712</v>
      </c>
      <c r="B2385" s="10">
        <v>94</v>
      </c>
      <c r="C2385" s="10" t="s">
        <v>2733</v>
      </c>
      <c r="D2385" s="10">
        <v>9401</v>
      </c>
      <c r="E2385" s="10" t="s">
        <v>2734</v>
      </c>
      <c r="F2385" s="11">
        <v>44632</v>
      </c>
      <c r="G2385" s="11">
        <v>46805</v>
      </c>
      <c r="H2385" s="11">
        <v>91437</v>
      </c>
      <c r="I2385" s="11">
        <v>33717</v>
      </c>
    </row>
    <row r="2386" spans="1:9" x14ac:dyDescent="0.2">
      <c r="A2386" s="10">
        <v>6712</v>
      </c>
      <c r="B2386" s="10">
        <v>94</v>
      </c>
      <c r="C2386" s="10" t="s">
        <v>2733</v>
      </c>
      <c r="D2386" s="10">
        <v>9402</v>
      </c>
      <c r="E2386" s="10" t="s">
        <v>2735</v>
      </c>
      <c r="F2386" s="11">
        <v>30823</v>
      </c>
      <c r="G2386" s="11">
        <v>32294</v>
      </c>
      <c r="H2386" s="11">
        <v>63117</v>
      </c>
      <c r="I2386" s="11">
        <v>18698</v>
      </c>
    </row>
    <row r="2387" spans="1:9" x14ac:dyDescent="0.2">
      <c r="A2387" s="10">
        <v>6712</v>
      </c>
      <c r="B2387" s="10">
        <v>94</v>
      </c>
      <c r="C2387" s="10" t="s">
        <v>2733</v>
      </c>
      <c r="D2387" s="10">
        <v>9403</v>
      </c>
      <c r="E2387" s="10" t="s">
        <v>2736</v>
      </c>
      <c r="F2387" s="11">
        <v>30475</v>
      </c>
      <c r="G2387" s="11">
        <v>30901</v>
      </c>
      <c r="H2387" s="11">
        <v>61376</v>
      </c>
      <c r="I2387" s="11">
        <v>14493</v>
      </c>
    </row>
    <row r="2388" spans="1:9" x14ac:dyDescent="0.2">
      <c r="A2388" s="10">
        <v>6712</v>
      </c>
      <c r="B2388" s="10">
        <v>94</v>
      </c>
      <c r="C2388" s="10" t="s">
        <v>2733</v>
      </c>
      <c r="D2388" s="10">
        <v>9404</v>
      </c>
      <c r="E2388" s="10" t="s">
        <v>2737</v>
      </c>
      <c r="F2388" s="11">
        <v>18363</v>
      </c>
      <c r="G2388" s="11">
        <v>19031</v>
      </c>
      <c r="H2388" s="11">
        <v>37394</v>
      </c>
      <c r="I2388" s="11">
        <v>10039</v>
      </c>
    </row>
    <row r="2389" spans="1:9" x14ac:dyDescent="0.2">
      <c r="A2389" s="10">
        <v>6712</v>
      </c>
      <c r="B2389" s="10">
        <v>94</v>
      </c>
      <c r="C2389" s="10" t="s">
        <v>2733</v>
      </c>
      <c r="D2389" s="10">
        <v>9405</v>
      </c>
      <c r="E2389" s="10" t="s">
        <v>2738</v>
      </c>
      <c r="F2389" s="11">
        <v>28830</v>
      </c>
      <c r="G2389" s="11">
        <v>29394</v>
      </c>
      <c r="H2389" s="11">
        <v>58224</v>
      </c>
      <c r="I2389" s="11">
        <v>13685</v>
      </c>
    </row>
    <row r="2390" spans="1:9" x14ac:dyDescent="0.2">
      <c r="A2390" s="10">
        <v>6712</v>
      </c>
      <c r="B2390" s="10">
        <v>94</v>
      </c>
      <c r="C2390" s="10" t="s">
        <v>2733</v>
      </c>
      <c r="D2390" s="10">
        <v>9406</v>
      </c>
      <c r="E2390" s="10" t="s">
        <v>2739</v>
      </c>
      <c r="F2390" s="11">
        <v>12906</v>
      </c>
      <c r="G2390" s="11">
        <v>13306</v>
      </c>
      <c r="H2390" s="11">
        <v>26212</v>
      </c>
      <c r="I2390" s="11">
        <v>6218</v>
      </c>
    </row>
    <row r="2391" spans="1:9" x14ac:dyDescent="0.2">
      <c r="A2391" s="10">
        <v>6712</v>
      </c>
      <c r="B2391" s="10">
        <v>94</v>
      </c>
      <c r="C2391" s="10" t="s">
        <v>2733</v>
      </c>
      <c r="D2391" s="10">
        <v>9407</v>
      </c>
      <c r="E2391" s="10" t="s">
        <v>2740</v>
      </c>
      <c r="F2391" s="11">
        <v>28555</v>
      </c>
      <c r="G2391" s="11">
        <v>29784</v>
      </c>
      <c r="H2391" s="11">
        <v>58339</v>
      </c>
      <c r="I2391" s="11">
        <v>14331</v>
      </c>
    </row>
    <row r="2392" spans="1:9" x14ac:dyDescent="0.2">
      <c r="A2392" s="10">
        <v>6712</v>
      </c>
      <c r="B2392" s="10">
        <v>94</v>
      </c>
      <c r="C2392" s="10" t="s">
        <v>2733</v>
      </c>
      <c r="D2392" s="10">
        <v>9408</v>
      </c>
      <c r="E2392" s="10" t="s">
        <v>2741</v>
      </c>
      <c r="F2392" s="11">
        <v>6506</v>
      </c>
      <c r="G2392" s="11">
        <v>6746</v>
      </c>
      <c r="H2392" s="11">
        <v>13252</v>
      </c>
      <c r="I2392" s="11">
        <v>3645</v>
      </c>
    </row>
    <row r="2393" spans="1:9" x14ac:dyDescent="0.2">
      <c r="A2393" s="10">
        <v>6712</v>
      </c>
      <c r="B2393" s="10">
        <v>94</v>
      </c>
      <c r="C2393" s="10" t="s">
        <v>2733</v>
      </c>
      <c r="D2393" s="10">
        <v>9409</v>
      </c>
      <c r="E2393" s="10" t="s">
        <v>2742</v>
      </c>
      <c r="F2393" s="11">
        <v>36391</v>
      </c>
      <c r="G2393" s="11">
        <v>36861</v>
      </c>
      <c r="H2393" s="11">
        <v>73252</v>
      </c>
      <c r="I2393" s="11">
        <v>17067</v>
      </c>
    </row>
    <row r="2394" spans="1:9" x14ac:dyDescent="0.2">
      <c r="A2394" s="10">
        <v>6712</v>
      </c>
      <c r="B2394" s="10">
        <v>94</v>
      </c>
      <c r="C2394" s="10" t="s">
        <v>2733</v>
      </c>
      <c r="D2394" s="10">
        <v>9410</v>
      </c>
      <c r="E2394" s="10" t="s">
        <v>2743</v>
      </c>
      <c r="F2394" s="11">
        <v>46438</v>
      </c>
      <c r="G2394" s="11">
        <v>46759</v>
      </c>
      <c r="H2394" s="11">
        <v>93197</v>
      </c>
      <c r="I2394" s="11">
        <v>22771</v>
      </c>
    </row>
    <row r="2395" spans="1:9" x14ac:dyDescent="0.2">
      <c r="A2395" s="10">
        <v>6712</v>
      </c>
      <c r="B2395" s="10">
        <v>94</v>
      </c>
      <c r="C2395" s="10" t="s">
        <v>2733</v>
      </c>
      <c r="D2395" s="10">
        <v>9411</v>
      </c>
      <c r="E2395" s="10" t="s">
        <v>2744</v>
      </c>
      <c r="F2395" s="11">
        <v>9658</v>
      </c>
      <c r="G2395" s="11">
        <v>9883</v>
      </c>
      <c r="H2395" s="11">
        <v>19541</v>
      </c>
      <c r="I2395" s="11">
        <v>4678</v>
      </c>
    </row>
    <row r="2396" spans="1:9" x14ac:dyDescent="0.2">
      <c r="A2396" s="10">
        <v>6712</v>
      </c>
      <c r="B2396" s="10">
        <v>94</v>
      </c>
      <c r="C2396" s="10" t="s">
        <v>2733</v>
      </c>
      <c r="D2396" s="10">
        <v>9412</v>
      </c>
      <c r="E2396" s="10" t="s">
        <v>2745</v>
      </c>
      <c r="F2396" s="11">
        <v>8910</v>
      </c>
      <c r="G2396" s="11">
        <v>9088</v>
      </c>
      <c r="H2396" s="11">
        <v>17998</v>
      </c>
      <c r="I2396" s="11">
        <v>4803</v>
      </c>
    </row>
    <row r="2397" spans="1:9" x14ac:dyDescent="0.2">
      <c r="A2397" s="10">
        <v>6712</v>
      </c>
      <c r="B2397" s="10">
        <v>94</v>
      </c>
      <c r="C2397" s="10" t="s">
        <v>2733</v>
      </c>
      <c r="D2397" s="10">
        <v>9488</v>
      </c>
      <c r="E2397" s="10" t="s">
        <v>2746</v>
      </c>
      <c r="F2397" s="11">
        <v>2519</v>
      </c>
      <c r="G2397" s="11">
        <v>2671</v>
      </c>
      <c r="H2397" s="11">
        <v>5190</v>
      </c>
      <c r="I2397" s="11">
        <v>1453</v>
      </c>
    </row>
    <row r="2398" spans="1:9" x14ac:dyDescent="0.2">
      <c r="A2398" s="10">
        <v>6712</v>
      </c>
      <c r="B2398" s="10">
        <v>94</v>
      </c>
      <c r="C2398" s="10" t="s">
        <v>2733</v>
      </c>
      <c r="D2398" s="10">
        <v>9489</v>
      </c>
      <c r="E2398" s="10" t="s">
        <v>2747</v>
      </c>
      <c r="F2398" s="11">
        <v>3182</v>
      </c>
      <c r="G2398" s="11">
        <v>3064</v>
      </c>
      <c r="H2398" s="11">
        <v>6246</v>
      </c>
      <c r="I2398" s="11">
        <v>2016</v>
      </c>
    </row>
    <row r="2399" spans="1:9" x14ac:dyDescent="0.2">
      <c r="A2399" s="10">
        <v>6712</v>
      </c>
      <c r="B2399" s="10">
        <v>94</v>
      </c>
      <c r="C2399" s="10" t="s">
        <v>2733</v>
      </c>
      <c r="D2399" s="10">
        <v>9490</v>
      </c>
      <c r="E2399" s="10" t="s">
        <v>404</v>
      </c>
      <c r="F2399" s="11">
        <v>5255</v>
      </c>
      <c r="G2399" s="11">
        <v>5356</v>
      </c>
      <c r="H2399" s="11">
        <v>10611</v>
      </c>
      <c r="I2399" s="11">
        <v>2468</v>
      </c>
    </row>
    <row r="2400" spans="1:9" x14ac:dyDescent="0.2">
      <c r="A2400" s="10">
        <v>6712</v>
      </c>
      <c r="B2400" s="10">
        <v>94</v>
      </c>
      <c r="C2400" s="10" t="s">
        <v>2733</v>
      </c>
      <c r="D2400" s="10">
        <v>9491</v>
      </c>
      <c r="E2400" s="10" t="s">
        <v>2748</v>
      </c>
      <c r="F2400" s="11">
        <v>1362</v>
      </c>
      <c r="G2400" s="11">
        <v>1541</v>
      </c>
      <c r="H2400" s="11">
        <v>2903</v>
      </c>
      <c r="I2400" s="10">
        <v>759</v>
      </c>
    </row>
    <row r="2401" spans="1:9" x14ac:dyDescent="0.2">
      <c r="A2401" s="10">
        <v>6712</v>
      </c>
      <c r="B2401" s="10">
        <v>94</v>
      </c>
      <c r="C2401" s="10" t="s">
        <v>2733</v>
      </c>
      <c r="D2401" s="10">
        <v>9492</v>
      </c>
      <c r="E2401" s="10" t="s">
        <v>2749</v>
      </c>
      <c r="F2401" s="11">
        <v>2500</v>
      </c>
      <c r="G2401" s="11">
        <v>2526</v>
      </c>
      <c r="H2401" s="11">
        <v>5026</v>
      </c>
      <c r="I2401" s="11">
        <v>1308</v>
      </c>
    </row>
    <row r="2402" spans="1:9" x14ac:dyDescent="0.2">
      <c r="A2402" s="10">
        <v>6712</v>
      </c>
      <c r="B2402" s="10">
        <v>94</v>
      </c>
      <c r="C2402" s="10" t="s">
        <v>2733</v>
      </c>
      <c r="D2402" s="10">
        <v>9493</v>
      </c>
      <c r="E2402" s="10" t="s">
        <v>2750</v>
      </c>
      <c r="F2402" s="11">
        <v>5517</v>
      </c>
      <c r="G2402" s="11">
        <v>5533</v>
      </c>
      <c r="H2402" s="11">
        <v>11050</v>
      </c>
      <c r="I2402" s="11">
        <v>2915</v>
      </c>
    </row>
    <row r="2403" spans="1:9" x14ac:dyDescent="0.2">
      <c r="A2403" s="10">
        <v>6712</v>
      </c>
      <c r="B2403" s="10">
        <v>94</v>
      </c>
      <c r="C2403" s="10" t="s">
        <v>2733</v>
      </c>
      <c r="D2403" s="10">
        <v>9494</v>
      </c>
      <c r="E2403" s="10" t="s">
        <v>2751</v>
      </c>
      <c r="F2403" s="11">
        <v>3112</v>
      </c>
      <c r="G2403" s="11">
        <v>3132</v>
      </c>
      <c r="H2403" s="11">
        <v>6244</v>
      </c>
      <c r="I2403" s="11">
        <v>2101</v>
      </c>
    </row>
    <row r="2404" spans="1:9" x14ac:dyDescent="0.2">
      <c r="A2404" s="10">
        <v>6712</v>
      </c>
      <c r="B2404" s="10">
        <v>94</v>
      </c>
      <c r="C2404" s="10" t="s">
        <v>2733</v>
      </c>
      <c r="D2404" s="10">
        <v>9495</v>
      </c>
      <c r="E2404" s="10" t="s">
        <v>666</v>
      </c>
      <c r="F2404" s="11">
        <v>9400</v>
      </c>
      <c r="G2404" s="11">
        <v>6618</v>
      </c>
      <c r="H2404" s="11">
        <v>16018</v>
      </c>
      <c r="I2404" s="11">
        <v>6152</v>
      </c>
    </row>
    <row r="2405" spans="1:9" x14ac:dyDescent="0.2">
      <c r="A2405" s="10">
        <v>6712</v>
      </c>
      <c r="B2405" s="10">
        <v>94</v>
      </c>
      <c r="C2405" s="10" t="s">
        <v>2733</v>
      </c>
      <c r="D2405" s="10">
        <v>9496</v>
      </c>
      <c r="E2405" s="10" t="s">
        <v>2752</v>
      </c>
      <c r="F2405" s="11">
        <v>1469</v>
      </c>
      <c r="G2405" s="11">
        <v>1603</v>
      </c>
      <c r="H2405" s="11">
        <v>3072</v>
      </c>
      <c r="I2405" s="11">
        <v>1469</v>
      </c>
    </row>
    <row r="2406" spans="1:9" x14ac:dyDescent="0.2">
      <c r="A2406" s="10">
        <v>6712</v>
      </c>
      <c r="B2406" s="10">
        <v>94</v>
      </c>
      <c r="C2406" s="10" t="s">
        <v>2733</v>
      </c>
      <c r="D2406" s="10">
        <v>9497</v>
      </c>
      <c r="E2406" s="10" t="s">
        <v>2753</v>
      </c>
      <c r="F2406" s="11">
        <v>1593</v>
      </c>
      <c r="G2406" s="11">
        <v>1825</v>
      </c>
      <c r="H2406" s="11">
        <v>3418</v>
      </c>
      <c r="I2406" s="11">
        <v>1933</v>
      </c>
    </row>
    <row r="2407" spans="1:9" x14ac:dyDescent="0.2">
      <c r="A2407" s="10">
        <v>6712</v>
      </c>
      <c r="B2407" s="10">
        <v>94</v>
      </c>
      <c r="C2407" s="10" t="s">
        <v>2733</v>
      </c>
      <c r="D2407" s="10">
        <v>9498</v>
      </c>
      <c r="E2407" s="10" t="s">
        <v>2754</v>
      </c>
      <c r="F2407" s="11">
        <v>7156</v>
      </c>
      <c r="G2407" s="11">
        <v>7378</v>
      </c>
      <c r="H2407" s="11">
        <v>14534</v>
      </c>
      <c r="I2407" s="11">
        <v>4727</v>
      </c>
    </row>
    <row r="2408" spans="1:9" x14ac:dyDescent="0.2">
      <c r="A2408" s="10">
        <v>6712</v>
      </c>
      <c r="B2408" s="10">
        <v>94</v>
      </c>
      <c r="C2408" s="10" t="s">
        <v>2733</v>
      </c>
      <c r="D2408" s="10">
        <v>9499</v>
      </c>
      <c r="E2408" s="10" t="s">
        <v>2755</v>
      </c>
      <c r="F2408" s="11">
        <v>20980</v>
      </c>
      <c r="G2408" s="11">
        <v>22273</v>
      </c>
      <c r="H2408" s="11">
        <v>43253</v>
      </c>
      <c r="I2408" s="11">
        <v>16563</v>
      </c>
    </row>
    <row r="2409" spans="1:9" x14ac:dyDescent="0.2">
      <c r="A2409" s="10">
        <v>6712</v>
      </c>
      <c r="B2409" s="10">
        <v>95</v>
      </c>
      <c r="C2409" s="10" t="s">
        <v>2756</v>
      </c>
      <c r="D2409" s="10">
        <v>9501</v>
      </c>
      <c r="E2409" s="10" t="s">
        <v>2757</v>
      </c>
      <c r="F2409" s="11">
        <v>38800</v>
      </c>
      <c r="G2409" s="11">
        <v>39786</v>
      </c>
      <c r="H2409" s="11">
        <v>78586</v>
      </c>
      <c r="I2409" s="11">
        <v>20212</v>
      </c>
    </row>
    <row r="2410" spans="1:9" x14ac:dyDescent="0.2">
      <c r="A2410" s="10">
        <v>6712</v>
      </c>
      <c r="B2410" s="10">
        <v>95</v>
      </c>
      <c r="C2410" s="10" t="s">
        <v>2756</v>
      </c>
      <c r="D2410" s="10">
        <v>9502</v>
      </c>
      <c r="E2410" s="10" t="s">
        <v>2758</v>
      </c>
      <c r="F2410" s="11">
        <v>18751</v>
      </c>
      <c r="G2410" s="11">
        <v>17716</v>
      </c>
      <c r="H2410" s="11">
        <v>36467</v>
      </c>
      <c r="I2410" s="11">
        <v>16253</v>
      </c>
    </row>
    <row r="2411" spans="1:9" x14ac:dyDescent="0.2">
      <c r="A2411" s="10">
        <v>6712</v>
      </c>
      <c r="B2411" s="10">
        <v>95</v>
      </c>
      <c r="C2411" s="10" t="s">
        <v>2756</v>
      </c>
      <c r="D2411" s="10">
        <v>9503</v>
      </c>
      <c r="E2411" s="10" t="s">
        <v>2759</v>
      </c>
      <c r="F2411" s="11">
        <v>29480</v>
      </c>
      <c r="G2411" s="11">
        <v>28578</v>
      </c>
      <c r="H2411" s="11">
        <v>58058</v>
      </c>
      <c r="I2411" s="11">
        <v>16646</v>
      </c>
    </row>
    <row r="2412" spans="1:9" x14ac:dyDescent="0.2">
      <c r="A2412" s="10">
        <v>6712</v>
      </c>
      <c r="B2412" s="10">
        <v>95</v>
      </c>
      <c r="C2412" s="10" t="s">
        <v>2756</v>
      </c>
      <c r="D2412" s="10">
        <v>9504</v>
      </c>
      <c r="E2412" s="10" t="s">
        <v>2760</v>
      </c>
      <c r="F2412" s="11">
        <v>12941</v>
      </c>
      <c r="G2412" s="11">
        <v>11953</v>
      </c>
      <c r="H2412" s="11">
        <v>24894</v>
      </c>
      <c r="I2412" s="11">
        <v>9444</v>
      </c>
    </row>
    <row r="2413" spans="1:9" x14ac:dyDescent="0.2">
      <c r="A2413" s="10">
        <v>6712</v>
      </c>
      <c r="B2413" s="10">
        <v>95</v>
      </c>
      <c r="C2413" s="10" t="s">
        <v>2756</v>
      </c>
      <c r="D2413" s="10">
        <v>9505</v>
      </c>
      <c r="E2413" s="10" t="s">
        <v>2761</v>
      </c>
      <c r="F2413" s="11">
        <v>31859</v>
      </c>
      <c r="G2413" s="11">
        <v>31696</v>
      </c>
      <c r="H2413" s="11">
        <v>63555</v>
      </c>
      <c r="I2413" s="11">
        <v>15280</v>
      </c>
    </row>
    <row r="2414" spans="1:9" x14ac:dyDescent="0.2">
      <c r="A2414" s="10">
        <v>6712</v>
      </c>
      <c r="B2414" s="10">
        <v>95</v>
      </c>
      <c r="C2414" s="10" t="s">
        <v>2756</v>
      </c>
      <c r="D2414" s="10">
        <v>9506</v>
      </c>
      <c r="E2414" s="10" t="s">
        <v>2762</v>
      </c>
      <c r="F2414" s="11">
        <v>43642</v>
      </c>
      <c r="G2414" s="11">
        <v>44607</v>
      </c>
      <c r="H2414" s="11">
        <v>88249</v>
      </c>
      <c r="I2414" s="11">
        <v>21827</v>
      </c>
    </row>
    <row r="2415" spans="1:9" x14ac:dyDescent="0.2">
      <c r="A2415" s="10">
        <v>6712</v>
      </c>
      <c r="B2415" s="10">
        <v>95</v>
      </c>
      <c r="C2415" s="10" t="s">
        <v>2756</v>
      </c>
      <c r="D2415" s="10">
        <v>9507</v>
      </c>
      <c r="E2415" s="10" t="s">
        <v>2763</v>
      </c>
      <c r="F2415" s="11">
        <v>13416</v>
      </c>
      <c r="G2415" s="11">
        <v>12801</v>
      </c>
      <c r="H2415" s="11">
        <v>26217</v>
      </c>
      <c r="I2415" s="11">
        <v>7475</v>
      </c>
    </row>
    <row r="2416" spans="1:9" x14ac:dyDescent="0.2">
      <c r="A2416" s="10">
        <v>6712</v>
      </c>
      <c r="B2416" s="10">
        <v>95</v>
      </c>
      <c r="C2416" s="10" t="s">
        <v>2756</v>
      </c>
      <c r="D2416" s="10">
        <v>9508</v>
      </c>
      <c r="E2416" s="10" t="s">
        <v>2764</v>
      </c>
      <c r="F2416" s="11">
        <v>15754</v>
      </c>
      <c r="G2416" s="11">
        <v>15469</v>
      </c>
      <c r="H2416" s="11">
        <v>31223</v>
      </c>
      <c r="I2416" s="11">
        <v>6703</v>
      </c>
    </row>
    <row r="2417" spans="1:9" x14ac:dyDescent="0.2">
      <c r="A2417" s="10">
        <v>6712</v>
      </c>
      <c r="B2417" s="10">
        <v>95</v>
      </c>
      <c r="C2417" s="10" t="s">
        <v>2756</v>
      </c>
      <c r="D2417" s="10">
        <v>9590</v>
      </c>
      <c r="E2417" s="10" t="s">
        <v>2765</v>
      </c>
      <c r="F2417" s="11">
        <v>18302</v>
      </c>
      <c r="G2417" s="11">
        <v>19783</v>
      </c>
      <c r="H2417" s="11">
        <v>38085</v>
      </c>
      <c r="I2417" s="11">
        <v>17414</v>
      </c>
    </row>
    <row r="2418" spans="1:9" x14ac:dyDescent="0.2">
      <c r="A2418" s="10">
        <v>6712</v>
      </c>
      <c r="B2418" s="10">
        <v>95</v>
      </c>
      <c r="C2418" s="10" t="s">
        <v>2756</v>
      </c>
      <c r="D2418" s="10">
        <v>9591</v>
      </c>
      <c r="E2418" s="10" t="s">
        <v>2766</v>
      </c>
      <c r="F2418" s="11">
        <v>2451</v>
      </c>
      <c r="G2418" s="11">
        <v>2209</v>
      </c>
      <c r="H2418" s="11">
        <v>4660</v>
      </c>
      <c r="I2418" s="11">
        <v>2076</v>
      </c>
    </row>
    <row r="2419" spans="1:9" x14ac:dyDescent="0.2">
      <c r="A2419" s="10">
        <v>6712</v>
      </c>
      <c r="B2419" s="10">
        <v>95</v>
      </c>
      <c r="C2419" s="10" t="s">
        <v>2756</v>
      </c>
      <c r="D2419" s="10">
        <v>9592</v>
      </c>
      <c r="E2419" s="10" t="s">
        <v>2767</v>
      </c>
      <c r="F2419" s="11">
        <v>2949</v>
      </c>
      <c r="G2419" s="11">
        <v>3076</v>
      </c>
      <c r="H2419" s="11">
        <v>6025</v>
      </c>
      <c r="I2419" s="11">
        <v>1811</v>
      </c>
    </row>
    <row r="2420" spans="1:9" x14ac:dyDescent="0.2">
      <c r="A2420" s="10">
        <v>6712</v>
      </c>
      <c r="B2420" s="10">
        <v>95</v>
      </c>
      <c r="C2420" s="10" t="s">
        <v>2756</v>
      </c>
      <c r="D2420" s="10">
        <v>9593</v>
      </c>
      <c r="E2420" s="10" t="s">
        <v>2768</v>
      </c>
      <c r="F2420" s="11">
        <v>2537</v>
      </c>
      <c r="G2420" s="11">
        <v>2594</v>
      </c>
      <c r="H2420" s="11">
        <v>5131</v>
      </c>
      <c r="I2420" s="11">
        <v>1960</v>
      </c>
    </row>
    <row r="2421" spans="1:9" x14ac:dyDescent="0.2">
      <c r="A2421" s="10">
        <v>6712</v>
      </c>
      <c r="B2421" s="10">
        <v>95</v>
      </c>
      <c r="C2421" s="10" t="s">
        <v>2756</v>
      </c>
      <c r="D2421" s="10">
        <v>9594</v>
      </c>
      <c r="E2421" s="10" t="s">
        <v>2769</v>
      </c>
      <c r="F2421" s="11">
        <v>1246</v>
      </c>
      <c r="G2421" s="11">
        <v>1215</v>
      </c>
      <c r="H2421" s="11">
        <v>2461</v>
      </c>
      <c r="I2421" s="10">
        <v>812</v>
      </c>
    </row>
    <row r="2422" spans="1:9" x14ac:dyDescent="0.2">
      <c r="A2422" s="10">
        <v>6712</v>
      </c>
      <c r="B2422" s="10">
        <v>95</v>
      </c>
      <c r="C2422" s="10" t="s">
        <v>2756</v>
      </c>
      <c r="D2422" s="10">
        <v>9595</v>
      </c>
      <c r="E2422" s="10" t="s">
        <v>2770</v>
      </c>
      <c r="F2422" s="10">
        <v>719</v>
      </c>
      <c r="G2422" s="10">
        <v>706</v>
      </c>
      <c r="H2422" s="11">
        <v>1425</v>
      </c>
      <c r="I2422" s="10">
        <v>603</v>
      </c>
    </row>
    <row r="2423" spans="1:9" x14ac:dyDescent="0.2">
      <c r="A2423" s="10">
        <v>6712</v>
      </c>
      <c r="B2423" s="10">
        <v>95</v>
      </c>
      <c r="C2423" s="10" t="s">
        <v>2756</v>
      </c>
      <c r="D2423" s="10">
        <v>9596</v>
      </c>
      <c r="E2423" s="10" t="s">
        <v>2771</v>
      </c>
      <c r="F2423" s="11">
        <v>1268</v>
      </c>
      <c r="G2423" s="11">
        <v>1275</v>
      </c>
      <c r="H2423" s="11">
        <v>2543</v>
      </c>
      <c r="I2423" s="11">
        <v>1060</v>
      </c>
    </row>
    <row r="2424" spans="1:9" x14ac:dyDescent="0.2">
      <c r="A2424" s="10">
        <v>6712</v>
      </c>
      <c r="B2424" s="10">
        <v>95</v>
      </c>
      <c r="C2424" s="10" t="s">
        <v>2756</v>
      </c>
      <c r="D2424" s="10">
        <v>9597</v>
      </c>
      <c r="E2424" s="10" t="s">
        <v>2772</v>
      </c>
      <c r="F2424" s="10">
        <v>514</v>
      </c>
      <c r="G2424" s="10">
        <v>527</v>
      </c>
      <c r="H2424" s="11">
        <v>1041</v>
      </c>
      <c r="I2424" s="10">
        <v>393</v>
      </c>
    </row>
    <row r="2425" spans="1:9" x14ac:dyDescent="0.2">
      <c r="A2425" s="10">
        <v>6712</v>
      </c>
      <c r="B2425" s="10">
        <v>95</v>
      </c>
      <c r="C2425" s="10" t="s">
        <v>2756</v>
      </c>
      <c r="D2425" s="10">
        <v>9598</v>
      </c>
      <c r="E2425" s="10" t="s">
        <v>2773</v>
      </c>
      <c r="F2425" s="11">
        <v>12437</v>
      </c>
      <c r="G2425" s="11">
        <v>13467</v>
      </c>
      <c r="H2425" s="11">
        <v>25904</v>
      </c>
      <c r="I2425" s="11">
        <v>11651</v>
      </c>
    </row>
    <row r="2426" spans="1:9" x14ac:dyDescent="0.2">
      <c r="A2426" s="10">
        <v>6712</v>
      </c>
      <c r="B2426" s="10">
        <v>95</v>
      </c>
      <c r="C2426" s="10" t="s">
        <v>2756</v>
      </c>
      <c r="D2426" s="10">
        <v>9599</v>
      </c>
      <c r="E2426" s="10" t="s">
        <v>2774</v>
      </c>
      <c r="F2426" s="11">
        <v>27635</v>
      </c>
      <c r="G2426" s="11">
        <v>30815</v>
      </c>
      <c r="H2426" s="11">
        <v>58450</v>
      </c>
      <c r="I2426" s="11">
        <v>29664</v>
      </c>
    </row>
    <row r="2427" spans="1:9" x14ac:dyDescent="0.2">
      <c r="A2427" s="10">
        <v>6712</v>
      </c>
      <c r="B2427" s="10">
        <v>96</v>
      </c>
      <c r="C2427" s="10" t="s">
        <v>2775</v>
      </c>
      <c r="D2427" s="10">
        <v>9601</v>
      </c>
      <c r="E2427" s="10" t="s">
        <v>2776</v>
      </c>
      <c r="F2427" s="11">
        <v>44411</v>
      </c>
      <c r="G2427" s="11">
        <v>44203</v>
      </c>
      <c r="H2427" s="11">
        <v>88614</v>
      </c>
      <c r="I2427" s="11">
        <v>28297</v>
      </c>
    </row>
    <row r="2428" spans="1:9" x14ac:dyDescent="0.2">
      <c r="A2428" s="10">
        <v>6712</v>
      </c>
      <c r="B2428" s="10">
        <v>96</v>
      </c>
      <c r="C2428" s="10" t="s">
        <v>2775</v>
      </c>
      <c r="D2428" s="10">
        <v>9602</v>
      </c>
      <c r="E2428" s="10" t="s">
        <v>2777</v>
      </c>
      <c r="F2428" s="11">
        <v>27379</v>
      </c>
      <c r="G2428" s="11">
        <v>28121</v>
      </c>
      <c r="H2428" s="11">
        <v>55500</v>
      </c>
      <c r="I2428" s="11">
        <v>12788</v>
      </c>
    </row>
    <row r="2429" spans="1:9" x14ac:dyDescent="0.2">
      <c r="A2429" s="10">
        <v>6712</v>
      </c>
      <c r="B2429" s="10">
        <v>96</v>
      </c>
      <c r="C2429" s="10" t="s">
        <v>2775</v>
      </c>
      <c r="D2429" s="10">
        <v>9603</v>
      </c>
      <c r="E2429" s="10" t="s">
        <v>2778</v>
      </c>
      <c r="F2429" s="11">
        <v>20807</v>
      </c>
      <c r="G2429" s="11">
        <v>21493</v>
      </c>
      <c r="H2429" s="11">
        <v>42300</v>
      </c>
      <c r="I2429" s="11">
        <v>9876</v>
      </c>
    </row>
    <row r="2430" spans="1:9" x14ac:dyDescent="0.2">
      <c r="A2430" s="10">
        <v>6712</v>
      </c>
      <c r="B2430" s="10">
        <v>96</v>
      </c>
      <c r="C2430" s="10" t="s">
        <v>2775</v>
      </c>
      <c r="D2430" s="10">
        <v>9604</v>
      </c>
      <c r="E2430" s="10" t="s">
        <v>2779</v>
      </c>
      <c r="F2430" s="11">
        <v>22357</v>
      </c>
      <c r="G2430" s="11">
        <v>22972</v>
      </c>
      <c r="H2430" s="11">
        <v>45329</v>
      </c>
      <c r="I2430" s="11">
        <v>11101</v>
      </c>
    </row>
    <row r="2431" spans="1:9" x14ac:dyDescent="0.2">
      <c r="A2431" s="10">
        <v>6712</v>
      </c>
      <c r="B2431" s="10">
        <v>96</v>
      </c>
      <c r="C2431" s="10" t="s">
        <v>2775</v>
      </c>
      <c r="D2431" s="10">
        <v>9605</v>
      </c>
      <c r="E2431" s="10" t="s">
        <v>2780</v>
      </c>
      <c r="F2431" s="11">
        <v>39255</v>
      </c>
      <c r="G2431" s="11">
        <v>40607</v>
      </c>
      <c r="H2431" s="11">
        <v>79862</v>
      </c>
      <c r="I2431" s="11">
        <v>18377</v>
      </c>
    </row>
    <row r="2432" spans="1:9" x14ac:dyDescent="0.2">
      <c r="A2432" s="10">
        <v>6712</v>
      </c>
      <c r="B2432" s="10">
        <v>96</v>
      </c>
      <c r="C2432" s="10" t="s">
        <v>2775</v>
      </c>
      <c r="D2432" s="10">
        <v>9606</v>
      </c>
      <c r="E2432" s="10" t="s">
        <v>2781</v>
      </c>
      <c r="F2432" s="11">
        <v>34281</v>
      </c>
      <c r="G2432" s="11">
        <v>34309</v>
      </c>
      <c r="H2432" s="11">
        <v>68590</v>
      </c>
      <c r="I2432" s="11">
        <v>16441</v>
      </c>
    </row>
    <row r="2433" spans="1:9" x14ac:dyDescent="0.2">
      <c r="A2433" s="10">
        <v>6712</v>
      </c>
      <c r="B2433" s="10">
        <v>96</v>
      </c>
      <c r="C2433" s="10" t="s">
        <v>2775</v>
      </c>
      <c r="D2433" s="10">
        <v>9607</v>
      </c>
      <c r="E2433" s="10" t="s">
        <v>2782</v>
      </c>
      <c r="F2433" s="11">
        <v>19201</v>
      </c>
      <c r="G2433" s="11">
        <v>18678</v>
      </c>
      <c r="H2433" s="11">
        <v>37879</v>
      </c>
      <c r="I2433" s="11">
        <v>10045</v>
      </c>
    </row>
    <row r="2434" spans="1:9" x14ac:dyDescent="0.2">
      <c r="A2434" s="10">
        <v>6712</v>
      </c>
      <c r="B2434" s="10">
        <v>96</v>
      </c>
      <c r="C2434" s="10" t="s">
        <v>2775</v>
      </c>
      <c r="D2434" s="10">
        <v>9608</v>
      </c>
      <c r="E2434" s="10" t="s">
        <v>2783</v>
      </c>
      <c r="F2434" s="11">
        <v>22201</v>
      </c>
      <c r="G2434" s="11">
        <v>22633</v>
      </c>
      <c r="H2434" s="11">
        <v>44834</v>
      </c>
      <c r="I2434" s="11">
        <v>10977</v>
      </c>
    </row>
    <row r="2435" spans="1:9" x14ac:dyDescent="0.2">
      <c r="A2435" s="10">
        <v>6712</v>
      </c>
      <c r="B2435" s="10">
        <v>96</v>
      </c>
      <c r="C2435" s="10" t="s">
        <v>2775</v>
      </c>
      <c r="D2435" s="10">
        <v>9609</v>
      </c>
      <c r="E2435" s="10" t="s">
        <v>2784</v>
      </c>
      <c r="F2435" s="11">
        <v>11786</v>
      </c>
      <c r="G2435" s="11">
        <v>11357</v>
      </c>
      <c r="H2435" s="11">
        <v>23143</v>
      </c>
      <c r="I2435" s="11">
        <v>7666</v>
      </c>
    </row>
    <row r="2436" spans="1:9" x14ac:dyDescent="0.2">
      <c r="A2436" s="10">
        <v>6712</v>
      </c>
      <c r="B2436" s="10">
        <v>96</v>
      </c>
      <c r="C2436" s="10" t="s">
        <v>2775</v>
      </c>
      <c r="D2436" s="10">
        <v>9610</v>
      </c>
      <c r="E2436" s="10" t="s">
        <v>2785</v>
      </c>
      <c r="F2436" s="11">
        <v>19057</v>
      </c>
      <c r="G2436" s="11">
        <v>20215</v>
      </c>
      <c r="H2436" s="11">
        <v>39272</v>
      </c>
      <c r="I2436" s="11">
        <v>11845</v>
      </c>
    </row>
    <row r="2437" spans="1:9" x14ac:dyDescent="0.2">
      <c r="A2437" s="10">
        <v>6712</v>
      </c>
      <c r="B2437" s="10">
        <v>96</v>
      </c>
      <c r="C2437" s="10" t="s">
        <v>2775</v>
      </c>
      <c r="D2437" s="10">
        <v>9611</v>
      </c>
      <c r="E2437" s="10" t="s">
        <v>2786</v>
      </c>
      <c r="F2437" s="11">
        <v>24342</v>
      </c>
      <c r="G2437" s="11">
        <v>24998</v>
      </c>
      <c r="H2437" s="11">
        <v>49340</v>
      </c>
      <c r="I2437" s="11">
        <v>12786</v>
      </c>
    </row>
    <row r="2438" spans="1:9" x14ac:dyDescent="0.2">
      <c r="A2438" s="10">
        <v>6712</v>
      </c>
      <c r="B2438" s="10">
        <v>96</v>
      </c>
      <c r="C2438" s="10" t="s">
        <v>2775</v>
      </c>
      <c r="D2438" s="10">
        <v>9612</v>
      </c>
      <c r="E2438" s="10" t="s">
        <v>2787</v>
      </c>
      <c r="F2438" s="11">
        <v>20540</v>
      </c>
      <c r="G2438" s="11">
        <v>19989</v>
      </c>
      <c r="H2438" s="11">
        <v>40529</v>
      </c>
      <c r="I2438" s="11">
        <v>10159</v>
      </c>
    </row>
    <row r="2439" spans="1:9" x14ac:dyDescent="0.2">
      <c r="A2439" s="10">
        <v>6712</v>
      </c>
      <c r="B2439" s="10">
        <v>96</v>
      </c>
      <c r="C2439" s="10" t="s">
        <v>2775</v>
      </c>
      <c r="D2439" s="10">
        <v>9613</v>
      </c>
      <c r="E2439" s="10" t="s">
        <v>2788</v>
      </c>
      <c r="F2439" s="11">
        <v>20774</v>
      </c>
      <c r="G2439" s="11">
        <v>20945</v>
      </c>
      <c r="H2439" s="11">
        <v>41719</v>
      </c>
      <c r="I2439" s="11">
        <v>10241</v>
      </c>
    </row>
    <row r="2440" spans="1:9" x14ac:dyDescent="0.2">
      <c r="A2440" s="10">
        <v>6712</v>
      </c>
      <c r="B2440" s="10">
        <v>96</v>
      </c>
      <c r="C2440" s="10" t="s">
        <v>2775</v>
      </c>
      <c r="D2440" s="10">
        <v>9686</v>
      </c>
      <c r="E2440" s="10" t="s">
        <v>2789</v>
      </c>
      <c r="F2440" s="11">
        <v>3400</v>
      </c>
      <c r="G2440" s="11">
        <v>3578</v>
      </c>
      <c r="H2440" s="11">
        <v>6978</v>
      </c>
      <c r="I2440" s="11">
        <v>2172</v>
      </c>
    </row>
    <row r="2441" spans="1:9" x14ac:dyDescent="0.2">
      <c r="A2441" s="10">
        <v>6712</v>
      </c>
      <c r="B2441" s="10">
        <v>96</v>
      </c>
      <c r="C2441" s="10" t="s">
        <v>2775</v>
      </c>
      <c r="D2441" s="10">
        <v>9687</v>
      </c>
      <c r="E2441" s="10" t="s">
        <v>2790</v>
      </c>
      <c r="F2441" s="11">
        <v>1754</v>
      </c>
      <c r="G2441" s="11">
        <v>1685</v>
      </c>
      <c r="H2441" s="11">
        <v>3439</v>
      </c>
      <c r="I2441" s="11">
        <v>1650</v>
      </c>
    </row>
    <row r="2442" spans="1:9" x14ac:dyDescent="0.2">
      <c r="A2442" s="10">
        <v>6712</v>
      </c>
      <c r="B2442" s="10">
        <v>96</v>
      </c>
      <c r="C2442" s="10" t="s">
        <v>2775</v>
      </c>
      <c r="D2442" s="10">
        <v>9688</v>
      </c>
      <c r="E2442" s="10" t="s">
        <v>2791</v>
      </c>
      <c r="F2442" s="11">
        <v>2561</v>
      </c>
      <c r="G2442" s="11">
        <v>2708</v>
      </c>
      <c r="H2442" s="11">
        <v>5269</v>
      </c>
      <c r="I2442" s="11">
        <v>1731</v>
      </c>
    </row>
    <row r="2443" spans="1:9" x14ac:dyDescent="0.2">
      <c r="A2443" s="10">
        <v>6712</v>
      </c>
      <c r="B2443" s="10">
        <v>96</v>
      </c>
      <c r="C2443" s="10" t="s">
        <v>2775</v>
      </c>
      <c r="D2443" s="10">
        <v>9689</v>
      </c>
      <c r="E2443" s="10" t="s">
        <v>2792</v>
      </c>
      <c r="F2443" s="11">
        <v>2553</v>
      </c>
      <c r="G2443" s="11">
        <v>2716</v>
      </c>
      <c r="H2443" s="11">
        <v>5269</v>
      </c>
      <c r="I2443" s="11">
        <v>1484</v>
      </c>
    </row>
    <row r="2444" spans="1:9" x14ac:dyDescent="0.2">
      <c r="A2444" s="10">
        <v>6712</v>
      </c>
      <c r="B2444" s="10">
        <v>96</v>
      </c>
      <c r="C2444" s="10" t="s">
        <v>2775</v>
      </c>
      <c r="D2444" s="10">
        <v>9690</v>
      </c>
      <c r="E2444" s="10" t="s">
        <v>2793</v>
      </c>
      <c r="F2444" s="11">
        <v>2635</v>
      </c>
      <c r="G2444" s="11">
        <v>2565</v>
      </c>
      <c r="H2444" s="11">
        <v>5200</v>
      </c>
      <c r="I2444" s="11">
        <v>1924</v>
      </c>
    </row>
    <row r="2445" spans="1:9" x14ac:dyDescent="0.2">
      <c r="A2445" s="10">
        <v>6712</v>
      </c>
      <c r="B2445" s="10">
        <v>96</v>
      </c>
      <c r="C2445" s="10" t="s">
        <v>2775</v>
      </c>
      <c r="D2445" s="10">
        <v>9691</v>
      </c>
      <c r="E2445" s="10" t="s">
        <v>2794</v>
      </c>
      <c r="F2445" s="11">
        <v>3672</v>
      </c>
      <c r="G2445" s="11">
        <v>3817</v>
      </c>
      <c r="H2445" s="11">
        <v>7489</v>
      </c>
      <c r="I2445" s="11">
        <v>3753</v>
      </c>
    </row>
    <row r="2446" spans="1:9" x14ac:dyDescent="0.2">
      <c r="A2446" s="10">
        <v>6712</v>
      </c>
      <c r="B2446" s="10">
        <v>96</v>
      </c>
      <c r="C2446" s="10" t="s">
        <v>2775</v>
      </c>
      <c r="D2446" s="10">
        <v>9692</v>
      </c>
      <c r="E2446" s="10" t="s">
        <v>2795</v>
      </c>
      <c r="F2446" s="11">
        <v>4399</v>
      </c>
      <c r="G2446" s="11">
        <v>4280</v>
      </c>
      <c r="H2446" s="11">
        <v>8679</v>
      </c>
      <c r="I2446" s="11">
        <v>1842</v>
      </c>
    </row>
    <row r="2447" spans="1:9" x14ac:dyDescent="0.2">
      <c r="A2447" s="10">
        <v>6712</v>
      </c>
      <c r="B2447" s="10">
        <v>96</v>
      </c>
      <c r="C2447" s="10" t="s">
        <v>2775</v>
      </c>
      <c r="D2447" s="10">
        <v>9693</v>
      </c>
      <c r="E2447" s="10" t="s">
        <v>2796</v>
      </c>
      <c r="F2447" s="11">
        <v>3251</v>
      </c>
      <c r="G2447" s="11">
        <v>3501</v>
      </c>
      <c r="H2447" s="11">
        <v>6752</v>
      </c>
      <c r="I2447" s="11">
        <v>3920</v>
      </c>
    </row>
    <row r="2448" spans="1:9" x14ac:dyDescent="0.2">
      <c r="A2448" s="10">
        <v>6712</v>
      </c>
      <c r="B2448" s="10">
        <v>96</v>
      </c>
      <c r="C2448" s="10" t="s">
        <v>2775</v>
      </c>
      <c r="D2448" s="10">
        <v>9694</v>
      </c>
      <c r="E2448" s="10" t="s">
        <v>2797</v>
      </c>
      <c r="F2448" s="11">
        <v>1549</v>
      </c>
      <c r="G2448" s="11">
        <v>1538</v>
      </c>
      <c r="H2448" s="11">
        <v>3087</v>
      </c>
      <c r="I2448" s="11">
        <v>1148</v>
      </c>
    </row>
    <row r="2449" spans="1:9" x14ac:dyDescent="0.2">
      <c r="A2449" s="10">
        <v>6712</v>
      </c>
      <c r="B2449" s="10">
        <v>96</v>
      </c>
      <c r="C2449" s="10" t="s">
        <v>2775</v>
      </c>
      <c r="D2449" s="10">
        <v>9695</v>
      </c>
      <c r="E2449" s="10" t="s">
        <v>2798</v>
      </c>
      <c r="F2449" s="11">
        <v>4857</v>
      </c>
      <c r="G2449" s="11">
        <v>4863</v>
      </c>
      <c r="H2449" s="11">
        <v>9720</v>
      </c>
      <c r="I2449" s="11">
        <v>2380</v>
      </c>
    </row>
    <row r="2450" spans="1:9" x14ac:dyDescent="0.2">
      <c r="A2450" s="10">
        <v>6712</v>
      </c>
      <c r="B2450" s="10">
        <v>96</v>
      </c>
      <c r="C2450" s="10" t="s">
        <v>2775</v>
      </c>
      <c r="D2450" s="10">
        <v>9696</v>
      </c>
      <c r="E2450" s="10" t="s">
        <v>2799</v>
      </c>
      <c r="F2450" s="11">
        <v>2472</v>
      </c>
      <c r="G2450" s="11">
        <v>2696</v>
      </c>
      <c r="H2450" s="11">
        <v>5168</v>
      </c>
      <c r="I2450" s="11">
        <v>1501</v>
      </c>
    </row>
    <row r="2451" spans="1:9" x14ac:dyDescent="0.2">
      <c r="A2451" s="10">
        <v>6712</v>
      </c>
      <c r="B2451" s="10">
        <v>96</v>
      </c>
      <c r="C2451" s="10" t="s">
        <v>2775</v>
      </c>
      <c r="D2451" s="10">
        <v>9697</v>
      </c>
      <c r="E2451" s="10" t="s">
        <v>2800</v>
      </c>
      <c r="F2451" s="11">
        <v>9814</v>
      </c>
      <c r="G2451" s="11">
        <v>10377</v>
      </c>
      <c r="H2451" s="11">
        <v>20191</v>
      </c>
      <c r="I2451" s="11">
        <v>6005</v>
      </c>
    </row>
    <row r="2452" spans="1:9" x14ac:dyDescent="0.2">
      <c r="A2452" s="10">
        <v>6712</v>
      </c>
      <c r="B2452" s="10">
        <v>96</v>
      </c>
      <c r="C2452" s="10" t="s">
        <v>2775</v>
      </c>
      <c r="D2452" s="10">
        <v>9698</v>
      </c>
      <c r="E2452" s="10" t="s">
        <v>2801</v>
      </c>
      <c r="F2452" s="11">
        <v>18723</v>
      </c>
      <c r="G2452" s="11">
        <v>20858</v>
      </c>
      <c r="H2452" s="11">
        <v>39581</v>
      </c>
      <c r="I2452" s="11">
        <v>15884</v>
      </c>
    </row>
    <row r="2453" spans="1:9" x14ac:dyDescent="0.2">
      <c r="A2453" s="10">
        <v>6712</v>
      </c>
      <c r="B2453" s="10">
        <v>96</v>
      </c>
      <c r="C2453" s="10" t="s">
        <v>2775</v>
      </c>
      <c r="D2453" s="10">
        <v>9699</v>
      </c>
      <c r="E2453" s="10" t="s">
        <v>2802</v>
      </c>
      <c r="F2453" s="11">
        <v>19601</v>
      </c>
      <c r="G2453" s="11">
        <v>20662</v>
      </c>
      <c r="H2453" s="11">
        <v>40263</v>
      </c>
      <c r="I2453" s="11">
        <v>16671</v>
      </c>
    </row>
  </sheetData>
  <autoFilter ref="A1:I2453" xr:uid="{6AD8E3A8-4A1B-421F-95DC-ADE886EF185B}"/>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AH144"/>
  <sheetViews>
    <sheetView topLeftCell="I1" zoomScale="53" zoomScaleNormal="53" workbookViewId="0">
      <selection activeCell="W38" sqref="W38"/>
    </sheetView>
  </sheetViews>
  <sheetFormatPr defaultRowHeight="14.25" x14ac:dyDescent="0.2"/>
  <cols>
    <col min="17" max="17" width="9.5" customWidth="1"/>
    <col min="18" max="18" width="9.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O1" s="1" t="s">
        <v>2905</v>
      </c>
      <c r="Q1" t="s">
        <v>2902</v>
      </c>
      <c r="R1" t="s">
        <v>2903</v>
      </c>
    </row>
    <row r="2" spans="1:18" x14ac:dyDescent="0.2">
      <c r="A2" s="2">
        <v>2000</v>
      </c>
      <c r="B2" s="3">
        <v>-1.7</v>
      </c>
      <c r="C2" s="3">
        <v>-1.4</v>
      </c>
      <c r="D2" s="3">
        <v>-1.1000000000000001</v>
      </c>
      <c r="E2" s="3">
        <v>-0.8</v>
      </c>
      <c r="F2" s="3">
        <v>-0.7</v>
      </c>
      <c r="G2" s="3">
        <v>-0.6</v>
      </c>
      <c r="H2" s="3">
        <v>-0.6</v>
      </c>
      <c r="I2" s="3">
        <v>-0.5</v>
      </c>
      <c r="J2" s="3">
        <v>-0.5</v>
      </c>
      <c r="K2" s="3">
        <v>-0.6</v>
      </c>
      <c r="L2" s="3">
        <v>-0.7</v>
      </c>
      <c r="M2" s="3">
        <v>-0.7</v>
      </c>
      <c r="O2">
        <v>2000</v>
      </c>
    </row>
    <row r="3" spans="1:18" x14ac:dyDescent="0.2">
      <c r="A3" s="2">
        <v>2001</v>
      </c>
      <c r="B3" s="3">
        <v>-0.7</v>
      </c>
      <c r="C3" s="3">
        <v>-0.5</v>
      </c>
      <c r="D3" s="4">
        <v>-0.4</v>
      </c>
      <c r="E3" s="4">
        <v>-0.3</v>
      </c>
      <c r="F3" s="4">
        <v>-0.3</v>
      </c>
      <c r="G3" s="4">
        <v>-0.1</v>
      </c>
      <c r="H3" s="4">
        <v>-0.1</v>
      </c>
      <c r="I3" s="4">
        <v>-0.1</v>
      </c>
      <c r="J3" s="4">
        <v>-0.2</v>
      </c>
      <c r="K3" s="4">
        <v>-0.3</v>
      </c>
      <c r="L3" s="4">
        <v>-0.3</v>
      </c>
      <c r="M3" s="4">
        <v>-0.3</v>
      </c>
      <c r="O3" s="1"/>
      <c r="P3" s="3">
        <v>-1.7</v>
      </c>
      <c r="Q3">
        <f>IF(P3&gt;0,P3,0)</f>
        <v>0</v>
      </c>
      <c r="R3">
        <f>IF(P3&lt;0,P3,0)</f>
        <v>-1.7</v>
      </c>
    </row>
    <row r="4" spans="1:18" x14ac:dyDescent="0.2">
      <c r="A4" s="2">
        <v>2002</v>
      </c>
      <c r="B4" s="4">
        <v>-0.1</v>
      </c>
      <c r="C4" s="4">
        <v>0</v>
      </c>
      <c r="D4" s="4">
        <v>0.1</v>
      </c>
      <c r="E4" s="4">
        <v>0.2</v>
      </c>
      <c r="F4" s="4">
        <v>0.4</v>
      </c>
      <c r="G4" s="5">
        <v>0.7</v>
      </c>
      <c r="H4" s="5">
        <v>0.8</v>
      </c>
      <c r="I4" s="5">
        <v>0.9</v>
      </c>
      <c r="J4" s="5">
        <v>1</v>
      </c>
      <c r="K4" s="5">
        <v>1.2</v>
      </c>
      <c r="L4" s="5">
        <v>1.3</v>
      </c>
      <c r="M4" s="5">
        <v>1.1000000000000001</v>
      </c>
      <c r="O4" s="1"/>
      <c r="P4" s="3">
        <v>-1.4</v>
      </c>
      <c r="Q4">
        <f t="shared" ref="Q4:Q66" si="0">IF(P4&gt;0,P4,0)</f>
        <v>0</v>
      </c>
      <c r="R4">
        <f t="shared" ref="R4:R66" si="1">IF(P4&lt;0,P4,0)</f>
        <v>-1.4</v>
      </c>
    </row>
    <row r="5" spans="1:18" x14ac:dyDescent="0.2">
      <c r="A5" s="2">
        <v>2003</v>
      </c>
      <c r="B5" s="5">
        <v>0.9</v>
      </c>
      <c r="C5" s="5">
        <v>0.6</v>
      </c>
      <c r="D5" s="4">
        <v>0.4</v>
      </c>
      <c r="E5" s="4">
        <v>0</v>
      </c>
      <c r="F5" s="4">
        <v>-0.3</v>
      </c>
      <c r="G5" s="4">
        <v>-0.2</v>
      </c>
      <c r="H5" s="4">
        <v>0.1</v>
      </c>
      <c r="I5" s="4">
        <v>0.2</v>
      </c>
      <c r="J5" s="4">
        <v>0.3</v>
      </c>
      <c r="K5" s="4">
        <v>0.3</v>
      </c>
      <c r="L5" s="4">
        <v>0.4</v>
      </c>
      <c r="M5" s="4">
        <v>0.4</v>
      </c>
      <c r="O5" s="1"/>
      <c r="P5" s="3">
        <v>-1.1000000000000001</v>
      </c>
      <c r="Q5">
        <f t="shared" si="0"/>
        <v>0</v>
      </c>
      <c r="R5">
        <f t="shared" si="1"/>
        <v>-1.1000000000000001</v>
      </c>
    </row>
    <row r="6" spans="1:18" x14ac:dyDescent="0.2">
      <c r="A6" s="2">
        <v>2004</v>
      </c>
      <c r="B6" s="4">
        <v>0.4</v>
      </c>
      <c r="C6" s="4">
        <v>0.3</v>
      </c>
      <c r="D6" s="4">
        <v>0.2</v>
      </c>
      <c r="E6" s="4">
        <v>0.2</v>
      </c>
      <c r="F6" s="4">
        <v>0.2</v>
      </c>
      <c r="G6" s="4">
        <v>0.3</v>
      </c>
      <c r="H6" s="5">
        <v>0.5</v>
      </c>
      <c r="I6" s="5">
        <v>0.6</v>
      </c>
      <c r="J6" s="5">
        <v>0.7</v>
      </c>
      <c r="K6" s="5">
        <v>0.7</v>
      </c>
      <c r="L6" s="5">
        <v>0.7</v>
      </c>
      <c r="M6" s="5">
        <v>0.7</v>
      </c>
      <c r="O6" s="1"/>
      <c r="P6" s="3">
        <v>-0.8</v>
      </c>
      <c r="Q6">
        <f t="shared" si="0"/>
        <v>0</v>
      </c>
      <c r="R6">
        <f t="shared" si="1"/>
        <v>-0.8</v>
      </c>
    </row>
    <row r="7" spans="1:18" x14ac:dyDescent="0.2">
      <c r="A7" s="2">
        <v>2005</v>
      </c>
      <c r="B7" s="5">
        <v>0.6</v>
      </c>
      <c r="C7" s="5">
        <v>0.6</v>
      </c>
      <c r="D7" s="4">
        <v>0.4</v>
      </c>
      <c r="E7" s="4">
        <v>0.4</v>
      </c>
      <c r="F7" s="4">
        <v>0.3</v>
      </c>
      <c r="G7" s="4">
        <v>0.1</v>
      </c>
      <c r="H7" s="4">
        <v>-0.1</v>
      </c>
      <c r="I7" s="4">
        <v>-0.1</v>
      </c>
      <c r="J7" s="4">
        <v>-0.1</v>
      </c>
      <c r="K7" s="4">
        <v>-0.3</v>
      </c>
      <c r="L7" s="3">
        <v>-0.6</v>
      </c>
      <c r="M7" s="3">
        <v>-0.8</v>
      </c>
      <c r="O7" s="1"/>
      <c r="P7" s="3">
        <v>-0.7</v>
      </c>
      <c r="Q7">
        <f t="shared" si="0"/>
        <v>0</v>
      </c>
      <c r="R7">
        <f t="shared" si="1"/>
        <v>-0.7</v>
      </c>
    </row>
    <row r="8" spans="1:18" x14ac:dyDescent="0.2">
      <c r="A8" s="2">
        <v>2006</v>
      </c>
      <c r="B8" s="3">
        <v>-0.9</v>
      </c>
      <c r="C8" s="3">
        <v>-0.8</v>
      </c>
      <c r="D8" s="3">
        <v>-0.6</v>
      </c>
      <c r="E8" s="4">
        <v>-0.4</v>
      </c>
      <c r="F8" s="4">
        <v>-0.1</v>
      </c>
      <c r="G8" s="4">
        <v>0</v>
      </c>
      <c r="H8" s="4">
        <v>0.1</v>
      </c>
      <c r="I8" s="4">
        <v>0.3</v>
      </c>
      <c r="J8" s="5">
        <v>0.5</v>
      </c>
      <c r="K8" s="5">
        <v>0.8</v>
      </c>
      <c r="L8" s="5">
        <v>0.9</v>
      </c>
      <c r="M8" s="5">
        <v>0.9</v>
      </c>
      <c r="O8" s="1"/>
      <c r="P8" s="3">
        <v>-0.6</v>
      </c>
      <c r="Q8">
        <f t="shared" si="0"/>
        <v>0</v>
      </c>
      <c r="R8">
        <f t="shared" si="1"/>
        <v>-0.6</v>
      </c>
    </row>
    <row r="9" spans="1:18" x14ac:dyDescent="0.2">
      <c r="A9" s="2">
        <v>2007</v>
      </c>
      <c r="B9" s="5">
        <v>0.7</v>
      </c>
      <c r="C9" s="4">
        <v>0.2</v>
      </c>
      <c r="D9" s="4">
        <v>-0.1</v>
      </c>
      <c r="E9" s="4">
        <v>-0.3</v>
      </c>
      <c r="F9" s="4">
        <v>-0.4</v>
      </c>
      <c r="G9" s="3">
        <v>-0.5</v>
      </c>
      <c r="H9" s="3">
        <v>-0.6</v>
      </c>
      <c r="I9" s="3">
        <v>-0.8</v>
      </c>
      <c r="J9" s="3">
        <v>-1.1000000000000001</v>
      </c>
      <c r="K9" s="3">
        <v>-1.3</v>
      </c>
      <c r="L9" s="3">
        <v>-1.5</v>
      </c>
      <c r="M9" s="3">
        <v>-1.6</v>
      </c>
      <c r="O9" s="1"/>
      <c r="P9" s="3">
        <v>-0.6</v>
      </c>
      <c r="Q9">
        <f t="shared" si="0"/>
        <v>0</v>
      </c>
      <c r="R9">
        <f t="shared" si="1"/>
        <v>-0.6</v>
      </c>
    </row>
    <row r="10" spans="1:18" x14ac:dyDescent="0.2">
      <c r="A10" s="2">
        <v>2008</v>
      </c>
      <c r="B10" s="3">
        <v>-1.6</v>
      </c>
      <c r="C10" s="3">
        <v>-1.5</v>
      </c>
      <c r="D10" s="3">
        <v>-1.3</v>
      </c>
      <c r="E10" s="3">
        <v>-1</v>
      </c>
      <c r="F10" s="3">
        <v>-0.8</v>
      </c>
      <c r="G10" s="3">
        <v>-0.6</v>
      </c>
      <c r="H10" s="4">
        <v>-0.4</v>
      </c>
      <c r="I10" s="4">
        <v>-0.2</v>
      </c>
      <c r="J10" s="4">
        <v>-0.2</v>
      </c>
      <c r="K10" s="4">
        <v>-0.4</v>
      </c>
      <c r="L10" s="3">
        <v>-0.6</v>
      </c>
      <c r="M10" s="3">
        <v>-0.7</v>
      </c>
      <c r="O10" s="1"/>
      <c r="P10" s="3">
        <v>-0.5</v>
      </c>
      <c r="Q10">
        <f t="shared" si="0"/>
        <v>0</v>
      </c>
      <c r="R10">
        <f t="shared" si="1"/>
        <v>-0.5</v>
      </c>
    </row>
    <row r="11" spans="1:18" x14ac:dyDescent="0.2">
      <c r="A11" s="2">
        <v>2009</v>
      </c>
      <c r="B11" s="3">
        <v>-0.8</v>
      </c>
      <c r="C11" s="3">
        <v>-0.8</v>
      </c>
      <c r="D11" s="3">
        <v>-0.6</v>
      </c>
      <c r="E11" s="4">
        <v>-0.3</v>
      </c>
      <c r="F11" s="4">
        <v>0</v>
      </c>
      <c r="G11" s="4">
        <v>0.3</v>
      </c>
      <c r="H11" s="5">
        <v>0.5</v>
      </c>
      <c r="I11" s="5">
        <v>0.6</v>
      </c>
      <c r="J11" s="5">
        <v>0.7</v>
      </c>
      <c r="K11" s="5">
        <v>1</v>
      </c>
      <c r="L11" s="5">
        <v>1.4</v>
      </c>
      <c r="M11" s="5">
        <v>1.6</v>
      </c>
      <c r="O11" s="1"/>
      <c r="P11" s="3">
        <v>-0.5</v>
      </c>
      <c r="Q11">
        <f t="shared" si="0"/>
        <v>0</v>
      </c>
      <c r="R11">
        <f t="shared" si="1"/>
        <v>-0.5</v>
      </c>
    </row>
    <row r="12" spans="1:18" x14ac:dyDescent="0.2">
      <c r="A12" s="2">
        <v>2010</v>
      </c>
      <c r="B12" s="5">
        <v>1.5</v>
      </c>
      <c r="C12" s="5">
        <v>1.2</v>
      </c>
      <c r="D12" s="5">
        <v>0.8</v>
      </c>
      <c r="E12" s="4">
        <v>0.4</v>
      </c>
      <c r="F12" s="4">
        <v>-0.2</v>
      </c>
      <c r="G12" s="3">
        <v>-0.7</v>
      </c>
      <c r="H12" s="3">
        <v>-1</v>
      </c>
      <c r="I12" s="3">
        <v>-1.3</v>
      </c>
      <c r="J12" s="3">
        <v>-1.6</v>
      </c>
      <c r="K12" s="3">
        <v>-1.6</v>
      </c>
      <c r="L12" s="3">
        <v>-1.6</v>
      </c>
      <c r="M12" s="3">
        <v>-1.6</v>
      </c>
      <c r="O12" s="1"/>
      <c r="P12" s="3">
        <v>-0.6</v>
      </c>
      <c r="Q12">
        <f t="shared" si="0"/>
        <v>0</v>
      </c>
      <c r="R12">
        <f t="shared" si="1"/>
        <v>-0.6</v>
      </c>
    </row>
    <row r="13" spans="1:18" x14ac:dyDescent="0.2">
      <c r="A13" s="2">
        <v>2011</v>
      </c>
      <c r="B13" s="3">
        <v>-1.4</v>
      </c>
      <c r="C13" s="3">
        <v>-1.2</v>
      </c>
      <c r="D13" s="3">
        <v>-0.9</v>
      </c>
      <c r="E13" s="3">
        <v>-0.7</v>
      </c>
      <c r="F13" s="3">
        <v>-0.6</v>
      </c>
      <c r="G13" s="4">
        <v>-0.4</v>
      </c>
      <c r="H13" s="3">
        <v>-0.5</v>
      </c>
      <c r="I13" s="3">
        <v>-0.6</v>
      </c>
      <c r="J13" s="3">
        <v>-0.8</v>
      </c>
      <c r="K13" s="3">
        <v>-1</v>
      </c>
      <c r="L13" s="3">
        <v>-1.1000000000000001</v>
      </c>
      <c r="M13" s="3">
        <v>-1</v>
      </c>
      <c r="O13" s="1"/>
      <c r="P13" s="3">
        <v>-0.7</v>
      </c>
      <c r="Q13">
        <f t="shared" si="0"/>
        <v>0</v>
      </c>
      <c r="R13">
        <f t="shared" si="1"/>
        <v>-0.7</v>
      </c>
    </row>
    <row r="14" spans="1:18" x14ac:dyDescent="0.2">
      <c r="A14" s="2">
        <v>2012</v>
      </c>
      <c r="B14" s="3">
        <v>-0.9</v>
      </c>
      <c r="C14" s="3">
        <v>-0.7</v>
      </c>
      <c r="D14" s="3">
        <v>-0.6</v>
      </c>
      <c r="E14" s="3">
        <v>-0.5</v>
      </c>
      <c r="F14" s="4">
        <v>-0.3</v>
      </c>
      <c r="G14" s="4">
        <v>0</v>
      </c>
      <c r="H14" s="4">
        <v>0.2</v>
      </c>
      <c r="I14" s="4">
        <v>0.4</v>
      </c>
      <c r="J14" s="4">
        <v>0.4</v>
      </c>
      <c r="K14" s="4">
        <v>0.3</v>
      </c>
      <c r="L14" s="4">
        <v>0.1</v>
      </c>
      <c r="M14" s="4">
        <v>-0.2</v>
      </c>
      <c r="P14" s="3">
        <v>-0.7</v>
      </c>
      <c r="Q14">
        <f t="shared" si="0"/>
        <v>0</v>
      </c>
      <c r="R14">
        <f t="shared" si="1"/>
        <v>-0.7</v>
      </c>
    </row>
    <row r="15" spans="1:18" x14ac:dyDescent="0.2">
      <c r="A15" s="2">
        <v>2013</v>
      </c>
      <c r="B15" s="4">
        <v>-0.4</v>
      </c>
      <c r="C15" s="4">
        <v>-0.4</v>
      </c>
      <c r="D15" s="4">
        <v>-0.3</v>
      </c>
      <c r="E15" s="4">
        <v>-0.3</v>
      </c>
      <c r="F15" s="4">
        <v>-0.4</v>
      </c>
      <c r="G15" s="4">
        <v>-0.4</v>
      </c>
      <c r="H15" s="4">
        <v>-0.4</v>
      </c>
      <c r="I15" s="4">
        <v>-0.3</v>
      </c>
      <c r="J15" s="4">
        <v>-0.3</v>
      </c>
      <c r="K15" s="4">
        <v>-0.2</v>
      </c>
      <c r="L15" s="4">
        <v>-0.2</v>
      </c>
      <c r="M15" s="4">
        <v>-0.3</v>
      </c>
      <c r="O15">
        <v>2001</v>
      </c>
    </row>
    <row r="16" spans="1:18" x14ac:dyDescent="0.2">
      <c r="A16" s="2">
        <v>2014</v>
      </c>
      <c r="B16" s="4">
        <v>-0.4</v>
      </c>
      <c r="C16" s="4">
        <v>-0.5</v>
      </c>
      <c r="D16" s="4">
        <v>-0.3</v>
      </c>
      <c r="E16" s="4">
        <v>0</v>
      </c>
      <c r="F16" s="4">
        <v>0.2</v>
      </c>
      <c r="G16" s="4">
        <v>0.2</v>
      </c>
      <c r="H16" s="4">
        <v>0</v>
      </c>
      <c r="I16" s="4">
        <v>0.1</v>
      </c>
      <c r="J16" s="4">
        <v>0.2</v>
      </c>
      <c r="K16" s="5">
        <v>0.5</v>
      </c>
      <c r="L16" s="5">
        <v>0.6</v>
      </c>
      <c r="M16" s="5">
        <v>0.7</v>
      </c>
      <c r="O16" s="46"/>
      <c r="P16" s="3">
        <v>-0.7</v>
      </c>
      <c r="Q16">
        <f t="shared" si="0"/>
        <v>0</v>
      </c>
      <c r="R16">
        <f t="shared" si="1"/>
        <v>-0.7</v>
      </c>
    </row>
    <row r="17" spans="1:18" x14ac:dyDescent="0.2">
      <c r="A17" s="2">
        <v>2015</v>
      </c>
      <c r="B17" s="5">
        <v>0.5</v>
      </c>
      <c r="C17" s="5">
        <v>0.5</v>
      </c>
      <c r="D17" s="5">
        <v>0.5</v>
      </c>
      <c r="E17" s="5">
        <v>0.7</v>
      </c>
      <c r="F17" s="5">
        <v>0.9</v>
      </c>
      <c r="G17" s="5">
        <v>1.2</v>
      </c>
      <c r="H17" s="5">
        <v>1.5</v>
      </c>
      <c r="I17" s="5">
        <v>1.9</v>
      </c>
      <c r="J17" s="5">
        <v>2.2000000000000002</v>
      </c>
      <c r="K17" s="5">
        <v>2.4</v>
      </c>
      <c r="L17" s="5">
        <v>2.6</v>
      </c>
      <c r="M17" s="5">
        <v>2.6</v>
      </c>
      <c r="O17" s="46"/>
      <c r="P17" s="3">
        <v>-0.5</v>
      </c>
      <c r="Q17">
        <f t="shared" si="0"/>
        <v>0</v>
      </c>
      <c r="R17">
        <f t="shared" si="1"/>
        <v>-0.5</v>
      </c>
    </row>
    <row r="18" spans="1:18" x14ac:dyDescent="0.2">
      <c r="A18" s="2">
        <v>2016</v>
      </c>
      <c r="B18" s="5">
        <v>2.5</v>
      </c>
      <c r="C18" s="5">
        <v>2.1</v>
      </c>
      <c r="D18" s="5">
        <v>1.6</v>
      </c>
      <c r="E18" s="5">
        <v>0.9</v>
      </c>
      <c r="F18" s="4">
        <v>0.4</v>
      </c>
      <c r="G18" s="4">
        <v>-0.1</v>
      </c>
      <c r="H18" s="4">
        <v>-0.4</v>
      </c>
      <c r="I18" s="3">
        <v>-0.5</v>
      </c>
      <c r="J18" s="3">
        <v>-0.6</v>
      </c>
      <c r="K18" s="3">
        <v>-0.7</v>
      </c>
      <c r="L18" s="3">
        <v>-0.7</v>
      </c>
      <c r="M18" s="3">
        <v>-0.6</v>
      </c>
      <c r="O18" s="46"/>
      <c r="P18" s="4">
        <v>-0.4</v>
      </c>
      <c r="Q18">
        <f t="shared" si="0"/>
        <v>0</v>
      </c>
      <c r="R18">
        <f t="shared" si="1"/>
        <v>-0.4</v>
      </c>
    </row>
    <row r="19" spans="1:18" x14ac:dyDescent="0.2">
      <c r="A19" s="2">
        <v>2017</v>
      </c>
      <c r="B19" s="4">
        <v>-0.3</v>
      </c>
      <c r="C19" s="4">
        <v>-0.2</v>
      </c>
      <c r="D19" s="4">
        <v>0.1</v>
      </c>
      <c r="E19" s="4">
        <v>0.2</v>
      </c>
      <c r="F19" s="4">
        <v>0.3</v>
      </c>
      <c r="G19" s="4">
        <v>0.3</v>
      </c>
      <c r="H19" s="4">
        <v>0.1</v>
      </c>
      <c r="I19" s="4">
        <v>-0.1</v>
      </c>
      <c r="J19" s="4">
        <v>-0.4</v>
      </c>
      <c r="K19" s="3">
        <v>-0.7</v>
      </c>
      <c r="L19" s="3">
        <v>-0.8</v>
      </c>
      <c r="M19" s="3">
        <v>-1</v>
      </c>
      <c r="O19" s="46"/>
      <c r="P19" s="4">
        <v>-0.3</v>
      </c>
      <c r="Q19">
        <f t="shared" si="0"/>
        <v>0</v>
      </c>
      <c r="R19">
        <f t="shared" si="1"/>
        <v>-0.3</v>
      </c>
    </row>
    <row r="20" spans="1:18" x14ac:dyDescent="0.2">
      <c r="A20" s="2">
        <v>2018</v>
      </c>
      <c r="B20" s="3">
        <v>-0.9</v>
      </c>
      <c r="C20" s="3">
        <v>-0.9</v>
      </c>
      <c r="D20" s="3">
        <v>-0.7</v>
      </c>
      <c r="E20" s="3">
        <v>-0.5</v>
      </c>
      <c r="F20" s="4">
        <v>-0.2</v>
      </c>
      <c r="G20" s="4">
        <v>0</v>
      </c>
      <c r="H20" s="4">
        <v>0.1</v>
      </c>
      <c r="I20" s="4">
        <v>0.2</v>
      </c>
      <c r="J20" s="5">
        <v>0.5</v>
      </c>
      <c r="K20" s="5">
        <v>0.8</v>
      </c>
      <c r="L20" s="5">
        <v>0.9</v>
      </c>
      <c r="M20" s="5">
        <v>0.8</v>
      </c>
      <c r="O20" s="46"/>
      <c r="P20" s="4">
        <v>-0.3</v>
      </c>
      <c r="Q20">
        <f t="shared" si="0"/>
        <v>0</v>
      </c>
      <c r="R20">
        <f t="shared" si="1"/>
        <v>-0.3</v>
      </c>
    </row>
    <row r="21" spans="1:18" x14ac:dyDescent="0.2">
      <c r="A21" s="2">
        <v>2019</v>
      </c>
      <c r="B21" s="5">
        <v>0.7</v>
      </c>
      <c r="C21" s="5">
        <v>0.7</v>
      </c>
      <c r="D21" s="5">
        <v>0.7</v>
      </c>
      <c r="E21" s="5">
        <v>0.7</v>
      </c>
      <c r="F21" s="5">
        <v>0.5</v>
      </c>
      <c r="G21" s="5">
        <v>0.5</v>
      </c>
      <c r="H21" s="4">
        <v>0.3</v>
      </c>
      <c r="I21" s="4">
        <v>0.1</v>
      </c>
      <c r="J21" s="4">
        <v>0.2</v>
      </c>
      <c r="K21" s="4">
        <v>0.3</v>
      </c>
      <c r="L21" s="4">
        <v>0.5</v>
      </c>
      <c r="M21" s="4">
        <v>0.5</v>
      </c>
      <c r="O21" s="46"/>
      <c r="P21" s="4">
        <v>-0.1</v>
      </c>
      <c r="Q21">
        <f t="shared" si="0"/>
        <v>0</v>
      </c>
      <c r="R21">
        <f t="shared" si="1"/>
        <v>-0.1</v>
      </c>
    </row>
    <row r="22" spans="1:18" x14ac:dyDescent="0.2">
      <c r="A22" s="2">
        <v>2020</v>
      </c>
      <c r="B22" s="4">
        <v>0.5</v>
      </c>
      <c r="C22" s="4">
        <v>0.5</v>
      </c>
      <c r="D22" s="4">
        <v>0.4</v>
      </c>
      <c r="E22" s="4">
        <v>0.2</v>
      </c>
      <c r="F22" s="4">
        <v>-0.1</v>
      </c>
      <c r="G22" s="4">
        <v>-0.3</v>
      </c>
      <c r="H22" s="4">
        <v>-0.4</v>
      </c>
      <c r="I22" s="3">
        <v>-0.6</v>
      </c>
      <c r="J22" s="3">
        <v>-0.9</v>
      </c>
      <c r="K22" s="3">
        <v>-1.2</v>
      </c>
      <c r="L22" s="3">
        <v>-1.3</v>
      </c>
      <c r="M22" s="3">
        <v>-1.2</v>
      </c>
      <c r="O22" s="46"/>
      <c r="P22" s="4">
        <v>-0.1</v>
      </c>
      <c r="Q22">
        <f t="shared" si="0"/>
        <v>0</v>
      </c>
      <c r="R22">
        <f t="shared" si="1"/>
        <v>-0.1</v>
      </c>
    </row>
    <row r="23" spans="1:18" x14ac:dyDescent="0.2">
      <c r="A23" s="2">
        <v>2021</v>
      </c>
      <c r="B23" s="3">
        <v>-1</v>
      </c>
      <c r="C23" s="3">
        <v>-0.9</v>
      </c>
      <c r="D23" s="3">
        <v>-0.8</v>
      </c>
      <c r="E23" s="3">
        <v>-0.7</v>
      </c>
      <c r="F23" s="3">
        <v>-0.5</v>
      </c>
      <c r="G23" s="4">
        <v>-0.4</v>
      </c>
      <c r="H23" s="4">
        <v>-0.4</v>
      </c>
      <c r="I23" s="3">
        <v>-0.5</v>
      </c>
      <c r="J23" s="3">
        <v>-0.7</v>
      </c>
      <c r="K23" s="3">
        <v>-0.8</v>
      </c>
      <c r="L23" s="3">
        <v>-1</v>
      </c>
      <c r="M23" s="3">
        <v>-1</v>
      </c>
      <c r="O23" s="46"/>
      <c r="P23" s="4">
        <v>-0.1</v>
      </c>
      <c r="Q23">
        <f t="shared" si="0"/>
        <v>0</v>
      </c>
      <c r="R23">
        <f t="shared" si="1"/>
        <v>-0.1</v>
      </c>
    </row>
    <row r="24" spans="1:18" x14ac:dyDescent="0.2">
      <c r="A24" s="2">
        <v>2022</v>
      </c>
      <c r="B24" s="3">
        <v>-1</v>
      </c>
      <c r="C24" s="3">
        <v>-0.9</v>
      </c>
      <c r="D24" s="3">
        <v>-1</v>
      </c>
      <c r="E24" s="3">
        <v>-1.1000000000000001</v>
      </c>
      <c r="F24" s="3">
        <v>-1</v>
      </c>
      <c r="G24" s="3">
        <v>-0.9</v>
      </c>
      <c r="H24" s="3">
        <v>-0.8</v>
      </c>
      <c r="I24" s="3">
        <v>-0.9</v>
      </c>
      <c r="J24" s="3">
        <v>-1</v>
      </c>
      <c r="K24" s="3">
        <v>-1</v>
      </c>
      <c r="L24" s="3">
        <v>-0.9</v>
      </c>
      <c r="M24" s="3">
        <v>-0.8</v>
      </c>
      <c r="O24" s="46"/>
      <c r="P24" s="4">
        <v>-0.2</v>
      </c>
      <c r="Q24">
        <f t="shared" si="0"/>
        <v>0</v>
      </c>
      <c r="R24">
        <f t="shared" si="1"/>
        <v>-0.2</v>
      </c>
    </row>
    <row r="25" spans="1:18" x14ac:dyDescent="0.2">
      <c r="A25" s="2">
        <v>2023</v>
      </c>
      <c r="B25" s="3">
        <v>-0.7</v>
      </c>
      <c r="C25" s="4">
        <v>-0.4</v>
      </c>
      <c r="D25" s="4">
        <v>-0.1</v>
      </c>
      <c r="E25" s="4">
        <v>0.2</v>
      </c>
      <c r="F25" s="4">
        <v>0.5</v>
      </c>
      <c r="G25" s="4">
        <v>0.8</v>
      </c>
      <c r="H25" s="6"/>
      <c r="I25" s="6"/>
      <c r="J25" s="6"/>
      <c r="K25" s="6"/>
      <c r="L25" s="6"/>
      <c r="M25" s="7"/>
      <c r="O25" s="46"/>
      <c r="P25" s="4">
        <v>-0.3</v>
      </c>
      <c r="Q25">
        <f t="shared" si="0"/>
        <v>0</v>
      </c>
      <c r="R25">
        <f t="shared" si="1"/>
        <v>-0.3</v>
      </c>
    </row>
    <row r="26" spans="1:18" x14ac:dyDescent="0.2">
      <c r="O26" s="46"/>
      <c r="P26" s="4">
        <v>-0.3</v>
      </c>
      <c r="Q26">
        <f t="shared" si="0"/>
        <v>0</v>
      </c>
      <c r="R26">
        <f t="shared" si="1"/>
        <v>-0.3</v>
      </c>
    </row>
    <row r="27" spans="1:18" x14ac:dyDescent="0.2">
      <c r="O27" s="46"/>
      <c r="P27" s="4">
        <v>-0.3</v>
      </c>
      <c r="Q27">
        <f t="shared" si="0"/>
        <v>0</v>
      </c>
      <c r="R27">
        <f t="shared" si="1"/>
        <v>-0.3</v>
      </c>
    </row>
    <row r="28" spans="1:18" x14ac:dyDescent="0.2">
      <c r="O28">
        <v>2002</v>
      </c>
    </row>
    <row r="29" spans="1:18" x14ac:dyDescent="0.2">
      <c r="O29" s="46"/>
      <c r="P29" s="4">
        <v>-0.1</v>
      </c>
      <c r="Q29">
        <f t="shared" si="0"/>
        <v>0</v>
      </c>
      <c r="R29">
        <f t="shared" si="1"/>
        <v>-0.1</v>
      </c>
    </row>
    <row r="30" spans="1:18" x14ac:dyDescent="0.2">
      <c r="O30" s="46"/>
      <c r="P30" s="4">
        <v>0</v>
      </c>
      <c r="Q30">
        <f t="shared" si="0"/>
        <v>0</v>
      </c>
      <c r="R30">
        <f t="shared" si="1"/>
        <v>0</v>
      </c>
    </row>
    <row r="31" spans="1:18" x14ac:dyDescent="0.2">
      <c r="O31" s="46"/>
      <c r="P31" s="4">
        <v>0.1</v>
      </c>
      <c r="Q31">
        <f t="shared" si="0"/>
        <v>0.1</v>
      </c>
      <c r="R31">
        <f t="shared" si="1"/>
        <v>0</v>
      </c>
    </row>
    <row r="32" spans="1:18" x14ac:dyDescent="0.2">
      <c r="O32" s="46"/>
      <c r="P32" s="4">
        <v>0.2</v>
      </c>
      <c r="Q32">
        <f t="shared" si="0"/>
        <v>0.2</v>
      </c>
      <c r="R32">
        <f t="shared" si="1"/>
        <v>0</v>
      </c>
    </row>
    <row r="33" spans="15:34" x14ac:dyDescent="0.2">
      <c r="O33" s="46"/>
      <c r="P33" s="4">
        <v>0.4</v>
      </c>
      <c r="Q33">
        <f t="shared" si="0"/>
        <v>0.4</v>
      </c>
      <c r="R33">
        <f t="shared" si="1"/>
        <v>0</v>
      </c>
    </row>
    <row r="34" spans="15:34" x14ac:dyDescent="0.2">
      <c r="O34" s="46"/>
      <c r="P34" s="5">
        <v>0.7</v>
      </c>
      <c r="Q34">
        <f t="shared" si="0"/>
        <v>0.7</v>
      </c>
      <c r="R34">
        <f t="shared" si="1"/>
        <v>0</v>
      </c>
    </row>
    <row r="35" spans="15:34" x14ac:dyDescent="0.2">
      <c r="O35" s="46"/>
      <c r="P35" s="5">
        <v>0.8</v>
      </c>
      <c r="Q35">
        <f t="shared" si="0"/>
        <v>0.8</v>
      </c>
      <c r="R35">
        <f t="shared" si="1"/>
        <v>0</v>
      </c>
    </row>
    <row r="36" spans="15:34" x14ac:dyDescent="0.2">
      <c r="O36" s="46"/>
      <c r="P36" s="5">
        <v>0.9</v>
      </c>
      <c r="Q36">
        <f t="shared" si="0"/>
        <v>0.9</v>
      </c>
      <c r="R36">
        <f t="shared" si="1"/>
        <v>0</v>
      </c>
    </row>
    <row r="37" spans="15:34" x14ac:dyDescent="0.2">
      <c r="O37" s="46"/>
      <c r="P37" s="5">
        <v>1</v>
      </c>
      <c r="Q37">
        <f t="shared" si="0"/>
        <v>1</v>
      </c>
      <c r="R37">
        <f t="shared" si="1"/>
        <v>0</v>
      </c>
    </row>
    <row r="38" spans="15:34" x14ac:dyDescent="0.2">
      <c r="O38" s="46"/>
      <c r="P38" s="5">
        <v>1.2</v>
      </c>
      <c r="Q38">
        <f t="shared" si="0"/>
        <v>1.2</v>
      </c>
      <c r="R38">
        <f t="shared" si="1"/>
        <v>0</v>
      </c>
    </row>
    <row r="39" spans="15:34" x14ac:dyDescent="0.2">
      <c r="O39" s="46"/>
      <c r="P39" s="5">
        <v>1.3</v>
      </c>
      <c r="Q39">
        <f t="shared" si="0"/>
        <v>1.3</v>
      </c>
      <c r="R39">
        <f t="shared" si="1"/>
        <v>0</v>
      </c>
      <c r="AH39" t="s">
        <v>2904</v>
      </c>
    </row>
    <row r="40" spans="15:34" x14ac:dyDescent="0.2">
      <c r="O40" s="46"/>
      <c r="P40" s="5">
        <v>1.1000000000000001</v>
      </c>
      <c r="Q40">
        <f t="shared" si="0"/>
        <v>1.1000000000000001</v>
      </c>
      <c r="R40">
        <f t="shared" si="1"/>
        <v>0</v>
      </c>
    </row>
    <row r="41" spans="15:34" x14ac:dyDescent="0.2">
      <c r="O41">
        <v>2003</v>
      </c>
    </row>
    <row r="42" spans="15:34" x14ac:dyDescent="0.2">
      <c r="O42" s="46"/>
      <c r="P42" s="5">
        <v>0.9</v>
      </c>
      <c r="Q42">
        <f t="shared" si="0"/>
        <v>0.9</v>
      </c>
      <c r="R42">
        <f t="shared" si="1"/>
        <v>0</v>
      </c>
    </row>
    <row r="43" spans="15:34" x14ac:dyDescent="0.2">
      <c r="O43" s="46"/>
      <c r="P43" s="5">
        <v>0.6</v>
      </c>
      <c r="Q43">
        <f t="shared" si="0"/>
        <v>0.6</v>
      </c>
      <c r="R43">
        <f t="shared" si="1"/>
        <v>0</v>
      </c>
    </row>
    <row r="44" spans="15:34" x14ac:dyDescent="0.2">
      <c r="O44" s="46"/>
      <c r="P44" s="4">
        <v>0.4</v>
      </c>
      <c r="Q44">
        <f t="shared" si="0"/>
        <v>0.4</v>
      </c>
      <c r="R44">
        <f t="shared" si="1"/>
        <v>0</v>
      </c>
    </row>
    <row r="45" spans="15:34" x14ac:dyDescent="0.2">
      <c r="O45" s="46"/>
      <c r="P45" s="4">
        <v>0</v>
      </c>
      <c r="Q45">
        <f t="shared" si="0"/>
        <v>0</v>
      </c>
      <c r="R45">
        <f t="shared" si="1"/>
        <v>0</v>
      </c>
    </row>
    <row r="46" spans="15:34" x14ac:dyDescent="0.2">
      <c r="O46" s="46"/>
      <c r="P46" s="4">
        <v>-0.3</v>
      </c>
      <c r="Q46">
        <f t="shared" si="0"/>
        <v>0</v>
      </c>
      <c r="R46">
        <f t="shared" si="1"/>
        <v>-0.3</v>
      </c>
    </row>
    <row r="47" spans="15:34" x14ac:dyDescent="0.2">
      <c r="O47" s="46"/>
      <c r="P47" s="4">
        <v>-0.2</v>
      </c>
      <c r="Q47">
        <f t="shared" si="0"/>
        <v>0</v>
      </c>
      <c r="R47">
        <f t="shared" si="1"/>
        <v>-0.2</v>
      </c>
    </row>
    <row r="48" spans="15:34" x14ac:dyDescent="0.2">
      <c r="O48" s="46"/>
      <c r="P48" s="4">
        <v>0.1</v>
      </c>
      <c r="Q48">
        <f t="shared" si="0"/>
        <v>0.1</v>
      </c>
      <c r="R48">
        <f t="shared" si="1"/>
        <v>0</v>
      </c>
    </row>
    <row r="49" spans="15:18" x14ac:dyDescent="0.2">
      <c r="O49" s="46"/>
      <c r="P49" s="4">
        <v>0.2</v>
      </c>
      <c r="Q49">
        <f t="shared" si="0"/>
        <v>0.2</v>
      </c>
      <c r="R49">
        <f t="shared" si="1"/>
        <v>0</v>
      </c>
    </row>
    <row r="50" spans="15:18" x14ac:dyDescent="0.2">
      <c r="O50" s="46"/>
      <c r="P50" s="4">
        <v>0.3</v>
      </c>
      <c r="Q50">
        <f t="shared" si="0"/>
        <v>0.3</v>
      </c>
      <c r="R50">
        <f t="shared" si="1"/>
        <v>0</v>
      </c>
    </row>
    <row r="51" spans="15:18" x14ac:dyDescent="0.2">
      <c r="O51" s="46"/>
      <c r="P51" s="4">
        <v>0.3</v>
      </c>
      <c r="Q51">
        <f t="shared" si="0"/>
        <v>0.3</v>
      </c>
      <c r="R51">
        <f t="shared" si="1"/>
        <v>0</v>
      </c>
    </row>
    <row r="52" spans="15:18" x14ac:dyDescent="0.2">
      <c r="O52" s="46"/>
      <c r="P52" s="4">
        <v>0.4</v>
      </c>
      <c r="Q52">
        <f t="shared" si="0"/>
        <v>0.4</v>
      </c>
      <c r="R52">
        <f t="shared" si="1"/>
        <v>0</v>
      </c>
    </row>
    <row r="53" spans="15:18" x14ac:dyDescent="0.2">
      <c r="O53" s="46"/>
      <c r="P53" s="4">
        <v>0.4</v>
      </c>
      <c r="Q53">
        <f t="shared" si="0"/>
        <v>0.4</v>
      </c>
      <c r="R53">
        <f t="shared" si="1"/>
        <v>0</v>
      </c>
    </row>
    <row r="54" spans="15:18" x14ac:dyDescent="0.2">
      <c r="O54">
        <v>2004</v>
      </c>
    </row>
    <row r="55" spans="15:18" x14ac:dyDescent="0.2">
      <c r="O55" s="46"/>
      <c r="P55" s="4">
        <v>0.4</v>
      </c>
      <c r="Q55">
        <f t="shared" si="0"/>
        <v>0.4</v>
      </c>
      <c r="R55">
        <f t="shared" si="1"/>
        <v>0</v>
      </c>
    </row>
    <row r="56" spans="15:18" x14ac:dyDescent="0.2">
      <c r="O56" s="46"/>
      <c r="P56" s="4">
        <v>0.3</v>
      </c>
      <c r="Q56">
        <f t="shared" si="0"/>
        <v>0.3</v>
      </c>
      <c r="R56">
        <f t="shared" si="1"/>
        <v>0</v>
      </c>
    </row>
    <row r="57" spans="15:18" x14ac:dyDescent="0.2">
      <c r="O57" s="46"/>
      <c r="P57" s="4">
        <v>0.2</v>
      </c>
      <c r="Q57">
        <f t="shared" si="0"/>
        <v>0.2</v>
      </c>
      <c r="R57">
        <f t="shared" si="1"/>
        <v>0</v>
      </c>
    </row>
    <row r="58" spans="15:18" x14ac:dyDescent="0.2">
      <c r="O58" s="46"/>
      <c r="P58" s="4">
        <v>0.2</v>
      </c>
      <c r="Q58">
        <f t="shared" si="0"/>
        <v>0.2</v>
      </c>
      <c r="R58">
        <f t="shared" si="1"/>
        <v>0</v>
      </c>
    </row>
    <row r="59" spans="15:18" x14ac:dyDescent="0.2">
      <c r="O59" s="46"/>
      <c r="P59" s="4">
        <v>0.2</v>
      </c>
      <c r="Q59">
        <f t="shared" si="0"/>
        <v>0.2</v>
      </c>
      <c r="R59">
        <f t="shared" si="1"/>
        <v>0</v>
      </c>
    </row>
    <row r="60" spans="15:18" x14ac:dyDescent="0.2">
      <c r="O60" s="46"/>
      <c r="P60" s="4">
        <v>0.3</v>
      </c>
      <c r="Q60">
        <f t="shared" si="0"/>
        <v>0.3</v>
      </c>
      <c r="R60">
        <f t="shared" si="1"/>
        <v>0</v>
      </c>
    </row>
    <row r="61" spans="15:18" x14ac:dyDescent="0.2">
      <c r="O61" s="46"/>
      <c r="P61" s="5">
        <v>0.5</v>
      </c>
      <c r="Q61">
        <f t="shared" si="0"/>
        <v>0.5</v>
      </c>
      <c r="R61">
        <f t="shared" si="1"/>
        <v>0</v>
      </c>
    </row>
    <row r="62" spans="15:18" x14ac:dyDescent="0.2">
      <c r="O62" s="46"/>
      <c r="P62" s="5">
        <v>0.6</v>
      </c>
      <c r="Q62">
        <f t="shared" si="0"/>
        <v>0.6</v>
      </c>
      <c r="R62">
        <f t="shared" si="1"/>
        <v>0</v>
      </c>
    </row>
    <row r="63" spans="15:18" x14ac:dyDescent="0.2">
      <c r="O63" s="46"/>
      <c r="P63" s="5">
        <v>0.7</v>
      </c>
      <c r="Q63">
        <f t="shared" si="0"/>
        <v>0.7</v>
      </c>
      <c r="R63">
        <f t="shared" si="1"/>
        <v>0</v>
      </c>
    </row>
    <row r="64" spans="15:18" x14ac:dyDescent="0.2">
      <c r="O64" s="46"/>
      <c r="P64" s="5">
        <v>0.7</v>
      </c>
      <c r="Q64">
        <f t="shared" si="0"/>
        <v>0.7</v>
      </c>
      <c r="R64">
        <f t="shared" si="1"/>
        <v>0</v>
      </c>
    </row>
    <row r="65" spans="15:18" x14ac:dyDescent="0.2">
      <c r="O65" s="46"/>
      <c r="P65" s="5">
        <v>0.7</v>
      </c>
      <c r="Q65">
        <f t="shared" si="0"/>
        <v>0.7</v>
      </c>
      <c r="R65">
        <f t="shared" si="1"/>
        <v>0</v>
      </c>
    </row>
    <row r="66" spans="15:18" x14ac:dyDescent="0.2">
      <c r="O66" s="46"/>
      <c r="P66" s="5">
        <v>0.7</v>
      </c>
      <c r="Q66">
        <f t="shared" si="0"/>
        <v>0.7</v>
      </c>
      <c r="R66">
        <f t="shared" si="1"/>
        <v>0</v>
      </c>
    </row>
    <row r="67" spans="15:18" x14ac:dyDescent="0.2">
      <c r="O67">
        <v>2005</v>
      </c>
    </row>
    <row r="68" spans="15:18" x14ac:dyDescent="0.2">
      <c r="O68" s="1"/>
      <c r="P68" s="5">
        <v>0.6</v>
      </c>
      <c r="Q68">
        <f t="shared" ref="Q68:Q131" si="2">IF(P68&gt;0,P68,0)</f>
        <v>0.6</v>
      </c>
      <c r="R68">
        <f t="shared" ref="R68:R131" si="3">IF(P68&lt;0,P68,0)</f>
        <v>0</v>
      </c>
    </row>
    <row r="69" spans="15:18" x14ac:dyDescent="0.2">
      <c r="O69" s="1"/>
      <c r="P69" s="5">
        <v>0.6</v>
      </c>
      <c r="Q69">
        <f t="shared" si="2"/>
        <v>0.6</v>
      </c>
      <c r="R69">
        <f t="shared" si="3"/>
        <v>0</v>
      </c>
    </row>
    <row r="70" spans="15:18" x14ac:dyDescent="0.2">
      <c r="O70" s="1"/>
      <c r="P70" s="4">
        <v>0.4</v>
      </c>
      <c r="Q70">
        <f t="shared" si="2"/>
        <v>0.4</v>
      </c>
      <c r="R70">
        <f t="shared" si="3"/>
        <v>0</v>
      </c>
    </row>
    <row r="71" spans="15:18" x14ac:dyDescent="0.2">
      <c r="O71" s="1"/>
      <c r="P71" s="4">
        <v>0.4</v>
      </c>
      <c r="Q71">
        <f t="shared" si="2"/>
        <v>0.4</v>
      </c>
      <c r="R71">
        <f t="shared" si="3"/>
        <v>0</v>
      </c>
    </row>
    <row r="72" spans="15:18" x14ac:dyDescent="0.2">
      <c r="O72" s="1"/>
      <c r="P72" s="4">
        <v>0.3</v>
      </c>
      <c r="Q72">
        <f t="shared" si="2"/>
        <v>0.3</v>
      </c>
      <c r="R72">
        <f t="shared" si="3"/>
        <v>0</v>
      </c>
    </row>
    <row r="73" spans="15:18" x14ac:dyDescent="0.2">
      <c r="O73" s="1"/>
      <c r="P73" s="4">
        <v>0.1</v>
      </c>
      <c r="Q73">
        <f t="shared" si="2"/>
        <v>0.1</v>
      </c>
      <c r="R73">
        <f t="shared" si="3"/>
        <v>0</v>
      </c>
    </row>
    <row r="74" spans="15:18" x14ac:dyDescent="0.2">
      <c r="O74" s="1"/>
      <c r="P74" s="4">
        <v>-0.1</v>
      </c>
      <c r="Q74">
        <f t="shared" si="2"/>
        <v>0</v>
      </c>
      <c r="R74">
        <f t="shared" si="3"/>
        <v>-0.1</v>
      </c>
    </row>
    <row r="75" spans="15:18" x14ac:dyDescent="0.2">
      <c r="O75" s="1"/>
      <c r="P75" s="4">
        <v>-0.1</v>
      </c>
      <c r="Q75">
        <f t="shared" si="2"/>
        <v>0</v>
      </c>
      <c r="R75">
        <f t="shared" si="3"/>
        <v>-0.1</v>
      </c>
    </row>
    <row r="76" spans="15:18" x14ac:dyDescent="0.2">
      <c r="O76" s="1"/>
      <c r="P76" s="4">
        <v>-0.1</v>
      </c>
      <c r="Q76">
        <f t="shared" si="2"/>
        <v>0</v>
      </c>
      <c r="R76">
        <f t="shared" si="3"/>
        <v>-0.1</v>
      </c>
    </row>
    <row r="77" spans="15:18" x14ac:dyDescent="0.2">
      <c r="O77" s="1"/>
      <c r="P77" s="4">
        <v>-0.3</v>
      </c>
      <c r="Q77">
        <f t="shared" si="2"/>
        <v>0</v>
      </c>
      <c r="R77">
        <f t="shared" si="3"/>
        <v>-0.3</v>
      </c>
    </row>
    <row r="78" spans="15:18" x14ac:dyDescent="0.2">
      <c r="O78" s="1"/>
      <c r="P78" s="3">
        <v>-0.6</v>
      </c>
      <c r="Q78">
        <f t="shared" si="2"/>
        <v>0</v>
      </c>
      <c r="R78">
        <f t="shared" si="3"/>
        <v>-0.6</v>
      </c>
    </row>
    <row r="79" spans="15:18" x14ac:dyDescent="0.2">
      <c r="O79" s="1"/>
      <c r="P79" s="3">
        <v>-0.8</v>
      </c>
      <c r="Q79">
        <f t="shared" si="2"/>
        <v>0</v>
      </c>
      <c r="R79">
        <f t="shared" si="3"/>
        <v>-0.8</v>
      </c>
    </row>
    <row r="80" spans="15:18" x14ac:dyDescent="0.2">
      <c r="O80">
        <v>2006</v>
      </c>
    </row>
    <row r="81" spans="15:18" x14ac:dyDescent="0.2">
      <c r="O81" s="46"/>
      <c r="P81" s="3">
        <v>-0.9</v>
      </c>
      <c r="Q81">
        <f t="shared" si="2"/>
        <v>0</v>
      </c>
      <c r="R81">
        <f t="shared" si="3"/>
        <v>-0.9</v>
      </c>
    </row>
    <row r="82" spans="15:18" x14ac:dyDescent="0.2">
      <c r="O82" s="46"/>
      <c r="P82" s="3">
        <v>-0.8</v>
      </c>
      <c r="Q82">
        <f t="shared" si="2"/>
        <v>0</v>
      </c>
      <c r="R82">
        <f t="shared" si="3"/>
        <v>-0.8</v>
      </c>
    </row>
    <row r="83" spans="15:18" x14ac:dyDescent="0.2">
      <c r="O83" s="46"/>
      <c r="P83" s="3">
        <v>-0.6</v>
      </c>
      <c r="Q83">
        <f t="shared" si="2"/>
        <v>0</v>
      </c>
      <c r="R83">
        <f t="shared" si="3"/>
        <v>-0.6</v>
      </c>
    </row>
    <row r="84" spans="15:18" x14ac:dyDescent="0.2">
      <c r="O84" s="46"/>
      <c r="P84" s="4">
        <v>-0.4</v>
      </c>
      <c r="Q84">
        <f t="shared" si="2"/>
        <v>0</v>
      </c>
      <c r="R84">
        <f t="shared" si="3"/>
        <v>-0.4</v>
      </c>
    </row>
    <row r="85" spans="15:18" x14ac:dyDescent="0.2">
      <c r="O85" s="46"/>
      <c r="P85" s="4">
        <v>-0.1</v>
      </c>
      <c r="Q85">
        <f t="shared" si="2"/>
        <v>0</v>
      </c>
      <c r="R85">
        <f t="shared" si="3"/>
        <v>-0.1</v>
      </c>
    </row>
    <row r="86" spans="15:18" x14ac:dyDescent="0.2">
      <c r="O86" s="46"/>
      <c r="P86" s="4">
        <v>0</v>
      </c>
      <c r="Q86">
        <f t="shared" si="2"/>
        <v>0</v>
      </c>
      <c r="R86">
        <f t="shared" si="3"/>
        <v>0</v>
      </c>
    </row>
    <row r="87" spans="15:18" x14ac:dyDescent="0.2">
      <c r="O87" s="46"/>
      <c r="P87" s="4">
        <v>0.1</v>
      </c>
      <c r="Q87">
        <f t="shared" si="2"/>
        <v>0.1</v>
      </c>
      <c r="R87">
        <f t="shared" si="3"/>
        <v>0</v>
      </c>
    </row>
    <row r="88" spans="15:18" x14ac:dyDescent="0.2">
      <c r="O88" s="46"/>
      <c r="P88" s="4">
        <v>0.3</v>
      </c>
      <c r="Q88">
        <f t="shared" si="2"/>
        <v>0.3</v>
      </c>
      <c r="R88">
        <f t="shared" si="3"/>
        <v>0</v>
      </c>
    </row>
    <row r="89" spans="15:18" x14ac:dyDescent="0.2">
      <c r="O89" s="46"/>
      <c r="P89" s="5">
        <v>0.5</v>
      </c>
      <c r="Q89">
        <f t="shared" si="2"/>
        <v>0.5</v>
      </c>
      <c r="R89">
        <f t="shared" si="3"/>
        <v>0</v>
      </c>
    </row>
    <row r="90" spans="15:18" x14ac:dyDescent="0.2">
      <c r="O90" s="46"/>
      <c r="P90" s="5">
        <v>0.8</v>
      </c>
      <c r="Q90">
        <f t="shared" si="2"/>
        <v>0.8</v>
      </c>
      <c r="R90">
        <f t="shared" si="3"/>
        <v>0</v>
      </c>
    </row>
    <row r="91" spans="15:18" x14ac:dyDescent="0.2">
      <c r="O91" s="46"/>
      <c r="P91" s="5">
        <v>0.9</v>
      </c>
      <c r="Q91">
        <f t="shared" si="2"/>
        <v>0.9</v>
      </c>
      <c r="R91">
        <f t="shared" si="3"/>
        <v>0</v>
      </c>
    </row>
    <row r="92" spans="15:18" x14ac:dyDescent="0.2">
      <c r="O92" s="46"/>
      <c r="P92" s="5">
        <v>0.9</v>
      </c>
      <c r="Q92">
        <f t="shared" si="2"/>
        <v>0.9</v>
      </c>
      <c r="R92">
        <f t="shared" si="3"/>
        <v>0</v>
      </c>
    </row>
    <row r="93" spans="15:18" x14ac:dyDescent="0.2">
      <c r="O93">
        <v>2007</v>
      </c>
    </row>
    <row r="94" spans="15:18" x14ac:dyDescent="0.2">
      <c r="O94" s="46"/>
      <c r="P94" s="5">
        <v>0.7</v>
      </c>
      <c r="Q94">
        <f t="shared" si="2"/>
        <v>0.7</v>
      </c>
      <c r="R94">
        <f t="shared" si="3"/>
        <v>0</v>
      </c>
    </row>
    <row r="95" spans="15:18" x14ac:dyDescent="0.2">
      <c r="O95" s="46"/>
      <c r="P95" s="4">
        <v>0.2</v>
      </c>
      <c r="Q95">
        <f t="shared" si="2"/>
        <v>0.2</v>
      </c>
      <c r="R95">
        <f t="shared" si="3"/>
        <v>0</v>
      </c>
    </row>
    <row r="96" spans="15:18" x14ac:dyDescent="0.2">
      <c r="O96" s="46"/>
      <c r="P96" s="4">
        <v>-0.1</v>
      </c>
      <c r="Q96">
        <f t="shared" si="2"/>
        <v>0</v>
      </c>
      <c r="R96">
        <f t="shared" si="3"/>
        <v>-0.1</v>
      </c>
    </row>
    <row r="97" spans="15:18" x14ac:dyDescent="0.2">
      <c r="O97" s="46"/>
      <c r="P97" s="4">
        <v>-0.3</v>
      </c>
      <c r="Q97">
        <f t="shared" si="2"/>
        <v>0</v>
      </c>
      <c r="R97">
        <f t="shared" si="3"/>
        <v>-0.3</v>
      </c>
    </row>
    <row r="98" spans="15:18" x14ac:dyDescent="0.2">
      <c r="O98" s="46"/>
      <c r="P98" s="4">
        <v>-0.4</v>
      </c>
      <c r="Q98">
        <f t="shared" si="2"/>
        <v>0</v>
      </c>
      <c r="R98">
        <f t="shared" si="3"/>
        <v>-0.4</v>
      </c>
    </row>
    <row r="99" spans="15:18" x14ac:dyDescent="0.2">
      <c r="O99" s="46"/>
      <c r="P99" s="3">
        <v>-0.5</v>
      </c>
      <c r="Q99">
        <f t="shared" si="2"/>
        <v>0</v>
      </c>
      <c r="R99">
        <f t="shared" si="3"/>
        <v>-0.5</v>
      </c>
    </row>
    <row r="100" spans="15:18" x14ac:dyDescent="0.2">
      <c r="O100" s="46"/>
      <c r="P100" s="3">
        <v>-0.6</v>
      </c>
      <c r="Q100">
        <f t="shared" si="2"/>
        <v>0</v>
      </c>
      <c r="R100">
        <f t="shared" si="3"/>
        <v>-0.6</v>
      </c>
    </row>
    <row r="101" spans="15:18" x14ac:dyDescent="0.2">
      <c r="O101" s="46"/>
      <c r="P101" s="3">
        <v>-0.8</v>
      </c>
      <c r="Q101">
        <f t="shared" si="2"/>
        <v>0</v>
      </c>
      <c r="R101">
        <f t="shared" si="3"/>
        <v>-0.8</v>
      </c>
    </row>
    <row r="102" spans="15:18" x14ac:dyDescent="0.2">
      <c r="O102" s="46"/>
      <c r="P102" s="3">
        <v>-1.1000000000000001</v>
      </c>
      <c r="Q102">
        <f t="shared" si="2"/>
        <v>0</v>
      </c>
      <c r="R102">
        <f t="shared" si="3"/>
        <v>-1.1000000000000001</v>
      </c>
    </row>
    <row r="103" spans="15:18" x14ac:dyDescent="0.2">
      <c r="O103" s="46"/>
      <c r="P103" s="3">
        <v>-1.3</v>
      </c>
      <c r="Q103">
        <f t="shared" si="2"/>
        <v>0</v>
      </c>
      <c r="R103">
        <f t="shared" si="3"/>
        <v>-1.3</v>
      </c>
    </row>
    <row r="104" spans="15:18" x14ac:dyDescent="0.2">
      <c r="O104" s="46"/>
      <c r="P104" s="3">
        <v>-1.5</v>
      </c>
      <c r="Q104">
        <f t="shared" si="2"/>
        <v>0</v>
      </c>
      <c r="R104">
        <f t="shared" si="3"/>
        <v>-1.5</v>
      </c>
    </row>
    <row r="105" spans="15:18" x14ac:dyDescent="0.2">
      <c r="O105" s="46"/>
      <c r="P105" s="3">
        <v>-1.6</v>
      </c>
      <c r="Q105">
        <f t="shared" si="2"/>
        <v>0</v>
      </c>
      <c r="R105">
        <f t="shared" si="3"/>
        <v>-1.6</v>
      </c>
    </row>
    <row r="106" spans="15:18" x14ac:dyDescent="0.2">
      <c r="O106">
        <v>2008</v>
      </c>
    </row>
    <row r="107" spans="15:18" x14ac:dyDescent="0.2">
      <c r="O107" s="46"/>
      <c r="P107" s="3">
        <v>-1.6</v>
      </c>
      <c r="Q107">
        <f t="shared" si="2"/>
        <v>0</v>
      </c>
      <c r="R107">
        <f t="shared" si="3"/>
        <v>-1.6</v>
      </c>
    </row>
    <row r="108" spans="15:18" x14ac:dyDescent="0.2">
      <c r="O108" s="46"/>
      <c r="P108" s="3">
        <v>-1.5</v>
      </c>
      <c r="Q108">
        <f t="shared" si="2"/>
        <v>0</v>
      </c>
      <c r="R108">
        <f t="shared" si="3"/>
        <v>-1.5</v>
      </c>
    </row>
    <row r="109" spans="15:18" x14ac:dyDescent="0.2">
      <c r="O109" s="46"/>
      <c r="P109" s="3">
        <v>-1.3</v>
      </c>
      <c r="Q109">
        <f t="shared" si="2"/>
        <v>0</v>
      </c>
      <c r="R109">
        <f t="shared" si="3"/>
        <v>-1.3</v>
      </c>
    </row>
    <row r="110" spans="15:18" x14ac:dyDescent="0.2">
      <c r="O110" s="46"/>
      <c r="P110" s="3">
        <v>-1</v>
      </c>
      <c r="Q110">
        <f t="shared" si="2"/>
        <v>0</v>
      </c>
      <c r="R110">
        <f t="shared" si="3"/>
        <v>-1</v>
      </c>
    </row>
    <row r="111" spans="15:18" x14ac:dyDescent="0.2">
      <c r="O111" s="46"/>
      <c r="P111" s="3">
        <v>-0.8</v>
      </c>
      <c r="Q111">
        <f t="shared" si="2"/>
        <v>0</v>
      </c>
      <c r="R111">
        <f t="shared" si="3"/>
        <v>-0.8</v>
      </c>
    </row>
    <row r="112" spans="15:18" x14ac:dyDescent="0.2">
      <c r="O112" s="46"/>
      <c r="P112" s="3">
        <v>-0.6</v>
      </c>
      <c r="Q112">
        <f t="shared" si="2"/>
        <v>0</v>
      </c>
      <c r="R112">
        <f t="shared" si="3"/>
        <v>-0.6</v>
      </c>
    </row>
    <row r="113" spans="15:18" x14ac:dyDescent="0.2">
      <c r="O113" s="46"/>
      <c r="P113" s="4">
        <v>-0.4</v>
      </c>
      <c r="Q113">
        <f t="shared" si="2"/>
        <v>0</v>
      </c>
      <c r="R113">
        <f t="shared" si="3"/>
        <v>-0.4</v>
      </c>
    </row>
    <row r="114" spans="15:18" x14ac:dyDescent="0.2">
      <c r="O114" s="46"/>
      <c r="P114" s="4">
        <v>-0.2</v>
      </c>
      <c r="Q114">
        <f t="shared" si="2"/>
        <v>0</v>
      </c>
      <c r="R114">
        <f t="shared" si="3"/>
        <v>-0.2</v>
      </c>
    </row>
    <row r="115" spans="15:18" x14ac:dyDescent="0.2">
      <c r="O115" s="46"/>
      <c r="P115" s="4">
        <v>-0.2</v>
      </c>
      <c r="Q115">
        <f t="shared" si="2"/>
        <v>0</v>
      </c>
      <c r="R115">
        <f t="shared" si="3"/>
        <v>-0.2</v>
      </c>
    </row>
    <row r="116" spans="15:18" x14ac:dyDescent="0.2">
      <c r="O116" s="46"/>
      <c r="P116" s="4">
        <v>-0.4</v>
      </c>
      <c r="Q116">
        <f t="shared" si="2"/>
        <v>0</v>
      </c>
      <c r="R116">
        <f t="shared" si="3"/>
        <v>-0.4</v>
      </c>
    </row>
    <row r="117" spans="15:18" x14ac:dyDescent="0.2">
      <c r="O117" s="46"/>
      <c r="P117" s="3">
        <v>-0.6</v>
      </c>
      <c r="Q117">
        <f t="shared" si="2"/>
        <v>0</v>
      </c>
      <c r="R117">
        <f t="shared" si="3"/>
        <v>-0.6</v>
      </c>
    </row>
    <row r="118" spans="15:18" x14ac:dyDescent="0.2">
      <c r="O118" s="46"/>
      <c r="P118" s="3">
        <v>-0.7</v>
      </c>
      <c r="Q118">
        <f t="shared" si="2"/>
        <v>0</v>
      </c>
      <c r="R118">
        <f t="shared" si="3"/>
        <v>-0.7</v>
      </c>
    </row>
    <row r="119" spans="15:18" x14ac:dyDescent="0.2">
      <c r="O119">
        <v>2009</v>
      </c>
    </row>
    <row r="120" spans="15:18" x14ac:dyDescent="0.2">
      <c r="O120" s="46"/>
      <c r="P120" s="3">
        <v>-0.8</v>
      </c>
      <c r="Q120">
        <f t="shared" si="2"/>
        <v>0</v>
      </c>
      <c r="R120">
        <f t="shared" si="3"/>
        <v>-0.8</v>
      </c>
    </row>
    <row r="121" spans="15:18" x14ac:dyDescent="0.2">
      <c r="O121" s="46"/>
      <c r="P121" s="3">
        <v>-0.8</v>
      </c>
      <c r="Q121">
        <f t="shared" si="2"/>
        <v>0</v>
      </c>
      <c r="R121">
        <f t="shared" si="3"/>
        <v>-0.8</v>
      </c>
    </row>
    <row r="122" spans="15:18" x14ac:dyDescent="0.2">
      <c r="O122" s="46"/>
      <c r="P122" s="3">
        <v>-0.6</v>
      </c>
      <c r="Q122">
        <f t="shared" si="2"/>
        <v>0</v>
      </c>
      <c r="R122">
        <f t="shared" si="3"/>
        <v>-0.6</v>
      </c>
    </row>
    <row r="123" spans="15:18" x14ac:dyDescent="0.2">
      <c r="O123" s="46"/>
      <c r="P123" s="4">
        <v>-0.3</v>
      </c>
      <c r="Q123">
        <f t="shared" si="2"/>
        <v>0</v>
      </c>
      <c r="R123">
        <f t="shared" si="3"/>
        <v>-0.3</v>
      </c>
    </row>
    <row r="124" spans="15:18" x14ac:dyDescent="0.2">
      <c r="O124" s="46"/>
      <c r="P124" s="4">
        <v>0</v>
      </c>
      <c r="Q124">
        <f t="shared" si="2"/>
        <v>0</v>
      </c>
      <c r="R124">
        <f t="shared" si="3"/>
        <v>0</v>
      </c>
    </row>
    <row r="125" spans="15:18" x14ac:dyDescent="0.2">
      <c r="O125" s="46"/>
      <c r="P125" s="4">
        <v>0.3</v>
      </c>
      <c r="Q125">
        <f t="shared" si="2"/>
        <v>0.3</v>
      </c>
      <c r="R125">
        <f t="shared" si="3"/>
        <v>0</v>
      </c>
    </row>
    <row r="126" spans="15:18" x14ac:dyDescent="0.2">
      <c r="O126" s="46"/>
      <c r="P126" s="5">
        <v>0.5</v>
      </c>
      <c r="Q126">
        <f t="shared" si="2"/>
        <v>0.5</v>
      </c>
      <c r="R126">
        <f t="shared" si="3"/>
        <v>0</v>
      </c>
    </row>
    <row r="127" spans="15:18" x14ac:dyDescent="0.2">
      <c r="O127" s="46"/>
      <c r="P127" s="5">
        <v>0.6</v>
      </c>
      <c r="Q127">
        <f t="shared" si="2"/>
        <v>0.6</v>
      </c>
      <c r="R127">
        <f t="shared" si="3"/>
        <v>0</v>
      </c>
    </row>
    <row r="128" spans="15:18" x14ac:dyDescent="0.2">
      <c r="O128" s="46"/>
      <c r="P128" s="5">
        <v>0.7</v>
      </c>
      <c r="Q128">
        <f t="shared" si="2"/>
        <v>0.7</v>
      </c>
      <c r="R128">
        <f t="shared" si="3"/>
        <v>0</v>
      </c>
    </row>
    <row r="129" spans="15:18" x14ac:dyDescent="0.2">
      <c r="O129" s="46"/>
      <c r="P129" s="5">
        <v>1</v>
      </c>
      <c r="Q129">
        <f t="shared" si="2"/>
        <v>1</v>
      </c>
      <c r="R129">
        <f t="shared" si="3"/>
        <v>0</v>
      </c>
    </row>
    <row r="130" spans="15:18" x14ac:dyDescent="0.2">
      <c r="O130" s="46"/>
      <c r="P130" s="5">
        <v>1.4</v>
      </c>
      <c r="Q130">
        <f t="shared" si="2"/>
        <v>1.4</v>
      </c>
      <c r="R130">
        <f t="shared" si="3"/>
        <v>0</v>
      </c>
    </row>
    <row r="131" spans="15:18" x14ac:dyDescent="0.2">
      <c r="O131" s="46"/>
      <c r="P131" s="5">
        <v>1.6</v>
      </c>
      <c r="Q131">
        <f t="shared" si="2"/>
        <v>1.6</v>
      </c>
      <c r="R131">
        <f t="shared" si="3"/>
        <v>0</v>
      </c>
    </row>
    <row r="132" spans="15:18" x14ac:dyDescent="0.2">
      <c r="O132">
        <v>2010</v>
      </c>
    </row>
    <row r="133" spans="15:18" x14ac:dyDescent="0.2">
      <c r="O133" s="46"/>
      <c r="P133" s="5">
        <v>1.5</v>
      </c>
      <c r="Q133">
        <f t="shared" ref="Q133:Q144" si="4">IF(P133&gt;0,P133,0)</f>
        <v>1.5</v>
      </c>
      <c r="R133">
        <f t="shared" ref="R133:R144" si="5">IF(P134&lt;0,P134,0)</f>
        <v>0</v>
      </c>
    </row>
    <row r="134" spans="15:18" x14ac:dyDescent="0.2">
      <c r="O134" s="46"/>
      <c r="P134" s="5">
        <v>1.2</v>
      </c>
      <c r="Q134">
        <f t="shared" si="4"/>
        <v>1.2</v>
      </c>
      <c r="R134">
        <f t="shared" si="5"/>
        <v>0</v>
      </c>
    </row>
    <row r="135" spans="15:18" x14ac:dyDescent="0.2">
      <c r="O135" s="46"/>
      <c r="P135" s="5">
        <v>0.8</v>
      </c>
      <c r="Q135">
        <f t="shared" si="4"/>
        <v>0.8</v>
      </c>
      <c r="R135">
        <f t="shared" si="5"/>
        <v>0</v>
      </c>
    </row>
    <row r="136" spans="15:18" x14ac:dyDescent="0.2">
      <c r="O136" s="46"/>
      <c r="P136" s="4">
        <v>0.4</v>
      </c>
      <c r="Q136">
        <f t="shared" si="4"/>
        <v>0.4</v>
      </c>
      <c r="R136">
        <f t="shared" si="5"/>
        <v>-0.2</v>
      </c>
    </row>
    <row r="137" spans="15:18" x14ac:dyDescent="0.2">
      <c r="O137" s="46"/>
      <c r="P137" s="4">
        <v>-0.2</v>
      </c>
      <c r="Q137">
        <f t="shared" si="4"/>
        <v>0</v>
      </c>
      <c r="R137">
        <f t="shared" si="5"/>
        <v>-0.7</v>
      </c>
    </row>
    <row r="138" spans="15:18" x14ac:dyDescent="0.2">
      <c r="O138" s="46"/>
      <c r="P138" s="3">
        <v>-0.7</v>
      </c>
      <c r="Q138">
        <f t="shared" si="4"/>
        <v>0</v>
      </c>
      <c r="R138">
        <f t="shared" si="5"/>
        <v>-1</v>
      </c>
    </row>
    <row r="139" spans="15:18" x14ac:dyDescent="0.2">
      <c r="O139" s="46"/>
      <c r="P139" s="3">
        <v>-1</v>
      </c>
      <c r="Q139">
        <f t="shared" si="4"/>
        <v>0</v>
      </c>
      <c r="R139">
        <f t="shared" si="5"/>
        <v>-1.3</v>
      </c>
    </row>
    <row r="140" spans="15:18" x14ac:dyDescent="0.2">
      <c r="O140" s="46"/>
      <c r="P140" s="3">
        <v>-1.3</v>
      </c>
      <c r="Q140">
        <f t="shared" si="4"/>
        <v>0</v>
      </c>
      <c r="R140">
        <f t="shared" si="5"/>
        <v>-1.6</v>
      </c>
    </row>
    <row r="141" spans="15:18" x14ac:dyDescent="0.2">
      <c r="O141" s="46"/>
      <c r="P141" s="3">
        <v>-1.6</v>
      </c>
      <c r="Q141">
        <f t="shared" si="4"/>
        <v>0</v>
      </c>
      <c r="R141">
        <f t="shared" si="5"/>
        <v>-1.6</v>
      </c>
    </row>
    <row r="142" spans="15:18" x14ac:dyDescent="0.2">
      <c r="O142" s="46"/>
      <c r="P142" s="3">
        <v>-1.6</v>
      </c>
      <c r="Q142">
        <f t="shared" si="4"/>
        <v>0</v>
      </c>
      <c r="R142">
        <f t="shared" si="5"/>
        <v>-1.6</v>
      </c>
    </row>
    <row r="143" spans="15:18" x14ac:dyDescent="0.2">
      <c r="O143" s="46"/>
      <c r="P143" s="3">
        <v>-1.6</v>
      </c>
      <c r="Q143">
        <f t="shared" si="4"/>
        <v>0</v>
      </c>
      <c r="R143">
        <f t="shared" si="5"/>
        <v>-1.6</v>
      </c>
    </row>
    <row r="144" spans="15:18" x14ac:dyDescent="0.2">
      <c r="O144" s="46"/>
      <c r="P144" s="3">
        <v>-1.6</v>
      </c>
      <c r="Q144">
        <f t="shared" si="4"/>
        <v>0</v>
      </c>
      <c r="R144">
        <f t="shared" si="5"/>
        <v>0</v>
      </c>
    </row>
  </sheetData>
  <phoneticPr fontId="17" type="noConversion"/>
  <pageMargins left="0.7" right="0.7"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O27"/>
  <sheetViews>
    <sheetView topLeftCell="H1" zoomScale="82" zoomScaleNormal="82" workbookViewId="0">
      <selection activeCell="Q15" sqref="Q15"/>
    </sheetView>
  </sheetViews>
  <sheetFormatPr defaultRowHeight="14.25" x14ac:dyDescent="0.2"/>
  <cols>
    <col min="1" max="1" width="20.875" customWidth="1"/>
    <col min="2" max="13" width="9.125" customWidth="1"/>
    <col min="14" max="14" width="12.875" customWidth="1"/>
  </cols>
  <sheetData>
    <row r="1" spans="1:15" ht="24" x14ac:dyDescent="0.55000000000000004">
      <c r="A1" s="12" t="s">
        <v>2803</v>
      </c>
      <c r="B1" s="12" t="s">
        <v>2804</v>
      </c>
      <c r="C1" s="12" t="s">
        <v>2805</v>
      </c>
      <c r="D1" s="12" t="s">
        <v>2806</v>
      </c>
      <c r="E1" s="12" t="s">
        <v>2807</v>
      </c>
      <c r="F1" s="12" t="s">
        <v>2834</v>
      </c>
      <c r="G1" s="12" t="s">
        <v>2835</v>
      </c>
      <c r="H1" s="12" t="s">
        <v>2836</v>
      </c>
      <c r="I1" s="12" t="s">
        <v>2837</v>
      </c>
      <c r="J1" s="12" t="s">
        <v>2838</v>
      </c>
      <c r="K1" s="12" t="s">
        <v>2839</v>
      </c>
      <c r="L1" s="12" t="s">
        <v>2840</v>
      </c>
      <c r="M1" s="12" t="s">
        <v>2841</v>
      </c>
      <c r="N1" s="38" t="s">
        <v>2842</v>
      </c>
    </row>
    <row r="2" spans="1:15" ht="24" x14ac:dyDescent="0.5500000000000000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42">
        <f>SUM(B2:M2)</f>
        <v>1751.3000000000002</v>
      </c>
    </row>
    <row r="3" spans="1:15" ht="24" x14ac:dyDescent="0.55000000000000004">
      <c r="A3" s="13">
        <v>2552</v>
      </c>
      <c r="B3" s="14">
        <v>20.6</v>
      </c>
      <c r="C3" s="14">
        <v>7.7</v>
      </c>
      <c r="D3" s="14">
        <v>89.9</v>
      </c>
      <c r="E3" s="14">
        <v>132</v>
      </c>
      <c r="F3" s="14">
        <v>227.5</v>
      </c>
      <c r="G3" s="14">
        <v>163.9</v>
      </c>
      <c r="H3" s="14">
        <v>227.7</v>
      </c>
      <c r="I3" s="14">
        <v>213.2</v>
      </c>
      <c r="J3" s="14">
        <v>263.2</v>
      </c>
      <c r="K3" s="14">
        <v>158.19999999999999</v>
      </c>
      <c r="L3" s="14">
        <v>84.6</v>
      </c>
      <c r="M3" s="14">
        <v>21.3</v>
      </c>
      <c r="N3" s="42">
        <f t="shared" ref="N3:N12" si="0">SUM(B3:M3)</f>
        <v>1609.8</v>
      </c>
    </row>
    <row r="4" spans="1:15" ht="24" x14ac:dyDescent="0.55000000000000004">
      <c r="A4" s="13">
        <v>2553</v>
      </c>
      <c r="B4" s="14">
        <v>44.9</v>
      </c>
      <c r="C4" s="14">
        <v>12.6</v>
      </c>
      <c r="D4" s="14">
        <v>28</v>
      </c>
      <c r="E4" s="14">
        <v>58.3</v>
      </c>
      <c r="F4" s="14">
        <v>119</v>
      </c>
      <c r="G4" s="14">
        <v>190.1</v>
      </c>
      <c r="H4" s="14">
        <v>213.8</v>
      </c>
      <c r="I4" s="14">
        <v>315.39999999999998</v>
      </c>
      <c r="J4" s="14">
        <v>218.1</v>
      </c>
      <c r="K4" s="14">
        <v>254.8</v>
      </c>
      <c r="L4" s="14">
        <v>111.5</v>
      </c>
      <c r="M4" s="14">
        <v>83.9</v>
      </c>
      <c r="N4" s="42">
        <f t="shared" si="0"/>
        <v>1650.4</v>
      </c>
    </row>
    <row r="5" spans="1:15" ht="24" x14ac:dyDescent="0.55000000000000004">
      <c r="A5" s="13">
        <v>2554</v>
      </c>
      <c r="B5" s="14">
        <v>34.9</v>
      </c>
      <c r="C5" s="14">
        <v>19.3</v>
      </c>
      <c r="D5" s="14">
        <v>191</v>
      </c>
      <c r="E5" s="14">
        <v>103.6</v>
      </c>
      <c r="F5" s="14">
        <v>206.1</v>
      </c>
      <c r="G5" s="14">
        <v>199.7</v>
      </c>
      <c r="H5" s="14">
        <v>259</v>
      </c>
      <c r="I5" s="14">
        <v>287.3</v>
      </c>
      <c r="J5" s="14">
        <v>319.7</v>
      </c>
      <c r="K5" s="15">
        <v>201.9</v>
      </c>
      <c r="L5" s="14">
        <v>67.900000000000006</v>
      </c>
      <c r="M5" s="14">
        <v>57.5</v>
      </c>
      <c r="N5" s="42">
        <f t="shared" si="0"/>
        <v>1947.9</v>
      </c>
    </row>
    <row r="6" spans="1:15" ht="24" x14ac:dyDescent="0.55000000000000004">
      <c r="A6" s="13">
        <v>2555</v>
      </c>
      <c r="B6" s="14">
        <v>86.1</v>
      </c>
      <c r="C6" s="14">
        <v>25</v>
      </c>
      <c r="D6" s="14">
        <v>58.5</v>
      </c>
      <c r="E6" s="14">
        <v>102.7</v>
      </c>
      <c r="F6" s="14">
        <v>231.6</v>
      </c>
      <c r="G6" s="14">
        <v>159.9</v>
      </c>
      <c r="H6" s="14">
        <v>207.7</v>
      </c>
      <c r="I6" s="14">
        <v>214.1</v>
      </c>
      <c r="J6" s="14">
        <v>302</v>
      </c>
      <c r="K6" s="14">
        <v>112.3</v>
      </c>
      <c r="L6" s="14">
        <v>118</v>
      </c>
      <c r="M6" s="14">
        <v>63.8</v>
      </c>
      <c r="N6" s="42">
        <f t="shared" si="0"/>
        <v>1681.6999999999998</v>
      </c>
    </row>
    <row r="7" spans="1:15" ht="24" x14ac:dyDescent="0.55000000000000004">
      <c r="A7" s="13">
        <v>2556</v>
      </c>
      <c r="B7" s="14">
        <v>38.9</v>
      </c>
      <c r="C7" s="14">
        <v>27.4</v>
      </c>
      <c r="D7" s="14">
        <v>29.1</v>
      </c>
      <c r="E7" s="14">
        <v>87.9</v>
      </c>
      <c r="F7" s="14">
        <v>148.6</v>
      </c>
      <c r="G7" s="14">
        <v>214.8</v>
      </c>
      <c r="H7" s="14">
        <v>283.89999999999998</v>
      </c>
      <c r="I7" s="14">
        <v>223.6</v>
      </c>
      <c r="J7" s="14">
        <v>313</v>
      </c>
      <c r="K7" s="14">
        <v>216.3</v>
      </c>
      <c r="L7" s="14">
        <v>131.80000000000001</v>
      </c>
      <c r="M7" s="14">
        <v>49.1</v>
      </c>
      <c r="N7" s="42">
        <f t="shared" si="0"/>
        <v>1764.3999999999999</v>
      </c>
    </row>
    <row r="8" spans="1:15" ht="24" x14ac:dyDescent="0.55000000000000004">
      <c r="A8" s="13">
        <v>2557</v>
      </c>
      <c r="B8" s="14">
        <v>8.4</v>
      </c>
      <c r="C8" s="14">
        <v>3.6</v>
      </c>
      <c r="D8" s="14">
        <v>24.7</v>
      </c>
      <c r="E8" s="14">
        <v>84.1</v>
      </c>
      <c r="F8" s="14">
        <v>133.4</v>
      </c>
      <c r="G8" s="14">
        <v>192.2</v>
      </c>
      <c r="H8" s="14">
        <v>229</v>
      </c>
      <c r="I8" s="14">
        <v>251.7</v>
      </c>
      <c r="J8" s="14">
        <v>229.4</v>
      </c>
      <c r="K8" s="14">
        <v>180.9</v>
      </c>
      <c r="L8" s="14">
        <v>108</v>
      </c>
      <c r="M8" s="14">
        <v>75</v>
      </c>
      <c r="N8" s="42">
        <f t="shared" si="0"/>
        <v>1520.4</v>
      </c>
    </row>
    <row r="9" spans="1:15" ht="24" x14ac:dyDescent="0.55000000000000004">
      <c r="A9" s="13">
        <v>2558</v>
      </c>
      <c r="B9" s="14">
        <v>23.9</v>
      </c>
      <c r="C9" s="14">
        <v>16.399999999999999</v>
      </c>
      <c r="D9" s="14">
        <v>39.5</v>
      </c>
      <c r="E9" s="14">
        <v>76.400000000000006</v>
      </c>
      <c r="F9" s="14">
        <v>104.7</v>
      </c>
      <c r="G9" s="14">
        <v>144.6</v>
      </c>
      <c r="H9" s="14">
        <v>213.2</v>
      </c>
      <c r="I9" s="14">
        <v>237.4</v>
      </c>
      <c r="J9" s="14">
        <v>262</v>
      </c>
      <c r="K9" s="14">
        <v>158.6</v>
      </c>
      <c r="L9" s="14">
        <v>97.3</v>
      </c>
      <c r="M9" s="14">
        <v>45.6</v>
      </c>
      <c r="N9" s="42">
        <f t="shared" si="0"/>
        <v>1419.5999999999997</v>
      </c>
    </row>
    <row r="10" spans="1:15" ht="24" x14ac:dyDescent="0.55000000000000004">
      <c r="A10" s="13">
        <v>2559</v>
      </c>
      <c r="B10" s="16">
        <v>51.1</v>
      </c>
      <c r="C10" s="16">
        <v>12</v>
      </c>
      <c r="D10" s="16">
        <v>10.4</v>
      </c>
      <c r="E10" s="16">
        <v>32</v>
      </c>
      <c r="F10" s="16">
        <v>171.6</v>
      </c>
      <c r="G10" s="16">
        <v>234.1</v>
      </c>
      <c r="H10" s="16">
        <v>233.2</v>
      </c>
      <c r="I10" s="16">
        <v>217.8</v>
      </c>
      <c r="J10" s="16">
        <v>268.3</v>
      </c>
      <c r="K10" s="16">
        <v>225</v>
      </c>
      <c r="L10" s="16">
        <v>90.2</v>
      </c>
      <c r="M10" s="16">
        <v>121.7</v>
      </c>
      <c r="N10" s="42">
        <f t="shared" si="0"/>
        <v>1667.4</v>
      </c>
    </row>
    <row r="11" spans="1:15" ht="24" x14ac:dyDescent="0.55000000000000004">
      <c r="A11" s="13">
        <v>2560</v>
      </c>
      <c r="B11" s="16">
        <v>111</v>
      </c>
      <c r="C11" s="16">
        <v>11</v>
      </c>
      <c r="D11" s="16">
        <v>70</v>
      </c>
      <c r="E11" s="16">
        <v>85</v>
      </c>
      <c r="F11" s="16">
        <v>276</v>
      </c>
      <c r="G11" s="16">
        <v>191</v>
      </c>
      <c r="H11" s="16">
        <v>289</v>
      </c>
      <c r="I11" s="16">
        <v>246</v>
      </c>
      <c r="J11" s="16">
        <v>211</v>
      </c>
      <c r="K11" s="16">
        <v>186</v>
      </c>
      <c r="L11" s="16">
        <v>102</v>
      </c>
      <c r="M11" s="16">
        <v>52</v>
      </c>
      <c r="N11" s="42">
        <f t="shared" si="0"/>
        <v>1830</v>
      </c>
    </row>
    <row r="12" spans="1:15" ht="24" x14ac:dyDescent="0.55000000000000004">
      <c r="A12" s="40" t="s">
        <v>2808</v>
      </c>
      <c r="B12" s="16">
        <v>21.3</v>
      </c>
      <c r="C12" s="16">
        <v>23.5</v>
      </c>
      <c r="D12" s="16">
        <v>26.7</v>
      </c>
      <c r="E12" s="16">
        <v>28.7</v>
      </c>
      <c r="F12" s="16">
        <v>27.9</v>
      </c>
      <c r="G12" s="16">
        <v>23.6</v>
      </c>
      <c r="H12" s="16">
        <v>24.5</v>
      </c>
      <c r="I12" s="16">
        <v>21.2</v>
      </c>
      <c r="J12" s="16">
        <v>24.8</v>
      </c>
      <c r="K12" s="16">
        <v>22.4</v>
      </c>
      <c r="L12" s="16">
        <v>21.3</v>
      </c>
      <c r="M12" s="16">
        <v>23.2</v>
      </c>
      <c r="N12" s="42">
        <f t="shared" si="0"/>
        <v>289.09999999999997</v>
      </c>
    </row>
    <row r="13" spans="1:15" ht="24" x14ac:dyDescent="0.55000000000000004">
      <c r="A13" s="40" t="s">
        <v>2898</v>
      </c>
      <c r="B13" s="41">
        <f>AVERAGE(B2:B12)</f>
        <v>42.563636363636363</v>
      </c>
      <c r="C13" s="41">
        <f t="shared" ref="C13:M13" si="1">AVERAGE(C2:C12)</f>
        <v>17.872727272727271</v>
      </c>
      <c r="D13" s="41">
        <f t="shared" si="1"/>
        <v>55.981818181818191</v>
      </c>
      <c r="E13" s="41">
        <f t="shared" si="1"/>
        <v>84.181818181818187</v>
      </c>
      <c r="F13" s="41">
        <f t="shared" si="1"/>
        <v>169.27272727272728</v>
      </c>
      <c r="G13" s="41">
        <f t="shared" si="1"/>
        <v>174.31818181818178</v>
      </c>
      <c r="H13" s="41">
        <f t="shared" si="1"/>
        <v>216.82727272727271</v>
      </c>
      <c r="I13" s="41">
        <f t="shared" si="1"/>
        <v>220.14545454545453</v>
      </c>
      <c r="J13" s="41">
        <f t="shared" si="1"/>
        <v>246.14545454545458</v>
      </c>
      <c r="K13" s="41">
        <f t="shared" si="1"/>
        <v>174.10909090909092</v>
      </c>
      <c r="L13" s="41">
        <f t="shared" si="1"/>
        <v>97.854545454545445</v>
      </c>
      <c r="M13" s="41">
        <f t="shared" si="1"/>
        <v>58.181818181818194</v>
      </c>
      <c r="N13" s="43">
        <f>SUM(B13:M13)</f>
        <v>1557.4545454545455</v>
      </c>
      <c r="O13" s="39"/>
    </row>
    <row r="14" spans="1:15" ht="23.25" x14ac:dyDescent="0.5">
      <c r="A14" s="40" t="s">
        <v>2899</v>
      </c>
      <c r="B14" s="45">
        <f>AVERAGE(B2:M11)</f>
        <v>140.35750000000002</v>
      </c>
      <c r="C14" s="44"/>
      <c r="D14" s="44"/>
      <c r="E14" s="44"/>
      <c r="F14" s="44"/>
      <c r="G14" s="44"/>
      <c r="H14" s="44"/>
      <c r="I14" s="44"/>
      <c r="J14" s="44"/>
      <c r="K14" s="44"/>
      <c r="L14" s="44"/>
      <c r="M14" s="44"/>
      <c r="N14" s="21"/>
    </row>
    <row r="15" spans="1:15" ht="23.25" x14ac:dyDescent="0.5">
      <c r="A15" s="40" t="s">
        <v>2900</v>
      </c>
      <c r="B15" s="45">
        <f>MIN(B2:M11)</f>
        <v>3.6</v>
      </c>
      <c r="C15" s="44"/>
      <c r="D15" s="44"/>
      <c r="E15" s="44"/>
      <c r="F15" s="44"/>
      <c r="G15" s="44"/>
      <c r="H15" s="44"/>
      <c r="I15" s="44"/>
      <c r="J15" s="44"/>
      <c r="K15" s="44"/>
      <c r="L15" s="44"/>
      <c r="M15" s="44"/>
      <c r="N15" s="21"/>
    </row>
    <row r="16" spans="1:15" ht="23.25" x14ac:dyDescent="0.5">
      <c r="A16" s="40" t="s">
        <v>2901</v>
      </c>
      <c r="B16" s="45">
        <f>MAX(B2:M11)</f>
        <v>319.7</v>
      </c>
      <c r="C16" s="44"/>
      <c r="D16" s="44"/>
      <c r="E16" s="44"/>
      <c r="F16" s="44"/>
      <c r="G16" s="44"/>
      <c r="H16" s="44"/>
      <c r="I16" s="44"/>
      <c r="J16" s="44"/>
      <c r="K16" s="44"/>
      <c r="L16" s="44"/>
      <c r="M16" s="44"/>
      <c r="N16" s="21"/>
    </row>
    <row r="17" spans="1:14" ht="23.25" x14ac:dyDescent="0.5">
      <c r="A17" s="40"/>
      <c r="B17" s="44"/>
      <c r="C17" s="44"/>
      <c r="D17" s="44"/>
      <c r="E17" s="44"/>
      <c r="F17" s="44"/>
      <c r="G17" s="44"/>
      <c r="H17" s="44"/>
      <c r="I17" s="44"/>
      <c r="J17" s="44"/>
      <c r="K17" s="44"/>
      <c r="L17" s="44"/>
      <c r="M17" s="44"/>
      <c r="N17" s="21"/>
    </row>
    <row r="18" spans="1:14" ht="23.25" x14ac:dyDescent="0.5">
      <c r="A18" s="40"/>
      <c r="B18" s="44"/>
      <c r="C18" s="44"/>
      <c r="D18" s="44"/>
      <c r="E18" s="44"/>
      <c r="F18" s="44"/>
      <c r="G18" s="44"/>
      <c r="H18" s="44"/>
      <c r="I18" s="44"/>
      <c r="J18" s="44"/>
      <c r="K18" s="44"/>
      <c r="L18" s="44"/>
      <c r="M18" s="44"/>
      <c r="N18" s="21"/>
    </row>
    <row r="19" spans="1:14" ht="23.25" x14ac:dyDescent="0.5">
      <c r="A19" s="40"/>
      <c r="B19" s="44"/>
      <c r="C19" s="44"/>
      <c r="D19" s="44"/>
      <c r="E19" s="44"/>
      <c r="F19" s="44"/>
      <c r="G19" s="44"/>
      <c r="H19" s="44"/>
      <c r="I19" s="44"/>
      <c r="J19" s="44"/>
      <c r="K19" s="44"/>
      <c r="L19" s="44"/>
      <c r="M19" s="44"/>
      <c r="N19" s="21"/>
    </row>
    <row r="20" spans="1:14" ht="23.25" x14ac:dyDescent="0.5">
      <c r="A20" s="40"/>
      <c r="B20" s="44"/>
      <c r="C20" s="44"/>
      <c r="D20" s="44"/>
      <c r="E20" s="44"/>
      <c r="F20" s="44"/>
      <c r="G20" s="44"/>
      <c r="H20" s="44"/>
      <c r="I20" s="44"/>
      <c r="J20" s="44"/>
      <c r="K20" s="44"/>
      <c r="L20" s="44"/>
      <c r="M20" s="44"/>
      <c r="N20" s="21"/>
    </row>
    <row r="21" spans="1:14" ht="23.25" x14ac:dyDescent="0.5">
      <c r="A21" s="40"/>
      <c r="B21" s="44"/>
      <c r="C21" s="44"/>
      <c r="D21" s="44"/>
      <c r="E21" s="44"/>
      <c r="F21" s="44"/>
      <c r="G21" s="44"/>
      <c r="H21" s="44"/>
      <c r="I21" s="44"/>
      <c r="J21" s="44"/>
      <c r="K21" s="44"/>
      <c r="L21" s="44"/>
      <c r="M21" s="44"/>
      <c r="N21" s="21"/>
    </row>
    <row r="22" spans="1:14" ht="23.25" x14ac:dyDescent="0.5">
      <c r="A22" s="40"/>
      <c r="B22" s="44"/>
      <c r="C22" s="44"/>
      <c r="D22" s="44"/>
      <c r="E22" s="44"/>
      <c r="F22" s="44"/>
      <c r="G22" s="44"/>
      <c r="H22" s="44"/>
      <c r="I22" s="44"/>
      <c r="J22" s="44"/>
      <c r="K22" s="44"/>
      <c r="L22" s="44"/>
      <c r="M22" s="44"/>
      <c r="N22" s="21"/>
    </row>
    <row r="23" spans="1:14" ht="23.25" x14ac:dyDescent="0.5">
      <c r="A23" s="40"/>
      <c r="B23" s="44"/>
      <c r="C23" s="44"/>
      <c r="D23" s="44"/>
      <c r="E23" s="44"/>
      <c r="F23" s="44"/>
      <c r="G23" s="44"/>
      <c r="H23" s="44"/>
      <c r="I23" s="44"/>
      <c r="J23" s="44"/>
      <c r="K23" s="44"/>
      <c r="L23" s="44"/>
      <c r="M23" s="44"/>
      <c r="N23" s="21"/>
    </row>
    <row r="24" spans="1:14" ht="23.25" x14ac:dyDescent="0.5">
      <c r="A24" s="40"/>
      <c r="B24" s="44"/>
      <c r="C24" s="44"/>
      <c r="D24" s="44"/>
      <c r="E24" s="44"/>
      <c r="F24" s="44"/>
      <c r="G24" s="44"/>
      <c r="H24" s="44"/>
      <c r="I24" s="44"/>
      <c r="J24" s="44"/>
      <c r="K24" s="44"/>
      <c r="L24" s="44"/>
      <c r="M24" s="44"/>
      <c r="N24" s="21"/>
    </row>
    <row r="25" spans="1:14" ht="23.25" x14ac:dyDescent="0.5">
      <c r="A25" s="40"/>
      <c r="B25" s="44"/>
      <c r="C25" s="44"/>
      <c r="D25" s="44"/>
      <c r="E25" s="44"/>
      <c r="F25" s="44"/>
      <c r="G25" s="44"/>
      <c r="H25" s="44"/>
      <c r="I25" s="44"/>
      <c r="J25" s="44"/>
      <c r="K25" s="44"/>
      <c r="L25" s="44"/>
      <c r="M25" s="44"/>
      <c r="N25" s="21"/>
    </row>
    <row r="26" spans="1:14" ht="23.25" x14ac:dyDescent="0.5">
      <c r="A26" s="40"/>
      <c r="B26" s="44"/>
      <c r="C26" s="44"/>
      <c r="D26" s="44"/>
      <c r="E26" s="44"/>
      <c r="F26" s="44"/>
      <c r="G26" s="44"/>
      <c r="H26" s="44"/>
      <c r="I26" s="44"/>
      <c r="J26" s="44"/>
      <c r="K26" s="44"/>
      <c r="L26" s="44"/>
      <c r="M26" s="44"/>
      <c r="N26" s="21"/>
    </row>
    <row r="27" spans="1:14" ht="23.25" x14ac:dyDescent="0.5">
      <c r="A27" s="40"/>
      <c r="B27" s="44"/>
      <c r="C27" s="44"/>
      <c r="D27" s="44"/>
      <c r="E27" s="44"/>
      <c r="F27" s="44"/>
      <c r="G27" s="44"/>
      <c r="H27" s="44"/>
      <c r="I27" s="44"/>
      <c r="J27" s="44"/>
      <c r="K27" s="44"/>
      <c r="L27" s="44"/>
      <c r="M27" s="44"/>
      <c r="N27" s="21"/>
    </row>
  </sheetData>
  <phoneticPr fontId="17" type="noConversion"/>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4986F-5965-45A8-966F-B7416F13163C}">
  <dimension ref="A1:G78"/>
  <sheetViews>
    <sheetView workbookViewId="0">
      <selection activeCell="D1" sqref="D1:D1048576"/>
    </sheetView>
  </sheetViews>
  <sheetFormatPr defaultRowHeight="14.25" x14ac:dyDescent="0.2"/>
  <cols>
    <col min="1" max="1" width="15.875" customWidth="1"/>
    <col min="2" max="2" width="15.75" customWidth="1"/>
    <col min="3" max="3" width="20.875" customWidth="1"/>
    <col min="4" max="4" width="23.5" customWidth="1"/>
    <col min="5" max="5" width="18.75" customWidth="1"/>
    <col min="6" max="6" width="21.125" customWidth="1"/>
    <col min="7" max="7" width="22.125" customWidth="1"/>
  </cols>
  <sheetData>
    <row r="1" spans="1:7" x14ac:dyDescent="0.2">
      <c r="A1" s="58" t="s">
        <v>328</v>
      </c>
      <c r="B1" s="57" t="s">
        <v>329</v>
      </c>
      <c r="C1" s="57" t="s">
        <v>330</v>
      </c>
      <c r="D1" s="57" t="s">
        <v>333</v>
      </c>
      <c r="E1" s="57" t="s">
        <v>334</v>
      </c>
      <c r="F1" s="57" t="s">
        <v>335</v>
      </c>
      <c r="G1" s="57" t="s">
        <v>336</v>
      </c>
    </row>
    <row r="2" spans="1:7" x14ac:dyDescent="0.2">
      <c r="A2" s="48">
        <v>6812</v>
      </c>
      <c r="B2" s="49">
        <v>10</v>
      </c>
      <c r="C2" s="56" t="s">
        <v>338</v>
      </c>
      <c r="D2" s="49">
        <v>2526272</v>
      </c>
      <c r="E2" s="49">
        <v>2896296</v>
      </c>
      <c r="F2" s="49">
        <v>5422568</v>
      </c>
      <c r="G2" s="52">
        <v>3356358</v>
      </c>
    </row>
    <row r="3" spans="1:7" x14ac:dyDescent="0.2">
      <c r="A3" s="50">
        <v>6812</v>
      </c>
      <c r="B3" s="51">
        <v>11</v>
      </c>
      <c r="C3" s="55" t="s">
        <v>2913</v>
      </c>
      <c r="D3" s="51">
        <v>654644</v>
      </c>
      <c r="E3" s="51">
        <v>729280</v>
      </c>
      <c r="F3" s="51">
        <v>1383924</v>
      </c>
      <c r="G3" s="53">
        <v>792409</v>
      </c>
    </row>
    <row r="4" spans="1:7" x14ac:dyDescent="0.2">
      <c r="A4" s="48">
        <v>6812</v>
      </c>
      <c r="B4" s="49">
        <v>12</v>
      </c>
      <c r="C4" s="56" t="s">
        <v>2914</v>
      </c>
      <c r="D4" s="49">
        <v>610989</v>
      </c>
      <c r="E4" s="49">
        <v>711291</v>
      </c>
      <c r="F4" s="49">
        <v>1322280</v>
      </c>
      <c r="G4" s="52">
        <v>775919</v>
      </c>
    </row>
    <row r="5" spans="1:7" x14ac:dyDescent="0.2">
      <c r="A5" s="50">
        <v>6812</v>
      </c>
      <c r="B5" s="51">
        <v>13</v>
      </c>
      <c r="C5" s="55" t="s">
        <v>2915</v>
      </c>
      <c r="D5" s="51">
        <v>587603</v>
      </c>
      <c r="E5" s="51">
        <v>658459</v>
      </c>
      <c r="F5" s="51">
        <v>1246062</v>
      </c>
      <c r="G5" s="53">
        <v>728164</v>
      </c>
    </row>
    <row r="6" spans="1:7" x14ac:dyDescent="0.2">
      <c r="A6" s="48">
        <v>6812</v>
      </c>
      <c r="B6" s="49">
        <v>14</v>
      </c>
      <c r="C6" s="56" t="s">
        <v>2916</v>
      </c>
      <c r="D6" s="49">
        <v>393983</v>
      </c>
      <c r="E6" s="49">
        <v>428720</v>
      </c>
      <c r="F6" s="49">
        <v>822703</v>
      </c>
      <c r="G6" s="52">
        <v>366492</v>
      </c>
    </row>
    <row r="7" spans="1:7" x14ac:dyDescent="0.2">
      <c r="A7" s="50">
        <v>6812</v>
      </c>
      <c r="B7" s="51">
        <v>15</v>
      </c>
      <c r="C7" s="55" t="s">
        <v>2917</v>
      </c>
      <c r="D7" s="51">
        <v>127448</v>
      </c>
      <c r="E7" s="51">
        <v>139475</v>
      </c>
      <c r="F7" s="51">
        <v>266923</v>
      </c>
      <c r="G7" s="53">
        <v>106411</v>
      </c>
    </row>
    <row r="8" spans="1:7" x14ac:dyDescent="0.2">
      <c r="A8" s="48">
        <v>6812</v>
      </c>
      <c r="B8" s="49">
        <v>16</v>
      </c>
      <c r="C8" s="56" t="s">
        <v>2918</v>
      </c>
      <c r="D8" s="49">
        <v>357927</v>
      </c>
      <c r="E8" s="49">
        <v>363633</v>
      </c>
      <c r="F8" s="49">
        <v>721560</v>
      </c>
      <c r="G8" s="52">
        <v>308446</v>
      </c>
    </row>
    <row r="9" spans="1:7" x14ac:dyDescent="0.2">
      <c r="A9" s="50">
        <v>6812</v>
      </c>
      <c r="B9" s="51">
        <v>17</v>
      </c>
      <c r="C9" s="55" t="s">
        <v>2919</v>
      </c>
      <c r="D9" s="51">
        <v>93983</v>
      </c>
      <c r="E9" s="51">
        <v>104041</v>
      </c>
      <c r="F9" s="51">
        <v>198024</v>
      </c>
      <c r="G9" s="53">
        <v>82690</v>
      </c>
    </row>
    <row r="10" spans="1:7" x14ac:dyDescent="0.2">
      <c r="A10" s="48">
        <v>6812</v>
      </c>
      <c r="B10" s="49">
        <v>18</v>
      </c>
      <c r="C10" s="56" t="s">
        <v>2920</v>
      </c>
      <c r="D10" s="49">
        <v>149462</v>
      </c>
      <c r="E10" s="49">
        <v>162212</v>
      </c>
      <c r="F10" s="49">
        <v>311674</v>
      </c>
      <c r="G10" s="52">
        <v>134321</v>
      </c>
    </row>
    <row r="11" spans="1:7" x14ac:dyDescent="0.2">
      <c r="A11" s="50">
        <v>6812</v>
      </c>
      <c r="B11" s="51">
        <v>19</v>
      </c>
      <c r="C11" s="55" t="s">
        <v>2921</v>
      </c>
      <c r="D11" s="51">
        <v>312863</v>
      </c>
      <c r="E11" s="51">
        <v>325614</v>
      </c>
      <c r="F11" s="51">
        <v>638477</v>
      </c>
      <c r="G11" s="53">
        <v>310146</v>
      </c>
    </row>
    <row r="12" spans="1:7" x14ac:dyDescent="0.2">
      <c r="A12" s="48">
        <v>6812</v>
      </c>
      <c r="B12" s="49">
        <v>20</v>
      </c>
      <c r="C12" s="56" t="s">
        <v>2922</v>
      </c>
      <c r="D12" s="49">
        <v>798596</v>
      </c>
      <c r="E12" s="49">
        <v>847389</v>
      </c>
      <c r="F12" s="49">
        <v>1645985</v>
      </c>
      <c r="G12" s="52">
        <v>1194372</v>
      </c>
    </row>
    <row r="13" spans="1:7" x14ac:dyDescent="0.2">
      <c r="A13" s="50">
        <v>6812</v>
      </c>
      <c r="B13" s="51">
        <v>21</v>
      </c>
      <c r="C13" s="55" t="s">
        <v>2923</v>
      </c>
      <c r="D13" s="51">
        <v>386293</v>
      </c>
      <c r="E13" s="51">
        <v>403437</v>
      </c>
      <c r="F13" s="51">
        <v>789730</v>
      </c>
      <c r="G13" s="53">
        <v>594435</v>
      </c>
    </row>
    <row r="14" spans="1:7" x14ac:dyDescent="0.2">
      <c r="A14" s="48">
        <v>6812</v>
      </c>
      <c r="B14" s="49">
        <v>22</v>
      </c>
      <c r="C14" s="56" t="s">
        <v>2924</v>
      </c>
      <c r="D14" s="49">
        <v>261002</v>
      </c>
      <c r="E14" s="49">
        <v>274561</v>
      </c>
      <c r="F14" s="49">
        <v>535563</v>
      </c>
      <c r="G14" s="52">
        <v>265747</v>
      </c>
    </row>
    <row r="15" spans="1:7" x14ac:dyDescent="0.2">
      <c r="A15" s="50">
        <v>6812</v>
      </c>
      <c r="B15" s="51">
        <v>23</v>
      </c>
      <c r="C15" s="55" t="s">
        <v>2925</v>
      </c>
      <c r="D15" s="51">
        <v>111274</v>
      </c>
      <c r="E15" s="51">
        <v>114317</v>
      </c>
      <c r="F15" s="51">
        <v>225591</v>
      </c>
      <c r="G15" s="53">
        <v>115767</v>
      </c>
    </row>
    <row r="16" spans="1:7" x14ac:dyDescent="0.2">
      <c r="A16" s="48">
        <v>6812</v>
      </c>
      <c r="B16" s="49">
        <v>24</v>
      </c>
      <c r="C16" s="56" t="s">
        <v>2926</v>
      </c>
      <c r="D16" s="49">
        <v>358444</v>
      </c>
      <c r="E16" s="49">
        <v>374956</v>
      </c>
      <c r="F16" s="49">
        <v>733400</v>
      </c>
      <c r="G16" s="52">
        <v>351277</v>
      </c>
    </row>
    <row r="17" spans="1:7" x14ac:dyDescent="0.2">
      <c r="A17" s="50">
        <v>6812</v>
      </c>
      <c r="B17" s="51">
        <v>25</v>
      </c>
      <c r="C17" s="55" t="s">
        <v>2927</v>
      </c>
      <c r="D17" s="51">
        <v>247521</v>
      </c>
      <c r="E17" s="51">
        <v>254433</v>
      </c>
      <c r="F17" s="51">
        <v>501954</v>
      </c>
      <c r="G17" s="53">
        <v>246663</v>
      </c>
    </row>
    <row r="18" spans="1:7" x14ac:dyDescent="0.2">
      <c r="A18" s="48">
        <v>6812</v>
      </c>
      <c r="B18" s="49">
        <v>26</v>
      </c>
      <c r="C18" s="56" t="s">
        <v>2928</v>
      </c>
      <c r="D18" s="49">
        <v>128262</v>
      </c>
      <c r="E18" s="49">
        <v>131421</v>
      </c>
      <c r="F18" s="49">
        <v>259683</v>
      </c>
      <c r="G18" s="52">
        <v>113187</v>
      </c>
    </row>
    <row r="19" spans="1:7" x14ac:dyDescent="0.2">
      <c r="A19" s="50">
        <v>6812</v>
      </c>
      <c r="B19" s="51">
        <v>27</v>
      </c>
      <c r="C19" s="55" t="s">
        <v>2929</v>
      </c>
      <c r="D19" s="51">
        <v>279611</v>
      </c>
      <c r="E19" s="51">
        <v>281236</v>
      </c>
      <c r="F19" s="51">
        <v>560847</v>
      </c>
      <c r="G19" s="53">
        <v>237085</v>
      </c>
    </row>
    <row r="20" spans="1:7" x14ac:dyDescent="0.2">
      <c r="A20" s="48">
        <v>6812</v>
      </c>
      <c r="B20" s="49">
        <v>30</v>
      </c>
      <c r="C20" s="56" t="s">
        <v>2930</v>
      </c>
      <c r="D20" s="49">
        <v>1278348</v>
      </c>
      <c r="E20" s="49">
        <v>1335084</v>
      </c>
      <c r="F20" s="49">
        <v>2613432</v>
      </c>
      <c r="G20" s="52">
        <v>1094756</v>
      </c>
    </row>
    <row r="21" spans="1:7" x14ac:dyDescent="0.2">
      <c r="A21" s="50">
        <v>6812</v>
      </c>
      <c r="B21" s="51">
        <v>31</v>
      </c>
      <c r="C21" s="55" t="s">
        <v>2931</v>
      </c>
      <c r="D21" s="51">
        <v>771659</v>
      </c>
      <c r="E21" s="51">
        <v>788620</v>
      </c>
      <c r="F21" s="51">
        <v>1560279</v>
      </c>
      <c r="G21" s="53">
        <v>510228</v>
      </c>
    </row>
    <row r="22" spans="1:7" x14ac:dyDescent="0.2">
      <c r="A22" s="48">
        <v>6812</v>
      </c>
      <c r="B22" s="49">
        <v>32</v>
      </c>
      <c r="C22" s="56" t="s">
        <v>2932</v>
      </c>
      <c r="D22" s="49">
        <v>671798</v>
      </c>
      <c r="E22" s="49">
        <v>682679</v>
      </c>
      <c r="F22" s="49">
        <v>1354477</v>
      </c>
      <c r="G22" s="52">
        <v>430692</v>
      </c>
    </row>
    <row r="23" spans="1:7" x14ac:dyDescent="0.2">
      <c r="A23" s="50">
        <v>6812</v>
      </c>
      <c r="B23" s="51">
        <v>33</v>
      </c>
      <c r="C23" s="55" t="s">
        <v>2933</v>
      </c>
      <c r="D23" s="51">
        <v>714181</v>
      </c>
      <c r="E23" s="51">
        <v>722560</v>
      </c>
      <c r="F23" s="51">
        <v>1436741</v>
      </c>
      <c r="G23" s="53">
        <v>425296</v>
      </c>
    </row>
    <row r="24" spans="1:7" x14ac:dyDescent="0.2">
      <c r="A24" s="48">
        <v>6812</v>
      </c>
      <c r="B24" s="49">
        <v>34</v>
      </c>
      <c r="C24" s="56" t="s">
        <v>2934</v>
      </c>
      <c r="D24" s="49">
        <v>927678</v>
      </c>
      <c r="E24" s="49">
        <v>937823</v>
      </c>
      <c r="F24" s="49">
        <v>1865501</v>
      </c>
      <c r="G24" s="52">
        <v>668687</v>
      </c>
    </row>
    <row r="25" spans="1:7" x14ac:dyDescent="0.2">
      <c r="A25" s="50">
        <v>6812</v>
      </c>
      <c r="B25" s="51">
        <v>35</v>
      </c>
      <c r="C25" s="55" t="s">
        <v>2935</v>
      </c>
      <c r="D25" s="51">
        <v>259694</v>
      </c>
      <c r="E25" s="51">
        <v>263125</v>
      </c>
      <c r="F25" s="51">
        <v>522819</v>
      </c>
      <c r="G25" s="53">
        <v>191679</v>
      </c>
    </row>
    <row r="26" spans="1:7" x14ac:dyDescent="0.2">
      <c r="A26" s="48">
        <v>6812</v>
      </c>
      <c r="B26" s="49">
        <v>36</v>
      </c>
      <c r="C26" s="56" t="s">
        <v>2936</v>
      </c>
      <c r="D26" s="49">
        <v>541513</v>
      </c>
      <c r="E26" s="49">
        <v>559134</v>
      </c>
      <c r="F26" s="49">
        <v>1100647</v>
      </c>
      <c r="G26" s="52">
        <v>428916</v>
      </c>
    </row>
    <row r="27" spans="1:7" x14ac:dyDescent="0.2">
      <c r="A27" s="50">
        <v>6812</v>
      </c>
      <c r="B27" s="51">
        <v>37</v>
      </c>
      <c r="C27" s="55" t="s">
        <v>2937</v>
      </c>
      <c r="D27" s="51">
        <v>183905</v>
      </c>
      <c r="E27" s="51">
        <v>186772</v>
      </c>
      <c r="F27" s="51">
        <v>370677</v>
      </c>
      <c r="G27" s="53">
        <v>129998</v>
      </c>
    </row>
    <row r="28" spans="1:7" x14ac:dyDescent="0.2">
      <c r="A28" s="48">
        <v>6812</v>
      </c>
      <c r="B28" s="49">
        <v>38</v>
      </c>
      <c r="C28" s="56" t="s">
        <v>2938</v>
      </c>
      <c r="D28" s="49">
        <v>208991</v>
      </c>
      <c r="E28" s="49">
        <v>208916</v>
      </c>
      <c r="F28" s="49">
        <v>417907</v>
      </c>
      <c r="G28" s="52">
        <v>149134</v>
      </c>
    </row>
    <row r="29" spans="1:7" x14ac:dyDescent="0.2">
      <c r="A29" s="50">
        <v>6812</v>
      </c>
      <c r="B29" s="51">
        <v>39</v>
      </c>
      <c r="C29" s="55" t="s">
        <v>2939</v>
      </c>
      <c r="D29" s="51">
        <v>249382</v>
      </c>
      <c r="E29" s="51">
        <v>252706</v>
      </c>
      <c r="F29" s="51">
        <v>502088</v>
      </c>
      <c r="G29" s="53">
        <v>163997</v>
      </c>
    </row>
    <row r="30" spans="1:7" x14ac:dyDescent="0.2">
      <c r="A30" s="48">
        <v>6812</v>
      </c>
      <c r="B30" s="49">
        <v>40</v>
      </c>
      <c r="C30" s="56" t="s">
        <v>2940</v>
      </c>
      <c r="D30" s="49">
        <v>863862</v>
      </c>
      <c r="E30" s="49">
        <v>902105</v>
      </c>
      <c r="F30" s="49">
        <v>1765967</v>
      </c>
      <c r="G30" s="52">
        <v>703153</v>
      </c>
    </row>
    <row r="31" spans="1:7" x14ac:dyDescent="0.2">
      <c r="A31" s="50">
        <v>6812</v>
      </c>
      <c r="B31" s="51">
        <v>41</v>
      </c>
      <c r="C31" s="55" t="s">
        <v>2941</v>
      </c>
      <c r="D31" s="51">
        <v>762067</v>
      </c>
      <c r="E31" s="51">
        <v>784670</v>
      </c>
      <c r="F31" s="51">
        <v>1546737</v>
      </c>
      <c r="G31" s="53">
        <v>573112</v>
      </c>
    </row>
    <row r="32" spans="1:7" x14ac:dyDescent="0.2">
      <c r="A32" s="48">
        <v>6812</v>
      </c>
      <c r="B32" s="49">
        <v>42</v>
      </c>
      <c r="C32" s="56" t="s">
        <v>2942</v>
      </c>
      <c r="D32" s="49">
        <v>314066</v>
      </c>
      <c r="E32" s="49">
        <v>315311</v>
      </c>
      <c r="F32" s="49">
        <v>629377</v>
      </c>
      <c r="G32" s="52">
        <v>243020</v>
      </c>
    </row>
    <row r="33" spans="1:7" x14ac:dyDescent="0.2">
      <c r="A33" s="50">
        <v>6812</v>
      </c>
      <c r="B33" s="51">
        <v>43</v>
      </c>
      <c r="C33" s="55" t="s">
        <v>2943</v>
      </c>
      <c r="D33" s="51">
        <v>252051</v>
      </c>
      <c r="E33" s="51">
        <v>258138</v>
      </c>
      <c r="F33" s="51">
        <v>510189</v>
      </c>
      <c r="G33" s="53">
        <v>192378</v>
      </c>
    </row>
    <row r="34" spans="1:7" x14ac:dyDescent="0.2">
      <c r="A34" s="48">
        <v>6812</v>
      </c>
      <c r="B34" s="49">
        <v>44</v>
      </c>
      <c r="C34" s="56" t="s">
        <v>2944</v>
      </c>
      <c r="D34" s="49">
        <v>453093</v>
      </c>
      <c r="E34" s="49">
        <v>471031</v>
      </c>
      <c r="F34" s="49">
        <v>924124</v>
      </c>
      <c r="G34" s="52">
        <v>324703</v>
      </c>
    </row>
    <row r="35" spans="1:7" x14ac:dyDescent="0.2">
      <c r="A35" s="50">
        <v>6812</v>
      </c>
      <c r="B35" s="51">
        <v>45</v>
      </c>
      <c r="C35" s="55" t="s">
        <v>2945</v>
      </c>
      <c r="D35" s="51">
        <v>625987</v>
      </c>
      <c r="E35" s="51">
        <v>643461</v>
      </c>
      <c r="F35" s="51">
        <v>1269448</v>
      </c>
      <c r="G35" s="53">
        <v>422603</v>
      </c>
    </row>
    <row r="36" spans="1:7" x14ac:dyDescent="0.2">
      <c r="A36" s="48">
        <v>6812</v>
      </c>
      <c r="B36" s="49">
        <v>46</v>
      </c>
      <c r="C36" s="56" t="s">
        <v>2946</v>
      </c>
      <c r="D36" s="49">
        <v>471528</v>
      </c>
      <c r="E36" s="49">
        <v>485893</v>
      </c>
      <c r="F36" s="49">
        <v>957421</v>
      </c>
      <c r="G36" s="52">
        <v>335591</v>
      </c>
    </row>
    <row r="37" spans="1:7" x14ac:dyDescent="0.2">
      <c r="A37" s="50">
        <v>6812</v>
      </c>
      <c r="B37" s="51">
        <v>47</v>
      </c>
      <c r="C37" s="55" t="s">
        <v>2947</v>
      </c>
      <c r="D37" s="51">
        <v>561786</v>
      </c>
      <c r="E37" s="51">
        <v>572305</v>
      </c>
      <c r="F37" s="51">
        <v>1134091</v>
      </c>
      <c r="G37" s="53">
        <v>415928</v>
      </c>
    </row>
    <row r="38" spans="1:7" x14ac:dyDescent="0.2">
      <c r="A38" s="48">
        <v>6812</v>
      </c>
      <c r="B38" s="49">
        <v>48</v>
      </c>
      <c r="C38" s="56" t="s">
        <v>2948</v>
      </c>
      <c r="D38" s="49">
        <v>352126</v>
      </c>
      <c r="E38" s="49">
        <v>356139</v>
      </c>
      <c r="F38" s="49">
        <v>708265</v>
      </c>
      <c r="G38" s="52">
        <v>249246</v>
      </c>
    </row>
    <row r="39" spans="1:7" x14ac:dyDescent="0.2">
      <c r="A39" s="50">
        <v>6812</v>
      </c>
      <c r="B39" s="51">
        <v>49</v>
      </c>
      <c r="C39" s="55" t="s">
        <v>2949</v>
      </c>
      <c r="D39" s="51">
        <v>174321</v>
      </c>
      <c r="E39" s="51">
        <v>175297</v>
      </c>
      <c r="F39" s="51">
        <v>349618</v>
      </c>
      <c r="G39" s="53">
        <v>127885</v>
      </c>
    </row>
    <row r="40" spans="1:7" x14ac:dyDescent="0.2">
      <c r="A40" s="48">
        <v>6812</v>
      </c>
      <c r="B40" s="49">
        <v>50</v>
      </c>
      <c r="C40" s="56" t="s">
        <v>2950</v>
      </c>
      <c r="D40" s="49">
        <v>863853</v>
      </c>
      <c r="E40" s="49">
        <v>934735</v>
      </c>
      <c r="F40" s="49">
        <v>1798588</v>
      </c>
      <c r="G40" s="52">
        <v>916688</v>
      </c>
    </row>
    <row r="41" spans="1:7" x14ac:dyDescent="0.2">
      <c r="A41" s="50">
        <v>6812</v>
      </c>
      <c r="B41" s="51">
        <v>51</v>
      </c>
      <c r="C41" s="55" t="s">
        <v>2951</v>
      </c>
      <c r="D41" s="51">
        <v>188407</v>
      </c>
      <c r="E41" s="51">
        <v>206537</v>
      </c>
      <c r="F41" s="51">
        <v>394944</v>
      </c>
      <c r="G41" s="53">
        <v>195859</v>
      </c>
    </row>
    <row r="42" spans="1:7" x14ac:dyDescent="0.2">
      <c r="A42" s="48">
        <v>6812</v>
      </c>
      <c r="B42" s="49">
        <v>52</v>
      </c>
      <c r="C42" s="56" t="s">
        <v>2952</v>
      </c>
      <c r="D42" s="49">
        <v>337970</v>
      </c>
      <c r="E42" s="49">
        <v>359709</v>
      </c>
      <c r="F42" s="49">
        <v>697679</v>
      </c>
      <c r="G42" s="52">
        <v>310381</v>
      </c>
    </row>
    <row r="43" spans="1:7" x14ac:dyDescent="0.2">
      <c r="A43" s="50">
        <v>6812</v>
      </c>
      <c r="B43" s="51">
        <v>53</v>
      </c>
      <c r="C43" s="55" t="s">
        <v>2953</v>
      </c>
      <c r="D43" s="51">
        <v>210378</v>
      </c>
      <c r="E43" s="51">
        <v>222897</v>
      </c>
      <c r="F43" s="51">
        <v>433275</v>
      </c>
      <c r="G43" s="53">
        <v>180771</v>
      </c>
    </row>
    <row r="44" spans="1:7" x14ac:dyDescent="0.2">
      <c r="A44" s="48">
        <v>6812</v>
      </c>
      <c r="B44" s="49">
        <v>54</v>
      </c>
      <c r="C44" s="56" t="s">
        <v>2954</v>
      </c>
      <c r="D44" s="49">
        <v>200080</v>
      </c>
      <c r="E44" s="49">
        <v>217400</v>
      </c>
      <c r="F44" s="49">
        <v>417480</v>
      </c>
      <c r="G44" s="52">
        <v>187264</v>
      </c>
    </row>
    <row r="45" spans="1:7" x14ac:dyDescent="0.2">
      <c r="A45" s="50">
        <v>6812</v>
      </c>
      <c r="B45" s="51">
        <v>55</v>
      </c>
      <c r="C45" s="55" t="s">
        <v>2955</v>
      </c>
      <c r="D45" s="51">
        <v>233287</v>
      </c>
      <c r="E45" s="51">
        <v>235081</v>
      </c>
      <c r="F45" s="51">
        <v>468368</v>
      </c>
      <c r="G45" s="53">
        <v>182521</v>
      </c>
    </row>
    <row r="46" spans="1:7" x14ac:dyDescent="0.2">
      <c r="A46" s="48">
        <v>6812</v>
      </c>
      <c r="B46" s="49">
        <v>56</v>
      </c>
      <c r="C46" s="56" t="s">
        <v>2956</v>
      </c>
      <c r="D46" s="49">
        <v>218714</v>
      </c>
      <c r="E46" s="49">
        <v>233250</v>
      </c>
      <c r="F46" s="49">
        <v>451964</v>
      </c>
      <c r="G46" s="52">
        <v>207675</v>
      </c>
    </row>
    <row r="47" spans="1:7" x14ac:dyDescent="0.2">
      <c r="A47" s="50">
        <v>6812</v>
      </c>
      <c r="B47" s="51">
        <v>57</v>
      </c>
      <c r="C47" s="55" t="s">
        <v>2957</v>
      </c>
      <c r="D47" s="51">
        <v>627342</v>
      </c>
      <c r="E47" s="51">
        <v>668580</v>
      </c>
      <c r="F47" s="51">
        <v>1295922</v>
      </c>
      <c r="G47" s="53">
        <v>603627</v>
      </c>
    </row>
    <row r="48" spans="1:7" x14ac:dyDescent="0.2">
      <c r="A48" s="48">
        <v>6812</v>
      </c>
      <c r="B48" s="49">
        <v>58</v>
      </c>
      <c r="C48" s="56" t="s">
        <v>2958</v>
      </c>
      <c r="D48" s="49">
        <v>145888</v>
      </c>
      <c r="E48" s="49">
        <v>142869</v>
      </c>
      <c r="F48" s="49">
        <v>288757</v>
      </c>
      <c r="G48" s="52">
        <v>125752</v>
      </c>
    </row>
    <row r="49" spans="1:7" x14ac:dyDescent="0.2">
      <c r="A49" s="50">
        <v>6812</v>
      </c>
      <c r="B49" s="51">
        <v>60</v>
      </c>
      <c r="C49" s="55" t="s">
        <v>2959</v>
      </c>
      <c r="D49" s="51">
        <v>489891</v>
      </c>
      <c r="E49" s="51">
        <v>518471</v>
      </c>
      <c r="F49" s="51">
        <v>1008362</v>
      </c>
      <c r="G49" s="53">
        <v>442181</v>
      </c>
    </row>
    <row r="50" spans="1:7" x14ac:dyDescent="0.2">
      <c r="A50" s="48">
        <v>6812</v>
      </c>
      <c r="B50" s="49">
        <v>61</v>
      </c>
      <c r="C50" s="56" t="s">
        <v>2960</v>
      </c>
      <c r="D50" s="49">
        <v>155460</v>
      </c>
      <c r="E50" s="49">
        <v>163508</v>
      </c>
      <c r="F50" s="49">
        <v>318968</v>
      </c>
      <c r="G50" s="52">
        <v>133605</v>
      </c>
    </row>
    <row r="51" spans="1:7" x14ac:dyDescent="0.2">
      <c r="A51" s="50">
        <v>6812</v>
      </c>
      <c r="B51" s="51">
        <v>62</v>
      </c>
      <c r="C51" s="55" t="s">
        <v>2961</v>
      </c>
      <c r="D51" s="51">
        <v>342943</v>
      </c>
      <c r="E51" s="51">
        <v>354029</v>
      </c>
      <c r="F51" s="51">
        <v>696972</v>
      </c>
      <c r="G51" s="53">
        <v>294361</v>
      </c>
    </row>
    <row r="52" spans="1:7" x14ac:dyDescent="0.2">
      <c r="A52" s="48">
        <v>6812</v>
      </c>
      <c r="B52" s="49">
        <v>63</v>
      </c>
      <c r="C52" s="56" t="s">
        <v>2962</v>
      </c>
      <c r="D52" s="49">
        <v>355835</v>
      </c>
      <c r="E52" s="49">
        <v>348659</v>
      </c>
      <c r="F52" s="49">
        <v>704494</v>
      </c>
      <c r="G52" s="52">
        <v>246226</v>
      </c>
    </row>
    <row r="53" spans="1:7" x14ac:dyDescent="0.2">
      <c r="A53" s="50">
        <v>6812</v>
      </c>
      <c r="B53" s="51">
        <v>64</v>
      </c>
      <c r="C53" s="55" t="s">
        <v>2963</v>
      </c>
      <c r="D53" s="51">
        <v>274878</v>
      </c>
      <c r="E53" s="51">
        <v>294384</v>
      </c>
      <c r="F53" s="51">
        <v>569262</v>
      </c>
      <c r="G53" s="53">
        <v>231232</v>
      </c>
    </row>
    <row r="54" spans="1:7" x14ac:dyDescent="0.2">
      <c r="A54" s="48">
        <v>6812</v>
      </c>
      <c r="B54" s="49">
        <v>65</v>
      </c>
      <c r="C54" s="56" t="s">
        <v>2964</v>
      </c>
      <c r="D54" s="49">
        <v>407212</v>
      </c>
      <c r="E54" s="49">
        <v>428268</v>
      </c>
      <c r="F54" s="49">
        <v>835480</v>
      </c>
      <c r="G54" s="52">
        <v>377281</v>
      </c>
    </row>
    <row r="55" spans="1:7" x14ac:dyDescent="0.2">
      <c r="A55" s="50">
        <v>6812</v>
      </c>
      <c r="B55" s="51">
        <v>66</v>
      </c>
      <c r="C55" s="55" t="s">
        <v>2965</v>
      </c>
      <c r="D55" s="51">
        <v>249551</v>
      </c>
      <c r="E55" s="51">
        <v>263599</v>
      </c>
      <c r="F55" s="51">
        <v>513150</v>
      </c>
      <c r="G55" s="53">
        <v>209014</v>
      </c>
    </row>
    <row r="56" spans="1:7" x14ac:dyDescent="0.2">
      <c r="A56" s="48">
        <v>6812</v>
      </c>
      <c r="B56" s="49">
        <v>67</v>
      </c>
      <c r="C56" s="56" t="s">
        <v>2966</v>
      </c>
      <c r="D56" s="49">
        <v>468503</v>
      </c>
      <c r="E56" s="49">
        <v>485914</v>
      </c>
      <c r="F56" s="49">
        <v>954417</v>
      </c>
      <c r="G56" s="52">
        <v>385840</v>
      </c>
    </row>
    <row r="57" spans="1:7" x14ac:dyDescent="0.2">
      <c r="A57" s="50">
        <v>6812</v>
      </c>
      <c r="B57" s="51">
        <v>70</v>
      </c>
      <c r="C57" s="55" t="s">
        <v>2967</v>
      </c>
      <c r="D57" s="51">
        <v>417614</v>
      </c>
      <c r="E57" s="51">
        <v>444265</v>
      </c>
      <c r="F57" s="51">
        <v>861879</v>
      </c>
      <c r="G57" s="53">
        <v>355963</v>
      </c>
    </row>
    <row r="58" spans="1:7" x14ac:dyDescent="0.2">
      <c r="A58" s="48">
        <v>6812</v>
      </c>
      <c r="B58" s="49">
        <v>71</v>
      </c>
      <c r="C58" s="56" t="s">
        <v>2968</v>
      </c>
      <c r="D58" s="49">
        <v>447296</v>
      </c>
      <c r="E58" s="49">
        <v>449377</v>
      </c>
      <c r="F58" s="49">
        <v>896673</v>
      </c>
      <c r="G58" s="52">
        <v>375254</v>
      </c>
    </row>
    <row r="59" spans="1:7" x14ac:dyDescent="0.2">
      <c r="A59" s="50">
        <v>6812</v>
      </c>
      <c r="B59" s="51">
        <v>72</v>
      </c>
      <c r="C59" s="55" t="s">
        <v>2969</v>
      </c>
      <c r="D59" s="51">
        <v>393212</v>
      </c>
      <c r="E59" s="51">
        <v>424637</v>
      </c>
      <c r="F59" s="51">
        <v>817849</v>
      </c>
      <c r="G59" s="53">
        <v>327755</v>
      </c>
    </row>
    <row r="60" spans="1:7" x14ac:dyDescent="0.2">
      <c r="A60" s="48">
        <v>6812</v>
      </c>
      <c r="B60" s="49">
        <v>73</v>
      </c>
      <c r="C60" s="56" t="s">
        <v>2970</v>
      </c>
      <c r="D60" s="49">
        <v>443582</v>
      </c>
      <c r="E60" s="49">
        <v>482736</v>
      </c>
      <c r="F60" s="49">
        <v>926318</v>
      </c>
      <c r="G60" s="52">
        <v>449769</v>
      </c>
    </row>
    <row r="61" spans="1:7" x14ac:dyDescent="0.2">
      <c r="A61" s="50">
        <v>6812</v>
      </c>
      <c r="B61" s="51">
        <v>74</v>
      </c>
      <c r="C61" s="55" t="s">
        <v>2971</v>
      </c>
      <c r="D61" s="51">
        <v>281271</v>
      </c>
      <c r="E61" s="51">
        <v>306096</v>
      </c>
      <c r="F61" s="51">
        <v>587367</v>
      </c>
      <c r="G61" s="53">
        <v>327860</v>
      </c>
    </row>
    <row r="62" spans="1:7" x14ac:dyDescent="0.2">
      <c r="A62" s="48">
        <v>6812</v>
      </c>
      <c r="B62" s="49">
        <v>75</v>
      </c>
      <c r="C62" s="56" t="s">
        <v>2972</v>
      </c>
      <c r="D62" s="49">
        <v>88237</v>
      </c>
      <c r="E62" s="49">
        <v>97044</v>
      </c>
      <c r="F62" s="49">
        <v>185281</v>
      </c>
      <c r="G62" s="52">
        <v>78449</v>
      </c>
    </row>
    <row r="63" spans="1:7" x14ac:dyDescent="0.2">
      <c r="A63" s="50">
        <v>6812</v>
      </c>
      <c r="B63" s="51">
        <v>76</v>
      </c>
      <c r="C63" s="55" t="s">
        <v>2973</v>
      </c>
      <c r="D63" s="51">
        <v>232868</v>
      </c>
      <c r="E63" s="51">
        <v>251259</v>
      </c>
      <c r="F63" s="51">
        <v>484127</v>
      </c>
      <c r="G63" s="53">
        <v>241198</v>
      </c>
    </row>
    <row r="64" spans="1:7" x14ac:dyDescent="0.2">
      <c r="A64" s="48">
        <v>6812</v>
      </c>
      <c r="B64" s="49">
        <v>77</v>
      </c>
      <c r="C64" s="56" t="s">
        <v>2974</v>
      </c>
      <c r="D64" s="49">
        <v>269387</v>
      </c>
      <c r="E64" s="49">
        <v>282056</v>
      </c>
      <c r="F64" s="49">
        <v>551443</v>
      </c>
      <c r="G64" s="52">
        <v>299161</v>
      </c>
    </row>
    <row r="65" spans="1:7" x14ac:dyDescent="0.2">
      <c r="A65" s="50">
        <v>6812</v>
      </c>
      <c r="B65" s="51">
        <v>80</v>
      </c>
      <c r="C65" s="55" t="s">
        <v>2975</v>
      </c>
      <c r="D65" s="51">
        <v>754930</v>
      </c>
      <c r="E65" s="51">
        <v>775505</v>
      </c>
      <c r="F65" s="51">
        <v>1530435</v>
      </c>
      <c r="G65" s="53">
        <v>624899</v>
      </c>
    </row>
    <row r="66" spans="1:7" x14ac:dyDescent="0.2">
      <c r="A66" s="48">
        <v>6812</v>
      </c>
      <c r="B66" s="49">
        <v>81</v>
      </c>
      <c r="C66" s="56" t="s">
        <v>2976</v>
      </c>
      <c r="D66" s="49">
        <v>240718</v>
      </c>
      <c r="E66" s="49">
        <v>244078</v>
      </c>
      <c r="F66" s="49">
        <v>484796</v>
      </c>
      <c r="G66" s="52">
        <v>212135</v>
      </c>
    </row>
    <row r="67" spans="1:7" x14ac:dyDescent="0.2">
      <c r="A67" s="50">
        <v>6812</v>
      </c>
      <c r="B67" s="51">
        <v>82</v>
      </c>
      <c r="C67" s="55" t="s">
        <v>2977</v>
      </c>
      <c r="D67" s="51">
        <v>132518</v>
      </c>
      <c r="E67" s="51">
        <v>133135</v>
      </c>
      <c r="F67" s="51">
        <v>265653</v>
      </c>
      <c r="G67" s="53">
        <v>127398</v>
      </c>
    </row>
    <row r="68" spans="1:7" x14ac:dyDescent="0.2">
      <c r="A68" s="48">
        <v>6812</v>
      </c>
      <c r="B68" s="49">
        <v>83</v>
      </c>
      <c r="C68" s="56" t="s">
        <v>2978</v>
      </c>
      <c r="D68" s="49">
        <v>203101</v>
      </c>
      <c r="E68" s="49">
        <v>229363</v>
      </c>
      <c r="F68" s="49">
        <v>432464</v>
      </c>
      <c r="G68" s="52">
        <v>303160</v>
      </c>
    </row>
    <row r="69" spans="1:7" x14ac:dyDescent="0.2">
      <c r="A69" s="50">
        <v>6812</v>
      </c>
      <c r="B69" s="51">
        <v>84</v>
      </c>
      <c r="C69" s="55" t="s">
        <v>2979</v>
      </c>
      <c r="D69" s="51">
        <v>528853</v>
      </c>
      <c r="E69" s="51">
        <v>547124</v>
      </c>
      <c r="F69" s="51">
        <v>1075977</v>
      </c>
      <c r="G69" s="53">
        <v>559761</v>
      </c>
    </row>
    <row r="70" spans="1:7" x14ac:dyDescent="0.2">
      <c r="A70" s="48">
        <v>6812</v>
      </c>
      <c r="B70" s="49">
        <v>85</v>
      </c>
      <c r="C70" s="56" t="s">
        <v>2980</v>
      </c>
      <c r="D70" s="49">
        <v>96644</v>
      </c>
      <c r="E70" s="49">
        <v>95843</v>
      </c>
      <c r="F70" s="49">
        <v>192487</v>
      </c>
      <c r="G70" s="52">
        <v>99564</v>
      </c>
    </row>
    <row r="71" spans="1:7" x14ac:dyDescent="0.2">
      <c r="A71" s="50">
        <v>6812</v>
      </c>
      <c r="B71" s="51">
        <v>86</v>
      </c>
      <c r="C71" s="55" t="s">
        <v>2981</v>
      </c>
      <c r="D71" s="51">
        <v>249489</v>
      </c>
      <c r="E71" s="51">
        <v>257367</v>
      </c>
      <c r="F71" s="51">
        <v>506856</v>
      </c>
      <c r="G71" s="53">
        <v>259113</v>
      </c>
    </row>
    <row r="72" spans="1:7" x14ac:dyDescent="0.2">
      <c r="A72" s="48">
        <v>6812</v>
      </c>
      <c r="B72" s="49">
        <v>90</v>
      </c>
      <c r="C72" s="56" t="s">
        <v>2982</v>
      </c>
      <c r="D72" s="49">
        <v>693970</v>
      </c>
      <c r="E72" s="49">
        <v>735155</v>
      </c>
      <c r="F72" s="49">
        <v>1429125</v>
      </c>
      <c r="G72" s="52">
        <v>602196</v>
      </c>
    </row>
    <row r="73" spans="1:7" x14ac:dyDescent="0.2">
      <c r="A73" s="50">
        <v>6812</v>
      </c>
      <c r="B73" s="51">
        <v>91</v>
      </c>
      <c r="C73" s="55" t="s">
        <v>2983</v>
      </c>
      <c r="D73" s="51">
        <v>161425</v>
      </c>
      <c r="E73" s="51">
        <v>163135</v>
      </c>
      <c r="F73" s="51">
        <v>324560</v>
      </c>
      <c r="G73" s="53">
        <v>113018</v>
      </c>
    </row>
    <row r="74" spans="1:7" x14ac:dyDescent="0.2">
      <c r="A74" s="48">
        <v>6812</v>
      </c>
      <c r="B74" s="49">
        <v>92</v>
      </c>
      <c r="C74" s="56" t="s">
        <v>2984</v>
      </c>
      <c r="D74" s="49">
        <v>309150</v>
      </c>
      <c r="E74" s="49">
        <v>324266</v>
      </c>
      <c r="F74" s="49">
        <v>633416</v>
      </c>
      <c r="G74" s="52">
        <v>249101</v>
      </c>
    </row>
    <row r="75" spans="1:7" x14ac:dyDescent="0.2">
      <c r="A75" s="50">
        <v>6812</v>
      </c>
      <c r="B75" s="51">
        <v>93</v>
      </c>
      <c r="C75" s="55" t="s">
        <v>2985</v>
      </c>
      <c r="D75" s="51">
        <v>251652</v>
      </c>
      <c r="E75" s="51">
        <v>266414</v>
      </c>
      <c r="F75" s="51">
        <v>518066</v>
      </c>
      <c r="G75" s="53">
        <v>211206</v>
      </c>
    </row>
    <row r="76" spans="1:7" x14ac:dyDescent="0.2">
      <c r="A76" s="48">
        <v>6812</v>
      </c>
      <c r="B76" s="49">
        <v>94</v>
      </c>
      <c r="C76" s="56" t="s">
        <v>2986</v>
      </c>
      <c r="D76" s="49">
        <v>368511</v>
      </c>
      <c r="E76" s="49">
        <v>376460</v>
      </c>
      <c r="F76" s="49">
        <v>744971</v>
      </c>
      <c r="G76" s="52">
        <v>212220</v>
      </c>
    </row>
    <row r="77" spans="1:7" x14ac:dyDescent="0.2">
      <c r="A77" s="50">
        <v>6812</v>
      </c>
      <c r="B77" s="51">
        <v>95</v>
      </c>
      <c r="C77" s="55" t="s">
        <v>2987</v>
      </c>
      <c r="D77" s="51">
        <v>276503</v>
      </c>
      <c r="E77" s="51">
        <v>279584</v>
      </c>
      <c r="F77" s="51">
        <v>556087</v>
      </c>
      <c r="G77" s="53">
        <v>183827</v>
      </c>
    </row>
    <row r="78" spans="1:7" x14ac:dyDescent="0.2">
      <c r="A78" s="48">
        <v>6812</v>
      </c>
      <c r="B78" s="49">
        <v>96</v>
      </c>
      <c r="C78" s="56" t="s">
        <v>2988</v>
      </c>
      <c r="D78" s="49">
        <v>409752</v>
      </c>
      <c r="E78" s="49">
        <v>418594</v>
      </c>
      <c r="F78" s="49">
        <v>828346</v>
      </c>
      <c r="G78" s="52">
        <v>235934</v>
      </c>
    </row>
  </sheetData>
  <autoFilter ref="C1:C78" xr:uid="{39D4986F-5965-45A8-966F-B7416F13163C}"/>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419C-71E3-4A3A-BFCE-A435A1BD656A}">
  <dimension ref="A1:G80"/>
  <sheetViews>
    <sheetView topLeftCell="A47" workbookViewId="0">
      <selection activeCell="A2" sqref="A2:G80"/>
    </sheetView>
  </sheetViews>
  <sheetFormatPr defaultRowHeight="14.25" x14ac:dyDescent="0.2"/>
  <cols>
    <col min="1" max="2" width="11.25" bestFit="1" customWidth="1"/>
    <col min="3" max="3" width="20" bestFit="1" customWidth="1"/>
    <col min="4" max="7" width="12.5" bestFit="1" customWidth="1"/>
  </cols>
  <sheetData>
    <row r="1" spans="1:7" ht="15" thickBot="1" x14ac:dyDescent="0.25">
      <c r="A1" t="s">
        <v>2906</v>
      </c>
      <c r="B1" t="s">
        <v>2907</v>
      </c>
      <c r="C1" t="s">
        <v>2908</v>
      </c>
      <c r="D1" t="s">
        <v>2909</v>
      </c>
      <c r="E1" t="s">
        <v>2910</v>
      </c>
      <c r="F1" t="s">
        <v>2911</v>
      </c>
      <c r="G1" t="s">
        <v>2912</v>
      </c>
    </row>
    <row r="2" spans="1:7" ht="24" x14ac:dyDescent="0.2">
      <c r="A2" s="54" t="s">
        <v>330</v>
      </c>
      <c r="B2" s="54" t="s">
        <v>331</v>
      </c>
      <c r="C2" s="54" t="s">
        <v>332</v>
      </c>
      <c r="D2" s="54" t="s">
        <v>333</v>
      </c>
      <c r="E2" s="54" t="s">
        <v>334</v>
      </c>
      <c r="F2" s="54" t="s">
        <v>335</v>
      </c>
      <c r="G2" s="54" t="s">
        <v>336</v>
      </c>
    </row>
    <row r="3" spans="1:7" x14ac:dyDescent="0.2">
      <c r="A3">
        <v>6812</v>
      </c>
      <c r="B3">
        <v>0</v>
      </c>
      <c r="C3" s="47" t="s">
        <v>337</v>
      </c>
      <c r="D3">
        <v>32045088</v>
      </c>
      <c r="E3">
        <v>33763923</v>
      </c>
      <c r="F3">
        <v>65809011</v>
      </c>
      <c r="G3">
        <v>29540110</v>
      </c>
    </row>
    <row r="4" spans="1:7" x14ac:dyDescent="0.2">
      <c r="A4">
        <v>6812</v>
      </c>
      <c r="B4">
        <v>10</v>
      </c>
      <c r="C4" s="47" t="s">
        <v>338</v>
      </c>
      <c r="D4">
        <v>2526272</v>
      </c>
      <c r="E4">
        <v>2896296</v>
      </c>
      <c r="F4">
        <v>5422568</v>
      </c>
      <c r="G4">
        <v>3356358</v>
      </c>
    </row>
    <row r="5" spans="1:7" x14ac:dyDescent="0.2">
      <c r="A5">
        <v>6812</v>
      </c>
      <c r="B5">
        <v>11</v>
      </c>
      <c r="C5" s="47" t="s">
        <v>2913</v>
      </c>
      <c r="D5">
        <v>654644</v>
      </c>
      <c r="E5">
        <v>729280</v>
      </c>
      <c r="F5">
        <v>1383924</v>
      </c>
      <c r="G5">
        <v>792409</v>
      </c>
    </row>
    <row r="6" spans="1:7" x14ac:dyDescent="0.2">
      <c r="A6">
        <v>6812</v>
      </c>
      <c r="B6">
        <v>12</v>
      </c>
      <c r="C6" s="47" t="s">
        <v>2914</v>
      </c>
      <c r="D6">
        <v>610989</v>
      </c>
      <c r="E6">
        <v>711291</v>
      </c>
      <c r="F6">
        <v>1322280</v>
      </c>
      <c r="G6">
        <v>775919</v>
      </c>
    </row>
    <row r="7" spans="1:7" x14ac:dyDescent="0.2">
      <c r="A7">
        <v>6812</v>
      </c>
      <c r="B7">
        <v>13</v>
      </c>
      <c r="C7" s="47" t="s">
        <v>2915</v>
      </c>
      <c r="D7">
        <v>587603</v>
      </c>
      <c r="E7">
        <v>658459</v>
      </c>
      <c r="F7">
        <v>1246062</v>
      </c>
      <c r="G7">
        <v>728164</v>
      </c>
    </row>
    <row r="8" spans="1:7" x14ac:dyDescent="0.2">
      <c r="A8">
        <v>6812</v>
      </c>
      <c r="B8">
        <v>14</v>
      </c>
      <c r="C8" s="47" t="s">
        <v>2916</v>
      </c>
      <c r="D8">
        <v>393983</v>
      </c>
      <c r="E8">
        <v>428720</v>
      </c>
      <c r="F8">
        <v>822703</v>
      </c>
      <c r="G8">
        <v>366492</v>
      </c>
    </row>
    <row r="9" spans="1:7" x14ac:dyDescent="0.2">
      <c r="A9">
        <v>6812</v>
      </c>
      <c r="B9">
        <v>15</v>
      </c>
      <c r="C9" s="47" t="s">
        <v>2917</v>
      </c>
      <c r="D9">
        <v>127448</v>
      </c>
      <c r="E9">
        <v>139475</v>
      </c>
      <c r="F9">
        <v>266923</v>
      </c>
      <c r="G9">
        <v>106411</v>
      </c>
    </row>
    <row r="10" spans="1:7" x14ac:dyDescent="0.2">
      <c r="A10">
        <v>6812</v>
      </c>
      <c r="B10">
        <v>16</v>
      </c>
      <c r="C10" s="47" t="s">
        <v>2918</v>
      </c>
      <c r="D10">
        <v>357927</v>
      </c>
      <c r="E10">
        <v>363633</v>
      </c>
      <c r="F10">
        <v>721560</v>
      </c>
      <c r="G10">
        <v>308446</v>
      </c>
    </row>
    <row r="11" spans="1:7" x14ac:dyDescent="0.2">
      <c r="A11">
        <v>6812</v>
      </c>
      <c r="B11">
        <v>17</v>
      </c>
      <c r="C11" s="47" t="s">
        <v>2919</v>
      </c>
      <c r="D11">
        <v>93983</v>
      </c>
      <c r="E11">
        <v>104041</v>
      </c>
      <c r="F11">
        <v>198024</v>
      </c>
      <c r="G11">
        <v>82690</v>
      </c>
    </row>
    <row r="12" spans="1:7" x14ac:dyDescent="0.2">
      <c r="A12">
        <v>6812</v>
      </c>
      <c r="B12">
        <v>18</v>
      </c>
      <c r="C12" s="47" t="s">
        <v>2920</v>
      </c>
      <c r="D12">
        <v>149462</v>
      </c>
      <c r="E12">
        <v>162212</v>
      </c>
      <c r="F12">
        <v>311674</v>
      </c>
      <c r="G12">
        <v>134321</v>
      </c>
    </row>
    <row r="13" spans="1:7" x14ac:dyDescent="0.2">
      <c r="A13">
        <v>6812</v>
      </c>
      <c r="B13">
        <v>19</v>
      </c>
      <c r="C13" s="47" t="s">
        <v>2921</v>
      </c>
      <c r="D13">
        <v>312863</v>
      </c>
      <c r="E13">
        <v>325614</v>
      </c>
      <c r="F13">
        <v>638477</v>
      </c>
      <c r="G13">
        <v>310146</v>
      </c>
    </row>
    <row r="14" spans="1:7" x14ac:dyDescent="0.2">
      <c r="A14">
        <v>6812</v>
      </c>
      <c r="B14">
        <v>20</v>
      </c>
      <c r="C14" s="47" t="s">
        <v>2922</v>
      </c>
      <c r="D14">
        <v>798596</v>
      </c>
      <c r="E14">
        <v>847389</v>
      </c>
      <c r="F14">
        <v>1645985</v>
      </c>
      <c r="G14">
        <v>1194372</v>
      </c>
    </row>
    <row r="15" spans="1:7" x14ac:dyDescent="0.2">
      <c r="A15">
        <v>6812</v>
      </c>
      <c r="B15">
        <v>21</v>
      </c>
      <c r="C15" s="47" t="s">
        <v>2923</v>
      </c>
      <c r="D15">
        <v>386293</v>
      </c>
      <c r="E15">
        <v>403437</v>
      </c>
      <c r="F15">
        <v>789730</v>
      </c>
      <c r="G15">
        <v>594435</v>
      </c>
    </row>
    <row r="16" spans="1:7" x14ac:dyDescent="0.2">
      <c r="A16">
        <v>6812</v>
      </c>
      <c r="B16">
        <v>22</v>
      </c>
      <c r="C16" s="47" t="s">
        <v>2924</v>
      </c>
      <c r="D16">
        <v>261002</v>
      </c>
      <c r="E16">
        <v>274561</v>
      </c>
      <c r="F16">
        <v>535563</v>
      </c>
      <c r="G16">
        <v>265747</v>
      </c>
    </row>
    <row r="17" spans="1:7" x14ac:dyDescent="0.2">
      <c r="A17">
        <v>6812</v>
      </c>
      <c r="B17">
        <v>23</v>
      </c>
      <c r="C17" s="47" t="s">
        <v>2925</v>
      </c>
      <c r="D17">
        <v>111274</v>
      </c>
      <c r="E17">
        <v>114317</v>
      </c>
      <c r="F17">
        <v>225591</v>
      </c>
      <c r="G17">
        <v>115767</v>
      </c>
    </row>
    <row r="18" spans="1:7" x14ac:dyDescent="0.2">
      <c r="A18">
        <v>6812</v>
      </c>
      <c r="B18">
        <v>24</v>
      </c>
      <c r="C18" s="47" t="s">
        <v>2926</v>
      </c>
      <c r="D18">
        <v>358444</v>
      </c>
      <c r="E18">
        <v>374956</v>
      </c>
      <c r="F18">
        <v>733400</v>
      </c>
      <c r="G18">
        <v>351277</v>
      </c>
    </row>
    <row r="19" spans="1:7" x14ac:dyDescent="0.2">
      <c r="A19">
        <v>6812</v>
      </c>
      <c r="B19">
        <v>25</v>
      </c>
      <c r="C19" s="47" t="s">
        <v>2927</v>
      </c>
      <c r="D19">
        <v>247521</v>
      </c>
      <c r="E19">
        <v>254433</v>
      </c>
      <c r="F19">
        <v>501954</v>
      </c>
      <c r="G19">
        <v>246663</v>
      </c>
    </row>
    <row r="20" spans="1:7" x14ac:dyDescent="0.2">
      <c r="A20">
        <v>6812</v>
      </c>
      <c r="B20">
        <v>26</v>
      </c>
      <c r="C20" s="47" t="s">
        <v>2928</v>
      </c>
      <c r="D20">
        <v>128262</v>
      </c>
      <c r="E20">
        <v>131421</v>
      </c>
      <c r="F20">
        <v>259683</v>
      </c>
      <c r="G20">
        <v>113187</v>
      </c>
    </row>
    <row r="21" spans="1:7" x14ac:dyDescent="0.2">
      <c r="A21">
        <v>6812</v>
      </c>
      <c r="B21">
        <v>27</v>
      </c>
      <c r="C21" s="47" t="s">
        <v>2929</v>
      </c>
      <c r="D21">
        <v>279611</v>
      </c>
      <c r="E21">
        <v>281236</v>
      </c>
      <c r="F21">
        <v>560847</v>
      </c>
      <c r="G21">
        <v>237085</v>
      </c>
    </row>
    <row r="22" spans="1:7" x14ac:dyDescent="0.2">
      <c r="A22">
        <v>6812</v>
      </c>
      <c r="B22">
        <v>30</v>
      </c>
      <c r="C22" s="47" t="s">
        <v>2930</v>
      </c>
      <c r="D22">
        <v>1278348</v>
      </c>
      <c r="E22">
        <v>1335084</v>
      </c>
      <c r="F22">
        <v>2613432</v>
      </c>
      <c r="G22">
        <v>1094756</v>
      </c>
    </row>
    <row r="23" spans="1:7" x14ac:dyDescent="0.2">
      <c r="A23">
        <v>6812</v>
      </c>
      <c r="B23">
        <v>31</v>
      </c>
      <c r="C23" s="47" t="s">
        <v>2931</v>
      </c>
      <c r="D23">
        <v>771659</v>
      </c>
      <c r="E23">
        <v>788620</v>
      </c>
      <c r="F23">
        <v>1560279</v>
      </c>
      <c r="G23">
        <v>510228</v>
      </c>
    </row>
    <row r="24" spans="1:7" x14ac:dyDescent="0.2">
      <c r="A24">
        <v>6812</v>
      </c>
      <c r="B24">
        <v>32</v>
      </c>
      <c r="C24" s="47" t="s">
        <v>2932</v>
      </c>
      <c r="D24">
        <v>671798</v>
      </c>
      <c r="E24">
        <v>682679</v>
      </c>
      <c r="F24">
        <v>1354477</v>
      </c>
      <c r="G24">
        <v>430692</v>
      </c>
    </row>
    <row r="25" spans="1:7" x14ac:dyDescent="0.2">
      <c r="A25">
        <v>6812</v>
      </c>
      <c r="B25">
        <v>33</v>
      </c>
      <c r="C25" s="47" t="s">
        <v>2933</v>
      </c>
      <c r="D25">
        <v>714181</v>
      </c>
      <c r="E25">
        <v>722560</v>
      </c>
      <c r="F25">
        <v>1436741</v>
      </c>
      <c r="G25">
        <v>425296</v>
      </c>
    </row>
    <row r="26" spans="1:7" x14ac:dyDescent="0.2">
      <c r="A26">
        <v>6812</v>
      </c>
      <c r="B26">
        <v>34</v>
      </c>
      <c r="C26" s="47" t="s">
        <v>2934</v>
      </c>
      <c r="D26">
        <v>927678</v>
      </c>
      <c r="E26">
        <v>937823</v>
      </c>
      <c r="F26">
        <v>1865501</v>
      </c>
      <c r="G26">
        <v>668687</v>
      </c>
    </row>
    <row r="27" spans="1:7" x14ac:dyDescent="0.2">
      <c r="A27">
        <v>6812</v>
      </c>
      <c r="B27">
        <v>35</v>
      </c>
      <c r="C27" s="47" t="s">
        <v>2935</v>
      </c>
      <c r="D27">
        <v>259694</v>
      </c>
      <c r="E27">
        <v>263125</v>
      </c>
      <c r="F27">
        <v>522819</v>
      </c>
      <c r="G27">
        <v>191679</v>
      </c>
    </row>
    <row r="28" spans="1:7" x14ac:dyDescent="0.2">
      <c r="A28">
        <v>6812</v>
      </c>
      <c r="B28">
        <v>36</v>
      </c>
      <c r="C28" s="47" t="s">
        <v>2936</v>
      </c>
      <c r="D28">
        <v>541513</v>
      </c>
      <c r="E28">
        <v>559134</v>
      </c>
      <c r="F28">
        <v>1100647</v>
      </c>
      <c r="G28">
        <v>428916</v>
      </c>
    </row>
    <row r="29" spans="1:7" x14ac:dyDescent="0.2">
      <c r="A29">
        <v>6812</v>
      </c>
      <c r="B29">
        <v>37</v>
      </c>
      <c r="C29" s="47" t="s">
        <v>2937</v>
      </c>
      <c r="D29">
        <v>183905</v>
      </c>
      <c r="E29">
        <v>186772</v>
      </c>
      <c r="F29">
        <v>370677</v>
      </c>
      <c r="G29">
        <v>129998</v>
      </c>
    </row>
    <row r="30" spans="1:7" x14ac:dyDescent="0.2">
      <c r="A30">
        <v>6812</v>
      </c>
      <c r="B30">
        <v>38</v>
      </c>
      <c r="C30" s="47" t="s">
        <v>2938</v>
      </c>
      <c r="D30">
        <v>208991</v>
      </c>
      <c r="E30">
        <v>208916</v>
      </c>
      <c r="F30">
        <v>417907</v>
      </c>
      <c r="G30">
        <v>149134</v>
      </c>
    </row>
    <row r="31" spans="1:7" x14ac:dyDescent="0.2">
      <c r="A31">
        <v>6812</v>
      </c>
      <c r="B31">
        <v>39</v>
      </c>
      <c r="C31" s="47" t="s">
        <v>2939</v>
      </c>
      <c r="D31">
        <v>249382</v>
      </c>
      <c r="E31">
        <v>252706</v>
      </c>
      <c r="F31">
        <v>502088</v>
      </c>
      <c r="G31">
        <v>163997</v>
      </c>
    </row>
    <row r="32" spans="1:7" x14ac:dyDescent="0.2">
      <c r="A32">
        <v>6812</v>
      </c>
      <c r="B32">
        <v>40</v>
      </c>
      <c r="C32" s="47" t="s">
        <v>2940</v>
      </c>
      <c r="D32">
        <v>863862</v>
      </c>
      <c r="E32">
        <v>902105</v>
      </c>
      <c r="F32">
        <v>1765967</v>
      </c>
      <c r="G32">
        <v>703153</v>
      </c>
    </row>
    <row r="33" spans="1:7" x14ac:dyDescent="0.2">
      <c r="A33">
        <v>6812</v>
      </c>
      <c r="B33">
        <v>41</v>
      </c>
      <c r="C33" s="47" t="s">
        <v>2941</v>
      </c>
      <c r="D33">
        <v>762067</v>
      </c>
      <c r="E33">
        <v>784670</v>
      </c>
      <c r="F33">
        <v>1546737</v>
      </c>
      <c r="G33">
        <v>573112</v>
      </c>
    </row>
    <row r="34" spans="1:7" x14ac:dyDescent="0.2">
      <c r="A34">
        <v>6812</v>
      </c>
      <c r="B34">
        <v>42</v>
      </c>
      <c r="C34" s="47" t="s">
        <v>2942</v>
      </c>
      <c r="D34">
        <v>314066</v>
      </c>
      <c r="E34">
        <v>315311</v>
      </c>
      <c r="F34">
        <v>629377</v>
      </c>
      <c r="G34">
        <v>243020</v>
      </c>
    </row>
    <row r="35" spans="1:7" x14ac:dyDescent="0.2">
      <c r="A35">
        <v>6812</v>
      </c>
      <c r="B35">
        <v>43</v>
      </c>
      <c r="C35" s="47" t="s">
        <v>2943</v>
      </c>
      <c r="D35">
        <v>252051</v>
      </c>
      <c r="E35">
        <v>258138</v>
      </c>
      <c r="F35">
        <v>510189</v>
      </c>
      <c r="G35">
        <v>192378</v>
      </c>
    </row>
    <row r="36" spans="1:7" x14ac:dyDescent="0.2">
      <c r="A36">
        <v>6812</v>
      </c>
      <c r="B36">
        <v>44</v>
      </c>
      <c r="C36" s="47" t="s">
        <v>2944</v>
      </c>
      <c r="D36">
        <v>453093</v>
      </c>
      <c r="E36">
        <v>471031</v>
      </c>
      <c r="F36">
        <v>924124</v>
      </c>
      <c r="G36">
        <v>324703</v>
      </c>
    </row>
    <row r="37" spans="1:7" x14ac:dyDescent="0.2">
      <c r="A37">
        <v>6812</v>
      </c>
      <c r="B37">
        <v>45</v>
      </c>
      <c r="C37" s="47" t="s">
        <v>2945</v>
      </c>
      <c r="D37">
        <v>625987</v>
      </c>
      <c r="E37">
        <v>643461</v>
      </c>
      <c r="F37">
        <v>1269448</v>
      </c>
      <c r="G37">
        <v>422603</v>
      </c>
    </row>
    <row r="38" spans="1:7" x14ac:dyDescent="0.2">
      <c r="A38">
        <v>6812</v>
      </c>
      <c r="B38">
        <v>46</v>
      </c>
      <c r="C38" s="47" t="s">
        <v>2946</v>
      </c>
      <c r="D38">
        <v>471528</v>
      </c>
      <c r="E38">
        <v>485893</v>
      </c>
      <c r="F38">
        <v>957421</v>
      </c>
      <c r="G38">
        <v>335591</v>
      </c>
    </row>
    <row r="39" spans="1:7" x14ac:dyDescent="0.2">
      <c r="A39">
        <v>6812</v>
      </c>
      <c r="B39">
        <v>47</v>
      </c>
      <c r="C39" s="47" t="s">
        <v>2947</v>
      </c>
      <c r="D39">
        <v>561786</v>
      </c>
      <c r="E39">
        <v>572305</v>
      </c>
      <c r="F39">
        <v>1134091</v>
      </c>
      <c r="G39">
        <v>415928</v>
      </c>
    </row>
    <row r="40" spans="1:7" x14ac:dyDescent="0.2">
      <c r="A40">
        <v>6812</v>
      </c>
      <c r="B40">
        <v>48</v>
      </c>
      <c r="C40" s="47" t="s">
        <v>2948</v>
      </c>
      <c r="D40">
        <v>352126</v>
      </c>
      <c r="E40">
        <v>356139</v>
      </c>
      <c r="F40">
        <v>708265</v>
      </c>
      <c r="G40">
        <v>249246</v>
      </c>
    </row>
    <row r="41" spans="1:7" x14ac:dyDescent="0.2">
      <c r="A41">
        <v>6812</v>
      </c>
      <c r="B41">
        <v>49</v>
      </c>
      <c r="C41" s="47" t="s">
        <v>2949</v>
      </c>
      <c r="D41">
        <v>174321</v>
      </c>
      <c r="E41">
        <v>175297</v>
      </c>
      <c r="F41">
        <v>349618</v>
      </c>
      <c r="G41">
        <v>127885</v>
      </c>
    </row>
    <row r="42" spans="1:7" x14ac:dyDescent="0.2">
      <c r="A42">
        <v>6812</v>
      </c>
      <c r="B42">
        <v>50</v>
      </c>
      <c r="C42" s="47" t="s">
        <v>2950</v>
      </c>
      <c r="D42">
        <v>863853</v>
      </c>
      <c r="E42">
        <v>934735</v>
      </c>
      <c r="F42">
        <v>1798588</v>
      </c>
      <c r="G42">
        <v>916688</v>
      </c>
    </row>
    <row r="43" spans="1:7" x14ac:dyDescent="0.2">
      <c r="A43">
        <v>6812</v>
      </c>
      <c r="B43">
        <v>51</v>
      </c>
      <c r="C43" s="47" t="s">
        <v>2951</v>
      </c>
      <c r="D43">
        <v>188407</v>
      </c>
      <c r="E43">
        <v>206537</v>
      </c>
      <c r="F43">
        <v>394944</v>
      </c>
      <c r="G43">
        <v>195859</v>
      </c>
    </row>
    <row r="44" spans="1:7" x14ac:dyDescent="0.2">
      <c r="A44">
        <v>6812</v>
      </c>
      <c r="B44">
        <v>52</v>
      </c>
      <c r="C44" s="47" t="s">
        <v>2952</v>
      </c>
      <c r="D44">
        <v>337970</v>
      </c>
      <c r="E44">
        <v>359709</v>
      </c>
      <c r="F44">
        <v>697679</v>
      </c>
      <c r="G44">
        <v>310381</v>
      </c>
    </row>
    <row r="45" spans="1:7" x14ac:dyDescent="0.2">
      <c r="A45">
        <v>6812</v>
      </c>
      <c r="B45">
        <v>53</v>
      </c>
      <c r="C45" s="47" t="s">
        <v>2953</v>
      </c>
      <c r="D45">
        <v>210378</v>
      </c>
      <c r="E45">
        <v>222897</v>
      </c>
      <c r="F45">
        <v>433275</v>
      </c>
      <c r="G45">
        <v>180771</v>
      </c>
    </row>
    <row r="46" spans="1:7" x14ac:dyDescent="0.2">
      <c r="A46">
        <v>6812</v>
      </c>
      <c r="B46">
        <v>54</v>
      </c>
      <c r="C46" s="47" t="s">
        <v>2954</v>
      </c>
      <c r="D46">
        <v>200080</v>
      </c>
      <c r="E46">
        <v>217400</v>
      </c>
      <c r="F46">
        <v>417480</v>
      </c>
      <c r="G46">
        <v>187264</v>
      </c>
    </row>
    <row r="47" spans="1:7" x14ac:dyDescent="0.2">
      <c r="A47">
        <v>6812</v>
      </c>
      <c r="B47">
        <v>55</v>
      </c>
      <c r="C47" s="47" t="s">
        <v>2955</v>
      </c>
      <c r="D47">
        <v>233287</v>
      </c>
      <c r="E47">
        <v>235081</v>
      </c>
      <c r="F47">
        <v>468368</v>
      </c>
      <c r="G47">
        <v>182521</v>
      </c>
    </row>
    <row r="48" spans="1:7" x14ac:dyDescent="0.2">
      <c r="A48">
        <v>6812</v>
      </c>
      <c r="B48">
        <v>56</v>
      </c>
      <c r="C48" s="47" t="s">
        <v>2956</v>
      </c>
      <c r="D48">
        <v>218714</v>
      </c>
      <c r="E48">
        <v>233250</v>
      </c>
      <c r="F48">
        <v>451964</v>
      </c>
      <c r="G48">
        <v>207675</v>
      </c>
    </row>
    <row r="49" spans="1:7" x14ac:dyDescent="0.2">
      <c r="A49">
        <v>6812</v>
      </c>
      <c r="B49">
        <v>57</v>
      </c>
      <c r="C49" s="47" t="s">
        <v>2957</v>
      </c>
      <c r="D49">
        <v>627342</v>
      </c>
      <c r="E49">
        <v>668580</v>
      </c>
      <c r="F49">
        <v>1295922</v>
      </c>
      <c r="G49">
        <v>603627</v>
      </c>
    </row>
    <row r="50" spans="1:7" x14ac:dyDescent="0.2">
      <c r="A50">
        <v>6812</v>
      </c>
      <c r="B50">
        <v>58</v>
      </c>
      <c r="C50" s="47" t="s">
        <v>2958</v>
      </c>
      <c r="D50">
        <v>145888</v>
      </c>
      <c r="E50">
        <v>142869</v>
      </c>
      <c r="F50">
        <v>288757</v>
      </c>
      <c r="G50">
        <v>125752</v>
      </c>
    </row>
    <row r="51" spans="1:7" x14ac:dyDescent="0.2">
      <c r="A51">
        <v>6812</v>
      </c>
      <c r="B51">
        <v>60</v>
      </c>
      <c r="C51" s="47" t="s">
        <v>2959</v>
      </c>
      <c r="D51">
        <v>489891</v>
      </c>
      <c r="E51">
        <v>518471</v>
      </c>
      <c r="F51">
        <v>1008362</v>
      </c>
      <c r="G51">
        <v>442181</v>
      </c>
    </row>
    <row r="52" spans="1:7" x14ac:dyDescent="0.2">
      <c r="A52">
        <v>6812</v>
      </c>
      <c r="B52">
        <v>61</v>
      </c>
      <c r="C52" s="47" t="s">
        <v>2960</v>
      </c>
      <c r="D52">
        <v>155460</v>
      </c>
      <c r="E52">
        <v>163508</v>
      </c>
      <c r="F52">
        <v>318968</v>
      </c>
      <c r="G52">
        <v>133605</v>
      </c>
    </row>
    <row r="53" spans="1:7" x14ac:dyDescent="0.2">
      <c r="A53">
        <v>6812</v>
      </c>
      <c r="B53">
        <v>62</v>
      </c>
      <c r="C53" s="47" t="s">
        <v>2961</v>
      </c>
      <c r="D53">
        <v>342943</v>
      </c>
      <c r="E53">
        <v>354029</v>
      </c>
      <c r="F53">
        <v>696972</v>
      </c>
      <c r="G53">
        <v>294361</v>
      </c>
    </row>
    <row r="54" spans="1:7" x14ac:dyDescent="0.2">
      <c r="A54">
        <v>6812</v>
      </c>
      <c r="B54">
        <v>63</v>
      </c>
      <c r="C54" s="47" t="s">
        <v>2962</v>
      </c>
      <c r="D54">
        <v>355835</v>
      </c>
      <c r="E54">
        <v>348659</v>
      </c>
      <c r="F54">
        <v>704494</v>
      </c>
      <c r="G54">
        <v>246226</v>
      </c>
    </row>
    <row r="55" spans="1:7" x14ac:dyDescent="0.2">
      <c r="A55">
        <v>6812</v>
      </c>
      <c r="B55">
        <v>64</v>
      </c>
      <c r="C55" s="47" t="s">
        <v>2963</v>
      </c>
      <c r="D55">
        <v>274878</v>
      </c>
      <c r="E55">
        <v>294384</v>
      </c>
      <c r="F55">
        <v>569262</v>
      </c>
      <c r="G55">
        <v>231232</v>
      </c>
    </row>
    <row r="56" spans="1:7" x14ac:dyDescent="0.2">
      <c r="A56">
        <v>6812</v>
      </c>
      <c r="B56">
        <v>65</v>
      </c>
      <c r="C56" s="47" t="s">
        <v>2964</v>
      </c>
      <c r="D56">
        <v>407212</v>
      </c>
      <c r="E56">
        <v>428268</v>
      </c>
      <c r="F56">
        <v>835480</v>
      </c>
      <c r="G56">
        <v>377281</v>
      </c>
    </row>
    <row r="57" spans="1:7" x14ac:dyDescent="0.2">
      <c r="A57">
        <v>6812</v>
      </c>
      <c r="B57">
        <v>66</v>
      </c>
      <c r="C57" s="47" t="s">
        <v>2965</v>
      </c>
      <c r="D57">
        <v>249551</v>
      </c>
      <c r="E57">
        <v>263599</v>
      </c>
      <c r="F57">
        <v>513150</v>
      </c>
      <c r="G57">
        <v>209014</v>
      </c>
    </row>
    <row r="58" spans="1:7" x14ac:dyDescent="0.2">
      <c r="A58">
        <v>6812</v>
      </c>
      <c r="B58">
        <v>67</v>
      </c>
      <c r="C58" s="47" t="s">
        <v>2966</v>
      </c>
      <c r="D58">
        <v>468503</v>
      </c>
      <c r="E58">
        <v>485914</v>
      </c>
      <c r="F58">
        <v>954417</v>
      </c>
      <c r="G58">
        <v>385840</v>
      </c>
    </row>
    <row r="59" spans="1:7" x14ac:dyDescent="0.2">
      <c r="A59">
        <v>6812</v>
      </c>
      <c r="B59">
        <v>70</v>
      </c>
      <c r="C59" s="47" t="s">
        <v>2967</v>
      </c>
      <c r="D59">
        <v>417614</v>
      </c>
      <c r="E59">
        <v>444265</v>
      </c>
      <c r="F59">
        <v>861879</v>
      </c>
      <c r="G59">
        <v>355963</v>
      </c>
    </row>
    <row r="60" spans="1:7" x14ac:dyDescent="0.2">
      <c r="A60">
        <v>6812</v>
      </c>
      <c r="B60">
        <v>71</v>
      </c>
      <c r="C60" s="47" t="s">
        <v>2968</v>
      </c>
      <c r="D60">
        <v>447296</v>
      </c>
      <c r="E60">
        <v>449377</v>
      </c>
      <c r="F60">
        <v>896673</v>
      </c>
      <c r="G60">
        <v>375254</v>
      </c>
    </row>
    <row r="61" spans="1:7" x14ac:dyDescent="0.2">
      <c r="A61">
        <v>6812</v>
      </c>
      <c r="B61">
        <v>72</v>
      </c>
      <c r="C61" s="47" t="s">
        <v>2969</v>
      </c>
      <c r="D61">
        <v>393212</v>
      </c>
      <c r="E61">
        <v>424637</v>
      </c>
      <c r="F61">
        <v>817849</v>
      </c>
      <c r="G61">
        <v>327755</v>
      </c>
    </row>
    <row r="62" spans="1:7" x14ac:dyDescent="0.2">
      <c r="A62">
        <v>6812</v>
      </c>
      <c r="B62">
        <v>73</v>
      </c>
      <c r="C62" s="47" t="s">
        <v>2970</v>
      </c>
      <c r="D62">
        <v>443582</v>
      </c>
      <c r="E62">
        <v>482736</v>
      </c>
      <c r="F62">
        <v>926318</v>
      </c>
      <c r="G62">
        <v>449769</v>
      </c>
    </row>
    <row r="63" spans="1:7" x14ac:dyDescent="0.2">
      <c r="A63">
        <v>6812</v>
      </c>
      <c r="B63">
        <v>74</v>
      </c>
      <c r="C63" s="47" t="s">
        <v>2971</v>
      </c>
      <c r="D63">
        <v>281271</v>
      </c>
      <c r="E63">
        <v>306096</v>
      </c>
      <c r="F63">
        <v>587367</v>
      </c>
      <c r="G63">
        <v>327860</v>
      </c>
    </row>
    <row r="64" spans="1:7" x14ac:dyDescent="0.2">
      <c r="A64">
        <v>6812</v>
      </c>
      <c r="B64">
        <v>75</v>
      </c>
      <c r="C64" s="47" t="s">
        <v>2972</v>
      </c>
      <c r="D64">
        <v>88237</v>
      </c>
      <c r="E64">
        <v>97044</v>
      </c>
      <c r="F64">
        <v>185281</v>
      </c>
      <c r="G64">
        <v>78449</v>
      </c>
    </row>
    <row r="65" spans="1:7" x14ac:dyDescent="0.2">
      <c r="A65">
        <v>6812</v>
      </c>
      <c r="B65">
        <v>76</v>
      </c>
      <c r="C65" s="47" t="s">
        <v>2973</v>
      </c>
      <c r="D65">
        <v>232868</v>
      </c>
      <c r="E65">
        <v>251259</v>
      </c>
      <c r="F65">
        <v>484127</v>
      </c>
      <c r="G65">
        <v>241198</v>
      </c>
    </row>
    <row r="66" spans="1:7" x14ac:dyDescent="0.2">
      <c r="A66">
        <v>6812</v>
      </c>
      <c r="B66">
        <v>77</v>
      </c>
      <c r="C66" s="47" t="s">
        <v>2974</v>
      </c>
      <c r="D66">
        <v>269387</v>
      </c>
      <c r="E66">
        <v>282056</v>
      </c>
      <c r="F66">
        <v>551443</v>
      </c>
      <c r="G66">
        <v>299161</v>
      </c>
    </row>
    <row r="67" spans="1:7" x14ac:dyDescent="0.2">
      <c r="A67">
        <v>6812</v>
      </c>
      <c r="B67">
        <v>80</v>
      </c>
      <c r="C67" s="47" t="s">
        <v>2975</v>
      </c>
      <c r="D67">
        <v>754930</v>
      </c>
      <c r="E67">
        <v>775505</v>
      </c>
      <c r="F67">
        <v>1530435</v>
      </c>
      <c r="G67">
        <v>624899</v>
      </c>
    </row>
    <row r="68" spans="1:7" x14ac:dyDescent="0.2">
      <c r="A68">
        <v>6812</v>
      </c>
      <c r="B68">
        <v>81</v>
      </c>
      <c r="C68" s="47" t="s">
        <v>2976</v>
      </c>
      <c r="D68">
        <v>240718</v>
      </c>
      <c r="E68">
        <v>244078</v>
      </c>
      <c r="F68">
        <v>484796</v>
      </c>
      <c r="G68">
        <v>212135</v>
      </c>
    </row>
    <row r="69" spans="1:7" x14ac:dyDescent="0.2">
      <c r="A69">
        <v>6812</v>
      </c>
      <c r="B69">
        <v>82</v>
      </c>
      <c r="C69" s="47" t="s">
        <v>2977</v>
      </c>
      <c r="D69">
        <v>132518</v>
      </c>
      <c r="E69">
        <v>133135</v>
      </c>
      <c r="F69">
        <v>265653</v>
      </c>
      <c r="G69">
        <v>127398</v>
      </c>
    </row>
    <row r="70" spans="1:7" x14ac:dyDescent="0.2">
      <c r="A70">
        <v>6812</v>
      </c>
      <c r="B70">
        <v>83</v>
      </c>
      <c r="C70" s="47" t="s">
        <v>2978</v>
      </c>
      <c r="D70">
        <v>203101</v>
      </c>
      <c r="E70">
        <v>229363</v>
      </c>
      <c r="F70">
        <v>432464</v>
      </c>
      <c r="G70">
        <v>303160</v>
      </c>
    </row>
    <row r="71" spans="1:7" x14ac:dyDescent="0.2">
      <c r="A71">
        <v>6812</v>
      </c>
      <c r="B71">
        <v>84</v>
      </c>
      <c r="C71" s="47" t="s">
        <v>2979</v>
      </c>
      <c r="D71">
        <v>528853</v>
      </c>
      <c r="E71">
        <v>547124</v>
      </c>
      <c r="F71">
        <v>1075977</v>
      </c>
      <c r="G71">
        <v>559761</v>
      </c>
    </row>
    <row r="72" spans="1:7" x14ac:dyDescent="0.2">
      <c r="A72">
        <v>6812</v>
      </c>
      <c r="B72">
        <v>85</v>
      </c>
      <c r="C72" s="47" t="s">
        <v>2980</v>
      </c>
      <c r="D72">
        <v>96644</v>
      </c>
      <c r="E72">
        <v>95843</v>
      </c>
      <c r="F72">
        <v>192487</v>
      </c>
      <c r="G72">
        <v>99564</v>
      </c>
    </row>
    <row r="73" spans="1:7" x14ac:dyDescent="0.2">
      <c r="A73">
        <v>6812</v>
      </c>
      <c r="B73">
        <v>86</v>
      </c>
      <c r="C73" s="47" t="s">
        <v>2981</v>
      </c>
      <c r="D73">
        <v>249489</v>
      </c>
      <c r="E73">
        <v>257367</v>
      </c>
      <c r="F73">
        <v>506856</v>
      </c>
      <c r="G73">
        <v>259113</v>
      </c>
    </row>
    <row r="74" spans="1:7" x14ac:dyDescent="0.2">
      <c r="A74">
        <v>6812</v>
      </c>
      <c r="B74">
        <v>90</v>
      </c>
      <c r="C74" s="47" t="s">
        <v>2982</v>
      </c>
      <c r="D74">
        <v>693970</v>
      </c>
      <c r="E74">
        <v>735155</v>
      </c>
      <c r="F74">
        <v>1429125</v>
      </c>
      <c r="G74">
        <v>602196</v>
      </c>
    </row>
    <row r="75" spans="1:7" x14ac:dyDescent="0.2">
      <c r="A75">
        <v>6812</v>
      </c>
      <c r="B75">
        <v>91</v>
      </c>
      <c r="C75" s="47" t="s">
        <v>2983</v>
      </c>
      <c r="D75">
        <v>161425</v>
      </c>
      <c r="E75">
        <v>163135</v>
      </c>
      <c r="F75">
        <v>324560</v>
      </c>
      <c r="G75">
        <v>113018</v>
      </c>
    </row>
    <row r="76" spans="1:7" x14ac:dyDescent="0.2">
      <c r="A76">
        <v>6812</v>
      </c>
      <c r="B76">
        <v>92</v>
      </c>
      <c r="C76" s="47" t="s">
        <v>2984</v>
      </c>
      <c r="D76">
        <v>309150</v>
      </c>
      <c r="E76">
        <v>324266</v>
      </c>
      <c r="F76">
        <v>633416</v>
      </c>
      <c r="G76">
        <v>249101</v>
      </c>
    </row>
    <row r="77" spans="1:7" x14ac:dyDescent="0.2">
      <c r="A77">
        <v>6812</v>
      </c>
      <c r="B77">
        <v>93</v>
      </c>
      <c r="C77" s="47" t="s">
        <v>2985</v>
      </c>
      <c r="D77">
        <v>251652</v>
      </c>
      <c r="E77">
        <v>266414</v>
      </c>
      <c r="F77">
        <v>518066</v>
      </c>
      <c r="G77">
        <v>211206</v>
      </c>
    </row>
    <row r="78" spans="1:7" x14ac:dyDescent="0.2">
      <c r="A78">
        <v>6812</v>
      </c>
      <c r="B78">
        <v>94</v>
      </c>
      <c r="C78" s="47" t="s">
        <v>2986</v>
      </c>
      <c r="D78">
        <v>368511</v>
      </c>
      <c r="E78">
        <v>376460</v>
      </c>
      <c r="F78">
        <v>744971</v>
      </c>
      <c r="G78">
        <v>212220</v>
      </c>
    </row>
    <row r="79" spans="1:7" x14ac:dyDescent="0.2">
      <c r="A79">
        <v>6812</v>
      </c>
      <c r="B79">
        <v>95</v>
      </c>
      <c r="C79" s="47" t="s">
        <v>2987</v>
      </c>
      <c r="D79">
        <v>276503</v>
      </c>
      <c r="E79">
        <v>279584</v>
      </c>
      <c r="F79">
        <v>556087</v>
      </c>
      <c r="G79">
        <v>183827</v>
      </c>
    </row>
    <row r="80" spans="1:7" x14ac:dyDescent="0.2">
      <c r="A80">
        <v>6812</v>
      </c>
      <c r="B80">
        <v>96</v>
      </c>
      <c r="C80" s="47" t="s">
        <v>2988</v>
      </c>
      <c r="D80">
        <v>409752</v>
      </c>
      <c r="E80">
        <v>418594</v>
      </c>
      <c r="F80">
        <v>828346</v>
      </c>
      <c r="G80">
        <v>235934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J21"/>
  <sheetViews>
    <sheetView zoomScale="69" zoomScaleNormal="69" workbookViewId="0">
      <selection activeCell="J16" sqref="J16"/>
    </sheetView>
  </sheetViews>
  <sheetFormatPr defaultRowHeight="14.25" x14ac:dyDescent="0.2"/>
  <cols>
    <col min="1" max="1" width="10.125" customWidth="1"/>
    <col min="2" max="2" width="19.25" customWidth="1"/>
    <col min="3" max="3" width="19.875" customWidth="1"/>
    <col min="4" max="4" width="18.25" customWidth="1"/>
    <col min="5" max="5" width="16.625" customWidth="1"/>
    <col min="6" max="6" width="15" customWidth="1"/>
    <col min="7" max="7" width="10.125" customWidth="1"/>
  </cols>
  <sheetData>
    <row r="1" spans="1:10" ht="29.25" customHeight="1" x14ac:dyDescent="0.2">
      <c r="A1" s="17" t="s">
        <v>2809</v>
      </c>
      <c r="B1" s="18" t="s">
        <v>2831</v>
      </c>
      <c r="C1" s="18" t="s">
        <v>2810</v>
      </c>
      <c r="D1" s="18" t="s">
        <v>2894</v>
      </c>
      <c r="E1" s="37" t="s">
        <v>2895</v>
      </c>
      <c r="F1" s="37" t="s">
        <v>2896</v>
      </c>
      <c r="G1" s="37" t="s">
        <v>2897</v>
      </c>
    </row>
    <row r="2" spans="1:10" ht="21.75" x14ac:dyDescent="0.5">
      <c r="A2" s="19" t="s">
        <v>2811</v>
      </c>
      <c r="B2" s="20">
        <v>59</v>
      </c>
      <c r="C2" s="20">
        <v>16</v>
      </c>
      <c r="D2" s="20">
        <v>75</v>
      </c>
      <c r="E2" s="20" t="str">
        <f>IF(D2&lt;65,"ไม่ผ่าน","ผ่าน")</f>
        <v>ผ่าน</v>
      </c>
      <c r="F2" s="20" t="str">
        <f>IF(D2&lt;50,"ต่ำ",IF(D2&lt;70,"ปานกลาง",IF(D2&gt;70,"ดี","ตรวจสอบ")))</f>
        <v>ดี</v>
      </c>
      <c r="G2" s="20" t="str">
        <f>IF(D2&lt;50,"E",IF(D2&lt;60,"D",IF(D2&lt;70,"C",IF(D2&lt;80,"B",IF(D2&gt;=80,"A","")))))</f>
        <v>B</v>
      </c>
    </row>
    <row r="3" spans="1:10" ht="21.75" x14ac:dyDescent="0.5">
      <c r="A3" s="19" t="s">
        <v>2812</v>
      </c>
      <c r="B3" s="20">
        <v>75</v>
      </c>
      <c r="C3" s="20">
        <v>20</v>
      </c>
      <c r="D3" s="20">
        <f>SUM(B3:C3)</f>
        <v>95</v>
      </c>
      <c r="E3" s="20" t="str">
        <f t="shared" ref="E3:E21" si="0">IF(D3&lt;65,"ไม่ผ่าน","ผ่าน")</f>
        <v>ผ่าน</v>
      </c>
      <c r="F3" s="20" t="str">
        <f t="shared" ref="F3:F21" si="1">IF(D3&lt;50,"ต่ำ",IF(D3&lt;70,"ปานกลาง",IF(D3&gt;70,"ดี","ตรวจสอบ")))</f>
        <v>ดี</v>
      </c>
      <c r="G3" s="20" t="str">
        <f t="shared" ref="G3:G21" si="2">IF(D3&lt;50,"E",IF(D3&lt;60,"D",IF(D3&lt;70,"C",IF(D3&lt;80,"B",IF(D3&gt;=80,"A","""")))))</f>
        <v>A</v>
      </c>
    </row>
    <row r="4" spans="1:10" ht="21.75" x14ac:dyDescent="0.5">
      <c r="A4" s="19" t="s">
        <v>2813</v>
      </c>
      <c r="B4" s="20">
        <v>65</v>
      </c>
      <c r="C4" s="20">
        <v>18</v>
      </c>
      <c r="D4" s="20">
        <f t="shared" ref="D4:D21" si="3">SUM(B4:C4)</f>
        <v>83</v>
      </c>
      <c r="E4" s="20" t="str">
        <f t="shared" si="0"/>
        <v>ผ่าน</v>
      </c>
      <c r="F4" s="20" t="str">
        <f t="shared" si="1"/>
        <v>ดี</v>
      </c>
      <c r="G4" s="20" t="str">
        <f t="shared" si="2"/>
        <v>A</v>
      </c>
    </row>
    <row r="5" spans="1:10" ht="21.75" x14ac:dyDescent="0.5">
      <c r="A5" s="19" t="s">
        <v>2814</v>
      </c>
      <c r="B5" s="20">
        <v>67</v>
      </c>
      <c r="C5" s="20">
        <v>18</v>
      </c>
      <c r="D5" s="20">
        <f t="shared" si="3"/>
        <v>85</v>
      </c>
      <c r="E5" s="20" t="str">
        <f t="shared" si="0"/>
        <v>ผ่าน</v>
      </c>
      <c r="F5" s="20" t="str">
        <f t="shared" si="1"/>
        <v>ดี</v>
      </c>
      <c r="G5" s="20" t="str">
        <f t="shared" si="2"/>
        <v>A</v>
      </c>
    </row>
    <row r="6" spans="1:10" ht="21.75" x14ac:dyDescent="0.5">
      <c r="A6" s="19" t="s">
        <v>2815</v>
      </c>
      <c r="B6" s="20">
        <v>60</v>
      </c>
      <c r="C6" s="20">
        <v>17</v>
      </c>
      <c r="D6" s="20">
        <f t="shared" si="3"/>
        <v>77</v>
      </c>
      <c r="E6" s="20" t="str">
        <f t="shared" si="0"/>
        <v>ผ่าน</v>
      </c>
      <c r="F6" s="20" t="str">
        <f t="shared" si="1"/>
        <v>ดี</v>
      </c>
      <c r="G6" s="20" t="str">
        <f t="shared" si="2"/>
        <v>B</v>
      </c>
    </row>
    <row r="7" spans="1:10" ht="21.75" x14ac:dyDescent="0.5">
      <c r="A7" s="19" t="s">
        <v>2816</v>
      </c>
      <c r="B7" s="20">
        <v>62</v>
      </c>
      <c r="C7" s="20">
        <v>17</v>
      </c>
      <c r="D7" s="20">
        <f t="shared" si="3"/>
        <v>79</v>
      </c>
      <c r="E7" s="20" t="str">
        <f t="shared" si="0"/>
        <v>ผ่าน</v>
      </c>
      <c r="F7" s="20" t="str">
        <f t="shared" si="1"/>
        <v>ดี</v>
      </c>
      <c r="G7" s="20" t="str">
        <f t="shared" si="2"/>
        <v>B</v>
      </c>
    </row>
    <row r="8" spans="1:10" ht="21.75" x14ac:dyDescent="0.5">
      <c r="A8" s="19" t="s">
        <v>2817</v>
      </c>
      <c r="B8" s="20">
        <v>51</v>
      </c>
      <c r="C8" s="20">
        <v>15</v>
      </c>
      <c r="D8" s="20">
        <f t="shared" si="3"/>
        <v>66</v>
      </c>
      <c r="E8" s="20" t="str">
        <f t="shared" si="0"/>
        <v>ผ่าน</v>
      </c>
      <c r="F8" s="20" t="str">
        <f t="shared" si="1"/>
        <v>ปานกลาง</v>
      </c>
      <c r="G8" s="20" t="str">
        <f t="shared" si="2"/>
        <v>C</v>
      </c>
      <c r="J8" s="61" t="s">
        <v>2992</v>
      </c>
    </row>
    <row r="9" spans="1:10" ht="21.75" x14ac:dyDescent="0.5">
      <c r="A9" s="19" t="s">
        <v>2818</v>
      </c>
      <c r="B9" s="22">
        <v>41</v>
      </c>
      <c r="C9" s="22">
        <v>14</v>
      </c>
      <c r="D9" s="20">
        <f t="shared" si="3"/>
        <v>55</v>
      </c>
      <c r="E9" s="20" t="str">
        <f t="shared" si="0"/>
        <v>ไม่ผ่าน</v>
      </c>
      <c r="F9" s="20" t="str">
        <f t="shared" si="1"/>
        <v>ปานกลาง</v>
      </c>
      <c r="G9" s="20" t="str">
        <f t="shared" si="2"/>
        <v>D</v>
      </c>
    </row>
    <row r="10" spans="1:10" ht="21.75" x14ac:dyDescent="0.5">
      <c r="A10" s="19" t="s">
        <v>2819</v>
      </c>
      <c r="B10" s="22">
        <v>35</v>
      </c>
      <c r="C10" s="22">
        <v>13</v>
      </c>
      <c r="D10" s="20">
        <f t="shared" si="3"/>
        <v>48</v>
      </c>
      <c r="E10" s="20" t="str">
        <f t="shared" si="0"/>
        <v>ไม่ผ่าน</v>
      </c>
      <c r="F10" s="20" t="str">
        <f t="shared" si="1"/>
        <v>ต่ำ</v>
      </c>
      <c r="G10" s="20" t="str">
        <f t="shared" si="2"/>
        <v>E</v>
      </c>
    </row>
    <row r="11" spans="1:10" ht="21.75" x14ac:dyDescent="0.5">
      <c r="A11" s="19" t="s">
        <v>2820</v>
      </c>
      <c r="B11" s="22">
        <v>30</v>
      </c>
      <c r="C11" s="22">
        <v>11</v>
      </c>
      <c r="D11" s="20">
        <f t="shared" si="3"/>
        <v>41</v>
      </c>
      <c r="E11" s="20" t="str">
        <f t="shared" si="0"/>
        <v>ไม่ผ่าน</v>
      </c>
      <c r="F11" s="20" t="str">
        <f t="shared" si="1"/>
        <v>ต่ำ</v>
      </c>
      <c r="G11" s="20" t="str">
        <f t="shared" si="2"/>
        <v>E</v>
      </c>
    </row>
    <row r="12" spans="1:10" ht="21.75" x14ac:dyDescent="0.5">
      <c r="A12" s="19" t="s">
        <v>2821</v>
      </c>
      <c r="B12" s="22">
        <v>51</v>
      </c>
      <c r="C12" s="22">
        <v>16</v>
      </c>
      <c r="D12" s="20">
        <f t="shared" si="3"/>
        <v>67</v>
      </c>
      <c r="E12" s="20" t="str">
        <f t="shared" si="0"/>
        <v>ผ่าน</v>
      </c>
      <c r="F12" s="20" t="str">
        <f t="shared" si="1"/>
        <v>ปานกลาง</v>
      </c>
      <c r="G12" s="20" t="str">
        <f t="shared" si="2"/>
        <v>C</v>
      </c>
    </row>
    <row r="13" spans="1:10" ht="21.75" x14ac:dyDescent="0.5">
      <c r="A13" s="19" t="s">
        <v>2822</v>
      </c>
      <c r="B13" s="22">
        <v>58</v>
      </c>
      <c r="C13" s="22">
        <v>16</v>
      </c>
      <c r="D13" s="20">
        <f t="shared" si="3"/>
        <v>74</v>
      </c>
      <c r="E13" s="20" t="str">
        <f t="shared" si="0"/>
        <v>ผ่าน</v>
      </c>
      <c r="F13" s="20" t="str">
        <f t="shared" si="1"/>
        <v>ดี</v>
      </c>
      <c r="G13" s="20" t="str">
        <f t="shared" si="2"/>
        <v>B</v>
      </c>
    </row>
    <row r="14" spans="1:10" ht="21.75" x14ac:dyDescent="0.5">
      <c r="A14" s="19" t="s">
        <v>2823</v>
      </c>
      <c r="B14" s="22">
        <v>62</v>
      </c>
      <c r="C14" s="22">
        <v>18</v>
      </c>
      <c r="D14" s="20">
        <f t="shared" si="3"/>
        <v>80</v>
      </c>
      <c r="E14" s="20" t="str">
        <f t="shared" si="0"/>
        <v>ผ่าน</v>
      </c>
      <c r="F14" s="20" t="str">
        <f t="shared" si="1"/>
        <v>ดี</v>
      </c>
      <c r="G14" s="20" t="str">
        <f t="shared" si="2"/>
        <v>A</v>
      </c>
    </row>
    <row r="15" spans="1:10" ht="21.75" x14ac:dyDescent="0.5">
      <c r="A15" s="19" t="s">
        <v>2824</v>
      </c>
      <c r="B15" s="22">
        <v>70</v>
      </c>
      <c r="C15" s="22">
        <v>19</v>
      </c>
      <c r="D15" s="20">
        <f t="shared" si="3"/>
        <v>89</v>
      </c>
      <c r="E15" s="20" t="str">
        <f t="shared" si="0"/>
        <v>ผ่าน</v>
      </c>
      <c r="F15" s="20" t="str">
        <f t="shared" si="1"/>
        <v>ดี</v>
      </c>
      <c r="G15" s="20" t="str">
        <f t="shared" si="2"/>
        <v>A</v>
      </c>
    </row>
    <row r="16" spans="1:10" ht="21.75" x14ac:dyDescent="0.5">
      <c r="A16" s="19" t="s">
        <v>2825</v>
      </c>
      <c r="B16" s="22">
        <v>60</v>
      </c>
      <c r="C16" s="22">
        <v>15</v>
      </c>
      <c r="D16" s="20">
        <f t="shared" si="3"/>
        <v>75</v>
      </c>
      <c r="E16" s="20" t="str">
        <f t="shared" si="0"/>
        <v>ผ่าน</v>
      </c>
      <c r="F16" s="20" t="str">
        <f t="shared" si="1"/>
        <v>ดี</v>
      </c>
      <c r="G16" s="20" t="str">
        <f t="shared" si="2"/>
        <v>B</v>
      </c>
    </row>
    <row r="17" spans="1:7" ht="21.75" x14ac:dyDescent="0.5">
      <c r="A17" s="19" t="s">
        <v>2826</v>
      </c>
      <c r="B17" s="22">
        <v>45</v>
      </c>
      <c r="C17" s="22">
        <v>11</v>
      </c>
      <c r="D17" s="20">
        <f t="shared" si="3"/>
        <v>56</v>
      </c>
      <c r="E17" s="20" t="str">
        <f t="shared" si="0"/>
        <v>ไม่ผ่าน</v>
      </c>
      <c r="F17" s="20" t="str">
        <f t="shared" si="1"/>
        <v>ปานกลาง</v>
      </c>
      <c r="G17" s="20" t="str">
        <f t="shared" si="2"/>
        <v>D</v>
      </c>
    </row>
    <row r="18" spans="1:7" ht="21.75" x14ac:dyDescent="0.5">
      <c r="A18" s="19" t="s">
        <v>2827</v>
      </c>
      <c r="B18" s="22">
        <v>68</v>
      </c>
      <c r="C18" s="22">
        <v>20</v>
      </c>
      <c r="D18" s="20">
        <f t="shared" si="3"/>
        <v>88</v>
      </c>
      <c r="E18" s="20" t="str">
        <f t="shared" si="0"/>
        <v>ผ่าน</v>
      </c>
      <c r="F18" s="20" t="str">
        <f t="shared" si="1"/>
        <v>ดี</v>
      </c>
      <c r="G18" s="20" t="str">
        <f t="shared" si="2"/>
        <v>A</v>
      </c>
    </row>
    <row r="19" spans="1:7" ht="21.75" x14ac:dyDescent="0.5">
      <c r="A19" s="19" t="s">
        <v>2828</v>
      </c>
      <c r="B19" s="22">
        <v>69</v>
      </c>
      <c r="C19" s="22">
        <v>17</v>
      </c>
      <c r="D19" s="20">
        <v>77</v>
      </c>
      <c r="E19" s="20" t="str">
        <f t="shared" si="0"/>
        <v>ผ่าน</v>
      </c>
      <c r="F19" s="20" t="str">
        <f t="shared" si="1"/>
        <v>ดี</v>
      </c>
      <c r="G19" s="20" t="str">
        <f t="shared" si="2"/>
        <v>B</v>
      </c>
    </row>
    <row r="20" spans="1:7" ht="21.75" x14ac:dyDescent="0.5">
      <c r="A20" s="19" t="s">
        <v>2829</v>
      </c>
      <c r="B20" s="22">
        <v>71</v>
      </c>
      <c r="C20" s="22">
        <v>16</v>
      </c>
      <c r="D20" s="20">
        <f t="shared" si="3"/>
        <v>87</v>
      </c>
      <c r="E20" s="20" t="str">
        <f t="shared" si="0"/>
        <v>ผ่าน</v>
      </c>
      <c r="F20" s="20" t="str">
        <f t="shared" si="1"/>
        <v>ดี</v>
      </c>
      <c r="G20" s="20" t="str">
        <f t="shared" si="2"/>
        <v>A</v>
      </c>
    </row>
    <row r="21" spans="1:7" ht="21.75" x14ac:dyDescent="0.5">
      <c r="A21" s="19" t="s">
        <v>2830</v>
      </c>
      <c r="B21" s="22">
        <v>64</v>
      </c>
      <c r="C21" s="22">
        <v>15</v>
      </c>
      <c r="D21" s="20">
        <f t="shared" si="3"/>
        <v>79</v>
      </c>
      <c r="E21" s="20" t="str">
        <f t="shared" si="0"/>
        <v>ผ่าน</v>
      </c>
      <c r="F21" s="20" t="str">
        <f t="shared" si="1"/>
        <v>ดี</v>
      </c>
      <c r="G21" s="20" t="str">
        <f t="shared" si="2"/>
        <v>B</v>
      </c>
    </row>
  </sheetData>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P29" sqref="P29"/>
    </sheetView>
  </sheetViews>
  <sheetFormatPr defaultRowHeight="14.25" x14ac:dyDescent="0.2"/>
  <sheetData>
    <row r="1" spans="1:13" x14ac:dyDescent="0.2">
      <c r="A1" s="23" t="s">
        <v>2832</v>
      </c>
      <c r="B1" s="24"/>
      <c r="C1" s="24"/>
      <c r="D1" s="24"/>
      <c r="E1" s="24"/>
      <c r="F1" s="24"/>
      <c r="G1" s="24"/>
      <c r="H1" s="24"/>
      <c r="I1" s="24"/>
      <c r="J1" s="24"/>
      <c r="K1" s="24"/>
      <c r="L1" s="24"/>
      <c r="M1" s="24"/>
    </row>
    <row r="2" spans="1:13" x14ac:dyDescent="0.2">
      <c r="A2" s="25" t="s">
        <v>2833</v>
      </c>
      <c r="B2" s="26">
        <f>'[1]t-TEST'!$B$2</f>
        <v>90.399999999999991</v>
      </c>
      <c r="C2" s="26" t="s">
        <v>2805</v>
      </c>
      <c r="D2" s="26" t="s">
        <v>2806</v>
      </c>
      <c r="E2" s="26" t="s">
        <v>2807</v>
      </c>
      <c r="F2" s="26" t="s">
        <v>2834</v>
      </c>
      <c r="G2" s="26" t="s">
        <v>2835</v>
      </c>
      <c r="H2" s="26" t="s">
        <v>2836</v>
      </c>
      <c r="I2" s="26" t="s">
        <v>2837</v>
      </c>
      <c r="J2" s="26" t="s">
        <v>2838</v>
      </c>
      <c r="K2" s="26" t="s">
        <v>2839</v>
      </c>
      <c r="L2" s="26" t="s">
        <v>2840</v>
      </c>
      <c r="M2" s="26" t="s">
        <v>2841</v>
      </c>
    </row>
    <row r="3" spans="1:13" x14ac:dyDescent="0.2">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2">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2">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2">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2">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2">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2">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2">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2">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2">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2">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2">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2">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2">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2">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2">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2">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2">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2">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2">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2">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2">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2">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2">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2">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2">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2">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2">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2">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2">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25">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2">
      <c r="A34" s="28" t="s">
        <v>2842</v>
      </c>
      <c r="B34" s="29"/>
      <c r="C34" s="29"/>
      <c r="D34" s="29"/>
      <c r="E34" s="29"/>
      <c r="F34" s="29"/>
      <c r="G34" s="29"/>
      <c r="H34" s="29"/>
      <c r="I34" s="29"/>
      <c r="J34" s="29"/>
      <c r="K34" s="29"/>
      <c r="L34" s="29"/>
      <c r="M34" s="29"/>
    </row>
    <row r="35" spans="1:13" x14ac:dyDescent="0.2">
      <c r="A35" s="21" t="s">
        <v>2843</v>
      </c>
      <c r="B35" s="21"/>
      <c r="C35" s="21"/>
      <c r="D35" s="21"/>
      <c r="E35" s="21"/>
      <c r="F35" s="21"/>
      <c r="G35" s="21"/>
      <c r="H35" s="21"/>
      <c r="I35" s="21"/>
      <c r="J35" s="21"/>
      <c r="K35" s="21"/>
      <c r="L35" s="21"/>
      <c r="M35" s="21"/>
    </row>
    <row r="36" spans="1:13" x14ac:dyDescent="0.2">
      <c r="A36" s="21" t="s">
        <v>2844</v>
      </c>
      <c r="B36" s="21"/>
      <c r="C36" s="21"/>
      <c r="D36" s="21"/>
      <c r="E36" s="21"/>
      <c r="F36" s="21"/>
      <c r="G36" s="21"/>
      <c r="H36" s="21"/>
      <c r="I36" s="21"/>
      <c r="J36" s="21"/>
      <c r="K36" s="21"/>
      <c r="L36" s="21"/>
      <c r="M36" s="21"/>
    </row>
    <row r="37" spans="1:13" x14ac:dyDescent="0.2">
      <c r="A37" s="30" t="s">
        <v>2845</v>
      </c>
      <c r="B37" s="21"/>
      <c r="C37" s="21"/>
      <c r="D37" s="21"/>
      <c r="E37" s="21"/>
      <c r="F37" s="21"/>
      <c r="G37" s="21"/>
      <c r="H37" s="21"/>
      <c r="I37" s="21"/>
      <c r="J37" s="21"/>
      <c r="K37" s="21"/>
      <c r="L37" s="21"/>
      <c r="M37" s="21"/>
    </row>
    <row r="38" spans="1:13" ht="15" x14ac:dyDescent="0.25">
      <c r="A38" s="31" t="s">
        <v>2846</v>
      </c>
      <c r="B38" s="21"/>
      <c r="C38" s="21"/>
      <c r="D38" s="21"/>
      <c r="E38" s="21"/>
      <c r="F38" s="21"/>
      <c r="G38" s="21"/>
      <c r="H38" s="21"/>
      <c r="I38" s="21"/>
      <c r="J38" s="21"/>
      <c r="K38" s="21"/>
      <c r="L38" s="21"/>
      <c r="M38" s="21"/>
    </row>
    <row r="39" spans="1:13" ht="15" x14ac:dyDescent="0.25">
      <c r="A39" s="31" t="s">
        <v>2847</v>
      </c>
      <c r="B39" s="21"/>
      <c r="C39" s="21"/>
      <c r="D39" s="21"/>
      <c r="E39" s="21"/>
      <c r="F39" s="21"/>
      <c r="G39" s="21"/>
      <c r="H39" s="21"/>
      <c r="I39" s="21"/>
      <c r="J39" s="21"/>
      <c r="K39" s="21"/>
      <c r="L39" s="21"/>
      <c r="M39" s="21"/>
    </row>
    <row r="40" spans="1:13" ht="15" x14ac:dyDescent="0.25">
      <c r="A40" s="32" t="s">
        <v>2848</v>
      </c>
      <c r="B40" s="21"/>
      <c r="C40" s="21"/>
      <c r="D40" s="21"/>
      <c r="E40" s="21"/>
      <c r="F40" s="21"/>
      <c r="G40" s="21"/>
      <c r="H40" s="21"/>
      <c r="I40" s="21"/>
      <c r="J40" s="21"/>
      <c r="K40" s="21"/>
      <c r="L40" s="21"/>
      <c r="M40" s="2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zoomScale="136" zoomScaleNormal="136" workbookViewId="0">
      <selection activeCell="D11" sqref="D11"/>
    </sheetView>
  </sheetViews>
  <sheetFormatPr defaultRowHeight="14.25" x14ac:dyDescent="0.2"/>
  <cols>
    <col min="1" max="1" width="16.75" customWidth="1"/>
    <col min="3" max="3" width="14.75" customWidth="1"/>
    <col min="7" max="7" width="21" customWidth="1"/>
  </cols>
  <sheetData>
    <row r="1" spans="1:7" x14ac:dyDescent="0.2">
      <c r="C1" s="1" t="s">
        <v>2883</v>
      </c>
      <c r="D1" s="1" t="s">
        <v>2884</v>
      </c>
      <c r="E1" s="1" t="s">
        <v>2885</v>
      </c>
      <c r="G1" s="1" t="s">
        <v>2886</v>
      </c>
    </row>
    <row r="2" spans="1:7" x14ac:dyDescent="0.2">
      <c r="A2" s="35" t="s">
        <v>2863</v>
      </c>
      <c r="C2" s="35">
        <v>3</v>
      </c>
      <c r="D2" s="1">
        <v>54</v>
      </c>
      <c r="E2" s="1">
        <v>18.809000000000001</v>
      </c>
      <c r="F2" t="s">
        <v>2885</v>
      </c>
      <c r="G2">
        <f t="shared" ref="G2:G7" si="0">(E2/60+D2)/60+C2</f>
        <v>3.9052247222222221</v>
      </c>
    </row>
    <row r="3" spans="1:7" x14ac:dyDescent="0.2">
      <c r="A3" s="36" t="s">
        <v>2864</v>
      </c>
      <c r="C3" s="36">
        <v>6</v>
      </c>
      <c r="D3" s="1">
        <v>54</v>
      </c>
      <c r="E3" s="1">
        <v>8.2089999999999996</v>
      </c>
      <c r="F3" t="s">
        <v>2885</v>
      </c>
      <c r="G3">
        <f t="shared" si="0"/>
        <v>6.9022802777777779</v>
      </c>
    </row>
    <row r="4" spans="1:7" x14ac:dyDescent="0.2">
      <c r="A4" s="36" t="s">
        <v>2865</v>
      </c>
      <c r="C4" s="36">
        <v>6</v>
      </c>
      <c r="D4" s="1">
        <v>54</v>
      </c>
      <c r="E4" s="1">
        <v>8.1189999999999998</v>
      </c>
      <c r="F4" t="s">
        <v>2885</v>
      </c>
      <c r="G4">
        <f t="shared" si="0"/>
        <v>6.9022552777777779</v>
      </c>
    </row>
    <row r="5" spans="1:7" x14ac:dyDescent="0.2">
      <c r="A5" s="36" t="s">
        <v>2866</v>
      </c>
      <c r="C5" s="36">
        <v>7</v>
      </c>
      <c r="D5" s="1">
        <v>14</v>
      </c>
      <c r="E5" s="1">
        <v>10.808999999999999</v>
      </c>
      <c r="F5" t="s">
        <v>2885</v>
      </c>
      <c r="G5">
        <f t="shared" si="0"/>
        <v>7.2363358333333334</v>
      </c>
    </row>
    <row r="6" spans="1:7" x14ac:dyDescent="0.2">
      <c r="A6" s="36" t="s">
        <v>2867</v>
      </c>
      <c r="C6" s="36">
        <v>3</v>
      </c>
      <c r="D6" s="1">
        <v>7</v>
      </c>
      <c r="E6" s="1">
        <v>55.911000000000001</v>
      </c>
      <c r="F6" t="s">
        <v>2885</v>
      </c>
      <c r="G6">
        <f t="shared" si="0"/>
        <v>3.1321975000000002</v>
      </c>
    </row>
    <row r="7" spans="1:7" x14ac:dyDescent="0.2">
      <c r="A7" s="36" t="s">
        <v>2868</v>
      </c>
      <c r="C7" s="36">
        <v>80</v>
      </c>
      <c r="D7" s="1">
        <v>42</v>
      </c>
      <c r="E7" s="1">
        <v>34.119</v>
      </c>
      <c r="F7" t="s">
        <v>2885</v>
      </c>
      <c r="G7">
        <f t="shared" si="0"/>
        <v>80.709477500000006</v>
      </c>
    </row>
    <row r="8" spans="1:7" x14ac:dyDescent="0.2">
      <c r="A8" s="36"/>
    </row>
    <row r="9" spans="1:7" x14ac:dyDescent="0.2">
      <c r="A9" s="36"/>
    </row>
    <row r="10" spans="1:7" x14ac:dyDescent="0.2">
      <c r="A10" s="36"/>
      <c r="C10" t="s">
        <v>3011</v>
      </c>
    </row>
    <row r="11" spans="1:7" x14ac:dyDescent="0.2">
      <c r="A11" s="36"/>
    </row>
    <row r="12" spans="1:7" x14ac:dyDescent="0.2">
      <c r="A12" s="36"/>
    </row>
    <row r="13" spans="1:7" x14ac:dyDescent="0.2">
      <c r="A13" s="36"/>
    </row>
    <row r="14" spans="1:7" x14ac:dyDescent="0.2">
      <c r="A14" s="36"/>
    </row>
    <row r="15" spans="1:7" x14ac:dyDescent="0.2">
      <c r="A15" s="36"/>
    </row>
    <row r="16" spans="1:7" x14ac:dyDescent="0.2">
      <c r="A16" s="36"/>
    </row>
    <row r="17" spans="1:1" x14ac:dyDescent="0.2">
      <c r="A17" s="36"/>
    </row>
    <row r="18" spans="1:1" x14ac:dyDescent="0.2">
      <c r="A18" s="36"/>
    </row>
    <row r="19" spans="1:1" x14ac:dyDescent="0.2">
      <c r="A19" s="36"/>
    </row>
    <row r="20" spans="1:1" x14ac:dyDescent="0.2">
      <c r="A20" s="36"/>
    </row>
    <row r="21" spans="1:1" x14ac:dyDescent="0.2">
      <c r="A21" s="36"/>
    </row>
    <row r="22" spans="1:1" x14ac:dyDescent="0.2">
      <c r="A22" s="36"/>
    </row>
    <row r="23" spans="1:1" x14ac:dyDescent="0.2">
      <c r="A23" s="36"/>
    </row>
    <row r="24" spans="1:1" x14ac:dyDescent="0.2">
      <c r="A24" s="36"/>
    </row>
    <row r="25" spans="1:1" x14ac:dyDescent="0.2">
      <c r="A25" s="36"/>
    </row>
    <row r="26" spans="1:1" x14ac:dyDescent="0.2">
      <c r="A26" s="36"/>
    </row>
    <row r="27" spans="1:1" x14ac:dyDescent="0.2">
      <c r="A27" s="36"/>
    </row>
    <row r="28" spans="1:1" x14ac:dyDescent="0.2">
      <c r="A28" s="36"/>
    </row>
  </sheetData>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B423-E0B1-4527-A1F8-1CB686C22133}">
  <dimension ref="A1:D7"/>
  <sheetViews>
    <sheetView workbookViewId="0">
      <selection activeCell="E2" sqref="E2"/>
    </sheetView>
  </sheetViews>
  <sheetFormatPr defaultRowHeight="14.25" x14ac:dyDescent="0.2"/>
  <cols>
    <col min="1" max="1" width="17.75" customWidth="1"/>
    <col min="3" max="3" width="14.625" customWidth="1"/>
    <col min="4" max="4" width="13.125" customWidth="1"/>
  </cols>
  <sheetData>
    <row r="1" spans="1:4" x14ac:dyDescent="0.2">
      <c r="A1" s="1" t="s">
        <v>2886</v>
      </c>
      <c r="B1" s="1" t="s">
        <v>2883</v>
      </c>
      <c r="C1" s="1" t="s">
        <v>2884</v>
      </c>
      <c r="D1" s="1" t="s">
        <v>2885</v>
      </c>
    </row>
    <row r="2" spans="1:4" x14ac:dyDescent="0.2">
      <c r="A2">
        <v>3.9052247222222221</v>
      </c>
      <c r="B2">
        <f t="shared" ref="B2:B7" si="0">TRUNC(A2)</f>
        <v>3</v>
      </c>
      <c r="C2" s="84">
        <f t="shared" ref="C2:C7" si="1">(A2-B2)*60</f>
        <v>54.313483333333323</v>
      </c>
      <c r="D2">
        <f>(C2-INT(C2))*60</f>
        <v>18.808999999999401</v>
      </c>
    </row>
    <row r="3" spans="1:4" x14ac:dyDescent="0.2">
      <c r="A3">
        <v>6.9022802777777779</v>
      </c>
      <c r="B3">
        <f t="shared" si="0"/>
        <v>6</v>
      </c>
      <c r="C3" s="84">
        <f t="shared" si="1"/>
        <v>54.136816666666675</v>
      </c>
      <c r="D3">
        <f t="shared" ref="D3:D7" si="2">(C3-INT(C3))*60</f>
        <v>8.2090000000005148</v>
      </c>
    </row>
    <row r="4" spans="1:4" x14ac:dyDescent="0.2">
      <c r="A4">
        <v>6.9022552777777779</v>
      </c>
      <c r="B4">
        <f t="shared" si="0"/>
        <v>6</v>
      </c>
      <c r="C4" s="84">
        <f t="shared" si="1"/>
        <v>54.135316666666675</v>
      </c>
      <c r="D4">
        <f t="shared" si="2"/>
        <v>8.1190000000005114</v>
      </c>
    </row>
    <row r="5" spans="1:4" x14ac:dyDescent="0.2">
      <c r="A5">
        <v>7.2363358333333334</v>
      </c>
      <c r="B5">
        <f t="shared" si="0"/>
        <v>7</v>
      </c>
      <c r="C5" s="84">
        <f t="shared" si="1"/>
        <v>14.180150000000005</v>
      </c>
      <c r="D5">
        <f t="shared" si="2"/>
        <v>10.809000000000282</v>
      </c>
    </row>
    <row r="6" spans="1:4" x14ac:dyDescent="0.2">
      <c r="A6">
        <v>3.1321975000000002</v>
      </c>
      <c r="B6">
        <f t="shared" si="0"/>
        <v>3</v>
      </c>
      <c r="C6" s="84">
        <f t="shared" si="1"/>
        <v>7.9318500000000114</v>
      </c>
      <c r="D6">
        <f t="shared" si="2"/>
        <v>55.911000000000683</v>
      </c>
    </row>
    <row r="7" spans="1:4" x14ac:dyDescent="0.2">
      <c r="A7">
        <v>80.709477500000006</v>
      </c>
      <c r="B7">
        <f t="shared" si="0"/>
        <v>80</v>
      </c>
      <c r="C7" s="84">
        <f t="shared" si="1"/>
        <v>42.568650000000332</v>
      </c>
      <c r="D7">
        <f t="shared" si="2"/>
        <v>34.119000000019923</v>
      </c>
    </row>
  </sheetData>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I12"/>
  <sheetViews>
    <sheetView zoomScaleNormal="100" workbookViewId="0">
      <selection activeCell="C24" sqref="C24"/>
    </sheetView>
  </sheetViews>
  <sheetFormatPr defaultRowHeight="14.25" x14ac:dyDescent="0.2"/>
  <cols>
    <col min="1" max="1" width="17.75" bestFit="1" customWidth="1"/>
    <col min="2" max="2" width="16.75" customWidth="1"/>
    <col min="3" max="3" width="13" customWidth="1"/>
    <col min="5" max="5" width="12.125" customWidth="1"/>
    <col min="6" max="6" width="12.75" customWidth="1"/>
    <col min="9" max="9" width="12" customWidth="1"/>
  </cols>
  <sheetData>
    <row r="1" spans="1:9" x14ac:dyDescent="0.2">
      <c r="A1" t="s">
        <v>2862</v>
      </c>
      <c r="B1" s="34" t="s">
        <v>15</v>
      </c>
      <c r="C1" s="34" t="s">
        <v>16</v>
      </c>
      <c r="D1" s="1" t="s">
        <v>2887</v>
      </c>
      <c r="E1" s="1" t="s">
        <v>2888</v>
      </c>
      <c r="F1" s="1" t="s">
        <v>2889</v>
      </c>
      <c r="G1" s="1" t="s">
        <v>2891</v>
      </c>
      <c r="H1" s="1" t="s">
        <v>2890</v>
      </c>
      <c r="I1" s="1" t="s">
        <v>2892</v>
      </c>
    </row>
    <row r="3" spans="1:9" x14ac:dyDescent="0.2">
      <c r="A3" t="s">
        <v>338</v>
      </c>
      <c r="B3">
        <v>13.7278956</v>
      </c>
      <c r="C3" s="33" t="s">
        <v>2855</v>
      </c>
      <c r="D3" s="1">
        <f>INT(B3)</f>
        <v>13</v>
      </c>
      <c r="E3" s="1">
        <f>INT((B3-D3)*60)</f>
        <v>43</v>
      </c>
      <c r="F3" s="1">
        <f>((B3-D3)*60-E3)*60</f>
        <v>40.424160000000313</v>
      </c>
      <c r="G3" s="1">
        <f>INT(C3)</f>
        <v>100</v>
      </c>
      <c r="H3" s="1">
        <f>INT((C3-G3)*60)</f>
        <v>31</v>
      </c>
      <c r="I3" s="1">
        <f>((C3-G3)*60-H3)*60</f>
        <v>26.842800000010811</v>
      </c>
    </row>
    <row r="4" spans="1:9" x14ac:dyDescent="0.2">
      <c r="A4" t="s">
        <v>2849</v>
      </c>
      <c r="B4">
        <v>13.8621125</v>
      </c>
      <c r="C4" s="33" t="s">
        <v>2856</v>
      </c>
      <c r="D4" s="1">
        <f t="shared" ref="D4:D9" si="0">INT(B4)</f>
        <v>13</v>
      </c>
      <c r="E4" s="1">
        <f t="shared" ref="E4:E9" si="1">INT((B4-D4)*60)</f>
        <v>51</v>
      </c>
      <c r="F4" s="1">
        <f t="shared" ref="F4:F9" si="2">((B4-D4)*60-E4)*60</f>
        <v>43.605000000001013</v>
      </c>
      <c r="G4" s="1">
        <f t="shared" ref="G4:G9" si="3">INT(C4)</f>
        <v>100</v>
      </c>
      <c r="H4" s="1">
        <f t="shared" ref="H4:H9" si="4">INT((C4-G4)*60)</f>
        <v>30</v>
      </c>
      <c r="I4" s="1">
        <f t="shared" ref="I4:I9" si="5">((C4-G4)*60-H4)*60</f>
        <v>51.667200000008506</v>
      </c>
    </row>
    <row r="5" spans="1:9" x14ac:dyDescent="0.2">
      <c r="A5" t="s">
        <v>2850</v>
      </c>
      <c r="B5">
        <v>14.0208391</v>
      </c>
      <c r="C5" s="33" t="s">
        <v>2857</v>
      </c>
      <c r="D5" s="1">
        <f t="shared" si="0"/>
        <v>14</v>
      </c>
      <c r="E5" s="1">
        <f t="shared" si="1"/>
        <v>1</v>
      </c>
      <c r="F5" s="1">
        <f t="shared" si="2"/>
        <v>15.020759999999598</v>
      </c>
      <c r="G5" s="1">
        <f t="shared" si="3"/>
        <v>100</v>
      </c>
      <c r="H5" s="1">
        <f t="shared" si="4"/>
        <v>31</v>
      </c>
      <c r="I5" s="1">
        <f t="shared" si="5"/>
        <v>30.097199999979694</v>
      </c>
    </row>
    <row r="6" spans="1:9" x14ac:dyDescent="0.2">
      <c r="A6" t="s">
        <v>2851</v>
      </c>
      <c r="B6">
        <v>14.3532128</v>
      </c>
      <c r="C6" s="33" t="s">
        <v>2858</v>
      </c>
      <c r="D6" s="1">
        <f t="shared" si="0"/>
        <v>14</v>
      </c>
      <c r="E6" s="1">
        <f t="shared" si="1"/>
        <v>21</v>
      </c>
      <c r="F6" s="1">
        <f t="shared" si="2"/>
        <v>11.566079999998777</v>
      </c>
      <c r="G6" s="1">
        <f t="shared" si="3"/>
        <v>100</v>
      </c>
      <c r="H6" s="1">
        <f t="shared" si="4"/>
        <v>34</v>
      </c>
      <c r="I6" s="1">
        <f t="shared" si="5"/>
        <v>8.2524000000239539</v>
      </c>
    </row>
    <row r="7" spans="1:9" x14ac:dyDescent="0.2">
      <c r="A7" t="s">
        <v>2852</v>
      </c>
      <c r="B7">
        <v>14.5896054</v>
      </c>
      <c r="C7" s="33" t="s">
        <v>2859</v>
      </c>
      <c r="D7" s="1">
        <f t="shared" si="0"/>
        <v>14</v>
      </c>
      <c r="E7" s="1">
        <f t="shared" si="1"/>
        <v>35</v>
      </c>
      <c r="F7" s="1">
        <f t="shared" si="2"/>
        <v>22.579439999999806</v>
      </c>
      <c r="G7" s="1">
        <f t="shared" si="3"/>
        <v>100</v>
      </c>
      <c r="H7" s="1">
        <f t="shared" si="4"/>
        <v>27</v>
      </c>
      <c r="I7" s="1">
        <f t="shared" si="5"/>
        <v>18.187199999981658</v>
      </c>
    </row>
    <row r="8" spans="1:9" x14ac:dyDescent="0.2">
      <c r="A8" t="s">
        <v>2853</v>
      </c>
      <c r="B8">
        <v>14.799508100000001</v>
      </c>
      <c r="C8" s="33" t="s">
        <v>2860</v>
      </c>
      <c r="D8" s="1">
        <f t="shared" si="0"/>
        <v>14</v>
      </c>
      <c r="E8" s="1">
        <f t="shared" si="1"/>
        <v>47</v>
      </c>
      <c r="F8" s="1">
        <f t="shared" si="2"/>
        <v>58.229160000002196</v>
      </c>
      <c r="G8" s="1">
        <f t="shared" si="3"/>
        <v>100</v>
      </c>
      <c r="H8" s="1">
        <f t="shared" si="4"/>
        <v>39</v>
      </c>
      <c r="I8" s="1">
        <f t="shared" si="5"/>
        <v>12.131999999983236</v>
      </c>
    </row>
    <row r="9" spans="1:9" x14ac:dyDescent="0.2">
      <c r="A9" t="s">
        <v>2854</v>
      </c>
      <c r="B9">
        <v>14.8936253</v>
      </c>
      <c r="C9" s="33" t="s">
        <v>2861</v>
      </c>
      <c r="D9" s="1">
        <f t="shared" si="0"/>
        <v>14</v>
      </c>
      <c r="E9" s="1">
        <f t="shared" si="1"/>
        <v>53</v>
      </c>
      <c r="F9" s="1">
        <f t="shared" si="2"/>
        <v>37.05108000000024</v>
      </c>
      <c r="G9" s="1">
        <f t="shared" si="3"/>
        <v>100</v>
      </c>
      <c r="H9" s="1">
        <f t="shared" si="4"/>
        <v>23</v>
      </c>
      <c r="I9" s="1">
        <f t="shared" si="5"/>
        <v>48.231600000009394</v>
      </c>
    </row>
    <row r="12" spans="1:9" x14ac:dyDescent="0.2">
      <c r="A12" t="s">
        <v>2893</v>
      </c>
      <c r="C12"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Province</vt:lpstr>
      <vt:lpstr>งาน1</vt:lpstr>
      <vt:lpstr>Sheet9</vt:lpstr>
      <vt:lpstr>ประชากรไทย</vt:lpstr>
      <vt:lpstr>PIVOT3</vt:lpstr>
      <vt:lpstr> DASHBOARD(F)</vt:lpstr>
      <vt:lpstr>DATA1</vt:lpstr>
      <vt:lpstr>DATA0</vt:lpstr>
      <vt:lpstr>ENSO_data</vt:lpstr>
      <vt:lpstr>Temperature_graph</vt:lpstr>
      <vt:lpstr>population2568</vt:lpstr>
      <vt:lpstr>population_2568A</vt:lpstr>
      <vt:lpstr>Score</vt:lpstr>
      <vt:lpstr>Count</vt:lpstr>
      <vt:lpstr>DMD2DDD</vt:lpstr>
      <vt:lpstr>DDD2DMS2</vt:lpstr>
      <vt:lpstr>DDD2DMS</vt:lpstr>
      <vt:lpstr>Data</vt:lpstr>
      <vt:lpstr>ภาคกลาง</vt:lpstr>
      <vt:lpstr>ภาคตะวันออกเฉียงเหนือ</vt:lpstr>
      <vt:lpstr>ภาคเหนือ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Student-01</cp:lastModifiedBy>
  <dcterms:created xsi:type="dcterms:W3CDTF">2026-07-01T09:16:08Z</dcterms:created>
  <dcterms:modified xsi:type="dcterms:W3CDTF">2026-10-21T11:01:44Z</dcterms:modified>
</cp:coreProperties>
</file>