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M_Ais68\"/>
    </mc:Choice>
  </mc:AlternateContent>
  <xr:revisionPtr revIDLastSave="0" documentId="13_ncr:1_{E860D994-5A52-4EF8-9881-7131C20C79A9}" xr6:coauthVersionLast="47" xr6:coauthVersionMax="47" xr10:uidLastSave="{00000000-0000-0000-0000-000000000000}"/>
  <bookViews>
    <workbookView xWindow="-120" yWindow="-120" windowWidth="20730" windowHeight="1116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2" l="1"/>
  <c r="R14" i="2"/>
  <c r="R18" i="2"/>
  <c r="R22" i="2"/>
  <c r="R26" i="2"/>
  <c r="Q26" i="2"/>
  <c r="O26" i="2"/>
  <c r="N26" i="2" s="1"/>
  <c r="Q25" i="2"/>
  <c r="R25" i="2" s="1"/>
  <c r="O25" i="2"/>
  <c r="N25" i="2" s="1"/>
  <c r="Q24" i="2"/>
  <c r="R24" i="2" s="1"/>
  <c r="O24" i="2"/>
  <c r="N24" i="2" s="1"/>
  <c r="Q23" i="2"/>
  <c r="R23" i="2" s="1"/>
  <c r="O23" i="2"/>
  <c r="N23" i="2" s="1"/>
  <c r="Q22" i="2"/>
  <c r="O22" i="2"/>
  <c r="N22" i="2" s="1"/>
  <c r="Q21" i="2"/>
  <c r="R21" i="2" s="1"/>
  <c r="O21" i="2"/>
  <c r="N21" i="2" s="1"/>
  <c r="Q20" i="2"/>
  <c r="R20" i="2" s="1"/>
  <c r="O20" i="2"/>
  <c r="N20" i="2" s="1"/>
  <c r="Q19" i="2"/>
  <c r="R19" i="2" s="1"/>
  <c r="O19" i="2"/>
  <c r="N19" i="2" s="1"/>
  <c r="Q18" i="2"/>
  <c r="O18" i="2"/>
  <c r="N18" i="2" s="1"/>
  <c r="Q17" i="2"/>
  <c r="R17" i="2" s="1"/>
  <c r="O17" i="2"/>
  <c r="N17" i="2" s="1"/>
  <c r="Q16" i="2"/>
  <c r="R16" i="2" s="1"/>
  <c r="O16" i="2"/>
  <c r="N16" i="2" s="1"/>
  <c r="Q15" i="2"/>
  <c r="R15" i="2" s="1"/>
  <c r="O15" i="2"/>
  <c r="N15" i="2" s="1"/>
  <c r="Q14" i="2"/>
  <c r="O14" i="2"/>
  <c r="N14" i="2" s="1"/>
  <c r="Q13" i="2"/>
  <c r="R13" i="2" s="1"/>
  <c r="O13" i="2"/>
  <c r="N13" i="2" s="1"/>
  <c r="Q12" i="2"/>
  <c r="R12" i="2" s="1"/>
  <c r="O12" i="2"/>
  <c r="N12" i="2" s="1"/>
  <c r="Q11" i="2"/>
  <c r="R11" i="2" s="1"/>
  <c r="O11" i="2"/>
  <c r="N11" i="2" s="1"/>
  <c r="Q10" i="2"/>
  <c r="O10" i="2"/>
  <c r="N10" i="2" s="1"/>
  <c r="Q9" i="2"/>
  <c r="R9" i="2" s="1"/>
  <c r="O9" i="2"/>
  <c r="N9" i="2" s="1"/>
  <c r="Q8" i="2"/>
  <c r="R8" i="2" s="1"/>
  <c r="O8" i="2"/>
  <c r="N8" i="2" s="1"/>
  <c r="Q7" i="2"/>
  <c r="R7" i="2" s="1"/>
  <c r="O7" i="2"/>
  <c r="N7" i="2" s="1"/>
  <c r="Q6" i="2"/>
  <c r="Q27" i="2" s="1"/>
  <c r="O6" i="2"/>
  <c r="N6" i="2" s="1"/>
  <c r="R6" i="2" l="1"/>
  <c r="O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<sst xmlns="http://schemas.openxmlformats.org/spreadsheetml/2006/main" count="9963" uniqueCount="2621">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</sst>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0-41FE-8B3E-EF645E69051E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0-41FE-8B3E-EF645E69051E}"/>
            </c:ext>
          </c:extLst>
        </c:ser>
        <c:ser>
          <c:idx val="2"/>
          <c:order val="2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F0-41FE-8B3E-EF645E69051E}"/>
            </c:ext>
          </c:extLst>
        </c:ser>
        <c:ser>
          <c:idx val="3"/>
          <c:order val="3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F0-41FE-8B3E-EF645E690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365304224"/>
        <c:axId val="365307552"/>
      </c:barChart>
      <c:catAx>
        <c:axId val="36530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65307552"/>
        <c:crosses val="autoZero"/>
        <c:auto val="1"/>
        <c:lblAlgn val="ctr"/>
        <c:lblOffset val="100"/>
        <c:noMultiLvlLbl val="0"/>
      </c:catAx>
      <c:valAx>
        <c:axId val="365307552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6530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0.71655130057567562"/>
          <c:y val="0.18247903619548708"/>
          <c:w val="0.17504060879147534"/>
          <c:h val="0.217343885157408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C-45D8-8430-D8D617F64D20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C-45D8-8430-D8D617F64D20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8FD7E77-C35A-4D6C-B92B-DA3B07BAD6A9}" type="CELLRANGE">
                      <a:rPr lang="en-US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6EC-45D8-8430-D8D617F64D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B4A5601-6C10-47A6-9C6A-47BC499B5E65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6EC-45D8-8430-D8D617F64D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61321E4-5507-425B-BD84-77D4B326F60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6EC-45D8-8430-D8D617F64D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D29C3DA-9512-43D5-909A-555D0FE6C20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6EC-45D8-8430-D8D617F64D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4C6DEAD-8940-438A-B0F1-65F37DF7134A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6EC-45D8-8430-D8D617F64D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F889632-8C5F-4F41-BE8E-4426AEAFAA1A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6EC-45D8-8430-D8D617F64D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2ED9B43-B857-444A-9F22-A8A0D5D3740E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6EC-45D8-8430-D8D617F64D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4950E34-6891-4164-B940-21066C930F1B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6EC-45D8-8430-D8D617F64D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4E43CE2-076A-4393-80B1-BDF09DB71574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6EC-45D8-8430-D8D617F64D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C74E1FB-FDB6-405C-A43C-18BC6EB212BD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6EC-45D8-8430-D8D617F64D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C4D27A1-54F1-49E1-A83A-F43AF14C10D0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6EC-45D8-8430-D8D617F64D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73599A2-9763-4877-9EF0-834E524EB60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6EC-45D8-8430-D8D617F64D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8F11171-6B01-46E4-8F4B-5D87C398CF12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6EC-45D8-8430-D8D617F64D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08E7308-AD72-488B-BCB9-AC03DE57A01C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6EC-45D8-8430-D8D617F64D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B6A0186-7BE1-41CB-8CD9-EDF575EB27C5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6EC-45D8-8430-D8D617F64D2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AED81DB-D643-4D56-9CE4-3EDA67F98B98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6EC-45D8-8430-D8D617F64D2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91550C1-F0BA-4E95-BC6B-6177BB632AC7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6EC-45D8-8430-D8D617F64D2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0853F99-C15E-4270-A756-8CC8EDB18B6D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6EC-45D8-8430-D8D617F64D2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A514988-937B-49CA-8890-8CCF4F652B35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6EC-45D8-8430-D8D617F64D2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68977E8-46D1-4AB3-8878-5B1D07334033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6EC-45D8-8430-D8D617F64D2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CE299DA-E57B-4604-93B1-98CC81A4CA3D}" type="CELLRANGE">
                      <a:rPr lang="th-TH"/>
                      <a:pPr/>
                      <a:t>[CELLRANGE]</a:t>
                    </a:fld>
                    <a:endParaRPr lang="th-T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96EC-45D8-8430-D8D617F64D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Sheet2!$P$6:$P$26</c:f>
              <c:numCache>
                <c:formatCode>#,##0</c:formatCode>
                <c:ptCount val="21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Sheet2!$M$6:$M$26</c15:f>
                <c15:dlblRangeCache>
                  <c:ptCount val="21"/>
                  <c:pt idx="0">
                    <c:v>0-4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96EC-45D8-8430-D8D617F64D20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EC-45D8-8430-D8D617F64D20}"/>
            </c:ext>
          </c:extLst>
        </c:ser>
        <c:ser>
          <c:idx val="4"/>
          <c:order val="4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EC-45D8-8430-D8D617F6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63909312"/>
        <c:axId val="63902656"/>
      </c:barChart>
      <c:catAx>
        <c:axId val="63909312"/>
        <c:scaling>
          <c:orientation val="minMax"/>
        </c:scaling>
        <c:delete val="1"/>
        <c:axPos val="l"/>
        <c:majorTickMark val="none"/>
        <c:minorTickMark val="none"/>
        <c:tickLblPos val="nextTo"/>
        <c:crossAx val="63902656"/>
        <c:crosses val="autoZero"/>
        <c:auto val="1"/>
        <c:lblAlgn val="ctr"/>
        <c:lblOffset val="100"/>
        <c:noMultiLvlLbl val="0"/>
      </c:catAx>
      <c:valAx>
        <c:axId val="6390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390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6362960772087387"/>
          <c:y val="0.15826755879265786"/>
          <c:w val="0.17398245750407734"/>
          <c:h val="0.10115751278183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314645</xdr:colOff>
      <xdr:row>3</xdr:row>
      <xdr:rowOff>158820</xdr:rowOff>
    </xdr:from>
    <xdr:to>
      <xdr:col>30</xdr:col>
      <xdr:colOff>297656</xdr:colOff>
      <xdr:row>28</xdr:row>
      <xdr:rowOff>10702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939AC-E422-404F-9D3C-39F407698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321469</xdr:colOff>
      <xdr:row>29</xdr:row>
      <xdr:rowOff>176212</xdr:rowOff>
    </xdr:from>
    <xdr:to>
      <xdr:col>30</xdr:col>
      <xdr:colOff>345281</xdr:colOff>
      <xdr:row>53</xdr:row>
      <xdr:rowOff>142874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17F3E0-8C03-4CAD-8C4C-22CA5BC3C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84" workbookViewId="0">
      <selection activeCell="F15" sqref="F15"/>
    </sheetView>
  </sheetViews>
  <sheetFormatPr defaultRowHeight="14.25" x14ac:dyDescent="0.2"/>
  <cols>
    <col min="1" max="1" width="10.125" bestFit="1" customWidth="1"/>
    <col min="2" max="2" width="19.75" bestFit="1" customWidth="1"/>
    <col min="3" max="3" width="18.625" customWidth="1"/>
    <col min="4" max="4" width="32.75" customWidth="1"/>
    <col min="6" max="6" width="8.25" bestFit="1" customWidth="1"/>
    <col min="7" max="7" width="10.625" bestFit="1" customWidth="1"/>
    <col min="8" max="8" width="9.75" bestFit="1" customWidth="1"/>
    <col min="9" max="9" width="18.625" bestFit="1" customWidth="1"/>
    <col min="10" max="10" width="18.875" bestFit="1" customWidth="1"/>
    <col min="11" max="11" width="21" bestFit="1" customWidth="1"/>
    <col min="12" max="12" width="22.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2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2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2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2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2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2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2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2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2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2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2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2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2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2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2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2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2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2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2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2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2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2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2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2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2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2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2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2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2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2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2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2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2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2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2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2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2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2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2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2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2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2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2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2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2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2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2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2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2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2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2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2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2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2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2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2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2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2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2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2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2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2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2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2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2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2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2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2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2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2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2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2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2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2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2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2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2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2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2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2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2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2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2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2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2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2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2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2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2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2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2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2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2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2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2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2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2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2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2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2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2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2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2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2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2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2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2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2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2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2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2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2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2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2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2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2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2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2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2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2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2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2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2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2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2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2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2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2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2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2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2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2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2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2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2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2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2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2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2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2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2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2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2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2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2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2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2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2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2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2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2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2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2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2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2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2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2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2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2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2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2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2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2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2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2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2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2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2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2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2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2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2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2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2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2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2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2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2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2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2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2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2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2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2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2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2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2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2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2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2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2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2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2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2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2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2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2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2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2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2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2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2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2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2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2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2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2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2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2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2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2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2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2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2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2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2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2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2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2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2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2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2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2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2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2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2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2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2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2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2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2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2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2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2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2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2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2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2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2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2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2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2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2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2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2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2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2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2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2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2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2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2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2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2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2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2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2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2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2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2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2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2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2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2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2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2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2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2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2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2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2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2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2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2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2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2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2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2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2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2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2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2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2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2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2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2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2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2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2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2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2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2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2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2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2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2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2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2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2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2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2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2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2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2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2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2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2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2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2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2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2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2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2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2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2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2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2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2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2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2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2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2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2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2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2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2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2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2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2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2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2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2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2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2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2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2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2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2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2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2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2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2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2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2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2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2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2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2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2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2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2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2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2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2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2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2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2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2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2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2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2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2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2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2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2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2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2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2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2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2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2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2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2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2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2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2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2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2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2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2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2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2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2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2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2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2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2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2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2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2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2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2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2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2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2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2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2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2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2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2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2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2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2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2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2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2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2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2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2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2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2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2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2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2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2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2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2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2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2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2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2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2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2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2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2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2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2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2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2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2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2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2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2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2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2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2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2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2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2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2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2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2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2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2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2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2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2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2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2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2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2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2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2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2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2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2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2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2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2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2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2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2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2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2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2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2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2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2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2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2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2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2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2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2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2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2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2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2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2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2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2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2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2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2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2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2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2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2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2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2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2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2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2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2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2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2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2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2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2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2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2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2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2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2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2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2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2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2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2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2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2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2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2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2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2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2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2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2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2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2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2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2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2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2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2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2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2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2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2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2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2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2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2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2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2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2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2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2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2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2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2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2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2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2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2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2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2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2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2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2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2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2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2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2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2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2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2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2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2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2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2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2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2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2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2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2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2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2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2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2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2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2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2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2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2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2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2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2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2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2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2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2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2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2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2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2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2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2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2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2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2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2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2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2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2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2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2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2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2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2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2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2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2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2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2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2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2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2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2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2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2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2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2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2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2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2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2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2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2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2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2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2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2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2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2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2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2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2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2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2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2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2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2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2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2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2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2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2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x14ac:dyDescent="0.2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2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2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2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2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2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2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2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2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2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2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2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2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2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2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2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2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2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2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2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2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2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2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2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2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2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2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2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2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2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2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2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2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2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2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2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2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2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2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2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2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2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2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2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2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2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2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2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2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2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2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2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2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2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2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2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2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2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2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2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2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2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2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2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2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2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2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2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2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2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2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2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2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2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2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2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2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2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2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2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2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2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2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2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2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2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2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2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2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2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2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2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2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2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2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2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2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2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2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2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2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2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2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2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2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2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2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2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2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2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2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2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2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2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2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2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2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2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2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2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2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2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2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2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2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2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2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2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2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2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2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2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2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2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2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2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2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2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2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2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2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2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2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2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2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2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2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2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2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2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2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2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2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2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2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2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2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2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2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2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2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2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2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2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2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2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2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2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2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2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2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2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2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2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2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2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2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2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2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2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2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2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2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2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2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2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2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2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2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2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2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2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2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2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2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2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2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2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2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2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2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2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2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2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2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2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2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2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2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2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2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2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2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2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2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2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2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2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2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2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2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2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2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2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2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2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2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2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2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2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2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2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2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2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2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2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2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2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2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2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2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2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2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2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2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2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2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2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2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2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2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2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2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2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2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2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2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2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2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2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2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2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2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2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2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2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2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2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2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2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2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2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2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2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2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2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2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2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2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2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2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2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2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2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2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2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2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2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2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2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2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2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2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2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2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2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2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2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2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2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2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2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2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2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2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2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2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2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2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2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2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2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2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2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2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2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2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2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2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2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2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2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2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2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2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2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2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2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2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2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2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2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2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2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2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2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2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2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2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2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2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2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2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2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2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2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2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2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2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2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2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2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2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2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2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2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2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2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2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2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2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2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2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2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2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2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2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2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2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2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2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2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2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2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2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2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2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2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2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2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2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2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2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2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2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2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2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2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2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2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2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2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2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2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2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2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2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2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2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2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2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2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2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2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2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2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2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2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2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2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2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2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2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2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2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2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2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2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2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2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2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2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2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2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2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2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2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2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2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2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2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2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2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2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2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2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2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2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2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2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2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2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2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2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2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2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2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2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2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2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2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2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2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2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2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2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2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2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2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2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2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2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2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2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2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2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2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2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2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2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2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2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2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2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2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2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2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2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2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2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2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2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2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2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2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2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2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2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2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2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2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2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2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2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2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2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2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2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2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2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2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2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2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2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2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2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2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2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2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2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2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2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2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2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2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2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2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2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2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2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2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2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2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2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2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2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2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2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2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2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2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2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2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2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2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2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2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2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2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2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2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2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2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2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2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2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2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2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2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2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2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2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2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2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2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2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2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2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2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2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2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2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2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2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2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2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2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2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2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2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2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2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2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2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2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2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2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2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2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2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2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2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2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2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2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2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2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2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2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2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2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2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2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2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2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2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2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2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2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2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2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2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2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2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2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2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2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2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2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2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2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2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2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2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2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2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2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2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2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2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2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2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2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2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2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2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2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2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2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2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2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2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2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2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2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2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2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2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2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2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2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2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2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2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2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2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2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2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2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2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2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2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2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2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2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2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2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2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2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2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2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2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2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2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2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2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2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2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2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2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2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2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2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2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2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2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2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2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2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2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2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2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2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2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2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2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2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2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2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2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2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2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2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2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2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2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2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2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2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2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2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2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2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2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2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2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2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2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2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2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2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2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2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2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2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2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2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2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2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2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2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2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2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2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2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2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2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2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2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2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2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2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2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2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2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2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2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2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2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2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2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2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2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2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2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2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2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2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2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2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2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2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2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2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2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2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2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2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2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2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2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2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2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2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2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2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2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2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2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2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2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2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2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2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2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2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2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2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2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2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2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2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2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2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2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2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2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2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2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2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2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2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2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2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2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2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2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2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2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2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2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2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2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2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2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2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2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2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2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2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2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2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2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2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2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2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2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2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2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2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2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2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2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2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2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2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2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2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2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2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2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2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2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2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2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2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2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2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2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2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2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2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2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2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2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2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2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2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2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2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2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2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2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2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2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2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2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2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2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2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2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2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2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2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2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2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2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2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2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2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2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2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2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2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2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2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2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2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2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2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2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2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2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2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2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2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2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2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2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2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2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2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2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2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2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2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2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2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2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2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2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2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2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2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2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2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2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2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2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2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2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2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2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2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2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2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2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2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2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2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2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2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2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2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2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2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2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2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2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2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2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2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2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2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2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2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2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2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2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2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2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2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2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2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2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2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2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2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2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2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2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2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2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2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2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2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2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2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2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2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2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2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2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2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2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2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2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2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2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2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2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2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2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2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2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2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2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2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2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2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2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2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2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2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2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2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2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2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2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2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2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2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2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2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2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2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2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2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2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2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2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2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2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2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2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2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2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2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2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2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2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2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2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2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2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2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2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2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2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2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2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2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2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2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2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2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2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2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2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2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2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2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2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2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2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2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2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2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2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2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2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2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2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2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2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2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2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2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2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2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2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2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2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2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2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2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2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2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2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2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2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2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2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2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2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2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2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2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2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2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2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2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2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2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2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2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2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2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2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2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2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2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2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2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2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2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2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2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2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2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2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2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2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2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2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2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2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2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2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2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2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2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2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2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2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2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2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2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2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2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2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2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2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2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2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2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2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2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2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2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2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2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2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2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2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2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2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2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2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2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2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2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2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2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2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2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2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2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2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2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2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2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2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2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2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2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2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2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2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2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2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2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2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2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2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2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2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2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2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2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2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2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2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2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2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2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2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2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2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2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2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2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2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2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2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2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2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2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2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2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2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2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2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2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2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2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2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2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2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2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2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2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2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2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2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2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2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2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2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2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2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2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2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2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2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2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2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2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2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2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2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2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2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2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2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2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2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2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2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2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2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2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2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2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2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2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2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2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2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2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2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2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2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2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2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2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2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2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2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2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2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2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2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2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2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2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2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2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2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2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2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2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2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2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2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2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2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2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2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2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2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2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2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2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2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2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2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2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2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2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2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2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2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2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2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2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2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2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2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2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2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2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2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2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2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2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2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2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2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2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2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2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2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2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2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2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2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2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2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2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2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2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2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2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2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2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2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2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2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2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2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2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2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2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2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2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2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2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2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2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2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2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2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2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2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2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2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2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2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2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2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2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2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2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2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2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2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2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2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2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2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2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2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2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2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2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2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2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2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2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2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2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2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2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2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2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2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2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2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2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2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2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2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2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2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2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2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2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2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2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2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2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2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2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2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2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2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2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2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2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2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2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2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2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2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2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2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2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2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2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2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2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2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2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2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2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2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2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2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2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2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2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2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2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2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2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2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2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2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2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2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2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2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2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2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2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2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2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2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2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2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2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2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2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2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2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2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2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2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2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2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2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2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2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2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2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2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2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2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2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2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2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2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2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2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2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2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2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2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2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2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2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2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2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2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2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2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2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2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2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2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2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2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2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2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2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2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2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2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2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2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2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2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2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2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2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2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2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2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2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2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2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2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2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2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2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2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2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2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2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2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2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2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2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2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2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2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2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2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2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2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2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2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2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2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2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2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2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2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2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2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2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2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2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2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2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2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2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2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2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2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2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2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2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2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2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2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2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2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2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2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2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2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2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2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2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2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2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2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2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2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2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2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2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2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2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2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2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2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2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2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2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2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2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2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2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2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2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2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2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2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2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2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2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2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2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2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2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2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2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2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2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2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2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2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2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2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2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2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2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2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2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2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2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2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2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2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2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2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2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2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2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2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2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2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2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2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2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2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2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2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2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2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2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2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2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2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2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2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2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2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2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2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2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2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2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2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2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2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2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2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2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2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2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2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2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2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2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2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2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2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2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2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2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2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2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2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2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2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2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2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2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2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2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2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2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2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2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2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2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2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2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2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2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2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2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2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2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2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2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2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2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2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2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2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2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2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2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2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2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2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2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2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2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2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2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2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2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2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2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2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2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2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2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2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2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2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2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2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2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2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2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2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2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2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2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2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2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2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2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2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2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2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2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2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2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2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2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2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2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2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2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2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2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2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2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2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2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2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2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2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2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2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2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2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2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2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2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2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2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2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2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2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2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2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2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2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2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2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2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2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2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2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2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2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2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2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2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2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2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2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2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2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2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2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2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2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2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2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2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2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2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2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2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2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2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2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2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2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2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2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2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2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2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2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2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2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2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2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2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2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2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2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2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2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2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2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2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2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2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2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2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2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2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2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2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2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2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2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2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2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2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2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2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2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2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2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2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2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2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2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2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2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R109"/>
  <sheetViews>
    <sheetView tabSelected="1" topLeftCell="L16" zoomScale="80" zoomScaleNormal="80" workbookViewId="0">
      <selection activeCell="N6" sqref="N6"/>
    </sheetView>
  </sheetViews>
  <sheetFormatPr defaultRowHeight="14.25" x14ac:dyDescent="0.2"/>
  <cols>
    <col min="1" max="1" width="15.25" bestFit="1" customWidth="1"/>
    <col min="2" max="2" width="10" bestFit="1" customWidth="1"/>
    <col min="3" max="3" width="10.25" bestFit="1" customWidth="1"/>
    <col min="4" max="4" width="9.625" bestFit="1" customWidth="1"/>
    <col min="5" max="5" width="14.75" bestFit="1" customWidth="1"/>
    <col min="6" max="6" width="15" bestFit="1" customWidth="1"/>
    <col min="7" max="7" width="14.25" bestFit="1" customWidth="1"/>
    <col min="8" max="8" width="9.75" bestFit="1" customWidth="1"/>
    <col min="9" max="9" width="10" bestFit="1" customWidth="1"/>
    <col min="10" max="10" width="9.25" bestFit="1" customWidth="1"/>
    <col min="13" max="14" width="11.25" customWidth="1"/>
    <col min="15" max="16" width="9" customWidth="1"/>
  </cols>
  <sheetData>
    <row r="1" spans="1:18" ht="13.5" customHeight="1" x14ac:dyDescent="0.2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8" x14ac:dyDescent="0.2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8" x14ac:dyDescent="0.2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8" x14ac:dyDescent="0.2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8" x14ac:dyDescent="0.2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t="s">
        <v>2619</v>
      </c>
      <c r="O5" t="s">
        <v>2492</v>
      </c>
      <c r="Q5" t="s">
        <v>2493</v>
      </c>
      <c r="R5" t="s">
        <v>2620</v>
      </c>
    </row>
    <row r="6" spans="1:18" x14ac:dyDescent="0.2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8">
        <f>34000-O6</f>
        <v>5487</v>
      </c>
      <c r="O6" s="8">
        <f>SUM(H7:H11)</f>
        <v>28513</v>
      </c>
      <c r="P6" s="8">
        <v>6000</v>
      </c>
      <c r="Q6" s="8">
        <f>SUM(I7:I11)</f>
        <v>26902</v>
      </c>
      <c r="R6" s="8">
        <f>34000-Q6</f>
        <v>7098</v>
      </c>
    </row>
    <row r="7" spans="1:18" x14ac:dyDescent="0.2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8">
        <f t="shared" ref="N7:N26" si="0">34000-O7</f>
        <v>2370</v>
      </c>
      <c r="O7" s="8">
        <f>SUM(H12:H16)</f>
        <v>31630</v>
      </c>
      <c r="P7" s="8">
        <v>6000</v>
      </c>
      <c r="Q7" s="8">
        <f>SUM(I12:I16)</f>
        <v>30208</v>
      </c>
      <c r="R7" s="8">
        <f t="shared" ref="R7:R26" si="1">34000-Q7</f>
        <v>3792</v>
      </c>
    </row>
    <row r="8" spans="1:18" x14ac:dyDescent="0.2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8">
        <f t="shared" si="0"/>
        <v>457</v>
      </c>
      <c r="O8" s="8">
        <f>SUM(H17:H21)</f>
        <v>33543</v>
      </c>
      <c r="P8" s="8">
        <v>6000</v>
      </c>
      <c r="Q8" s="8">
        <f>SUM(I17:I21)</f>
        <v>31738</v>
      </c>
      <c r="R8" s="8">
        <f t="shared" si="1"/>
        <v>2262</v>
      </c>
    </row>
    <row r="9" spans="1:18" x14ac:dyDescent="0.2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8">
        <f t="shared" si="0"/>
        <v>2472</v>
      </c>
      <c r="O9" s="8">
        <f>SUM(H22:H26)</f>
        <v>31528</v>
      </c>
      <c r="P9" s="8">
        <v>6000</v>
      </c>
      <c r="Q9" s="8">
        <f>SUM(I22:I26)</f>
        <v>30184</v>
      </c>
      <c r="R9" s="8">
        <f t="shared" si="1"/>
        <v>3816</v>
      </c>
    </row>
    <row r="10" spans="1:18" x14ac:dyDescent="0.2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8">
        <f t="shared" si="0"/>
        <v>2627</v>
      </c>
      <c r="O10" s="8">
        <f>SUM(H27:H31)</f>
        <v>31373</v>
      </c>
      <c r="P10" s="8">
        <v>6000</v>
      </c>
      <c r="Q10" s="8">
        <f>SUM(I27:I31)</f>
        <v>29258</v>
      </c>
      <c r="R10" s="8">
        <f t="shared" si="1"/>
        <v>4742</v>
      </c>
    </row>
    <row r="11" spans="1:18" x14ac:dyDescent="0.2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8">
        <f t="shared" si="0"/>
        <v>2310</v>
      </c>
      <c r="O11" s="8">
        <f>SUM(H32:H36)</f>
        <v>31690</v>
      </c>
      <c r="P11" s="8">
        <v>6000</v>
      </c>
      <c r="Q11" s="8">
        <f>SUM(I32:I36)</f>
        <v>30286</v>
      </c>
      <c r="R11" s="8">
        <f t="shared" si="1"/>
        <v>3714</v>
      </c>
    </row>
    <row r="12" spans="1:18" x14ac:dyDescent="0.2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8">
        <f t="shared" si="0"/>
        <v>4241</v>
      </c>
      <c r="O12" s="8">
        <f>SUM(H37:H41)</f>
        <v>29759</v>
      </c>
      <c r="P12" s="8">
        <v>6000</v>
      </c>
      <c r="Q12" s="8">
        <f>SUM(I37:I41)</f>
        <v>28086</v>
      </c>
      <c r="R12" s="8">
        <f t="shared" si="1"/>
        <v>5914</v>
      </c>
    </row>
    <row r="13" spans="1:18" x14ac:dyDescent="0.2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8">
        <f t="shared" si="0"/>
        <v>7466</v>
      </c>
      <c r="O13" s="8">
        <f>SUM(H42:H46)</f>
        <v>26534</v>
      </c>
      <c r="P13" s="8">
        <v>6000</v>
      </c>
      <c r="Q13" s="8">
        <f>SUM(I42:I46)</f>
        <v>25869</v>
      </c>
      <c r="R13" s="8">
        <f t="shared" si="1"/>
        <v>8131</v>
      </c>
    </row>
    <row r="14" spans="1:18" x14ac:dyDescent="0.2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8">
        <f t="shared" si="0"/>
        <v>10846</v>
      </c>
      <c r="O14" s="8">
        <f>SUM(H47:H51)</f>
        <v>23154</v>
      </c>
      <c r="P14" s="8">
        <v>6000</v>
      </c>
      <c r="Q14" s="8">
        <f>SUM(I47:I51)</f>
        <v>22985</v>
      </c>
      <c r="R14" s="8">
        <f t="shared" si="1"/>
        <v>11015</v>
      </c>
    </row>
    <row r="15" spans="1:18" x14ac:dyDescent="0.2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8">
        <f t="shared" si="0"/>
        <v>13848</v>
      </c>
      <c r="O15" s="8">
        <f>SUM(H52:H56)</f>
        <v>20152</v>
      </c>
      <c r="P15" s="8">
        <v>6000</v>
      </c>
      <c r="Q15" s="8">
        <f>SUM(I52:I56)</f>
        <v>21505</v>
      </c>
      <c r="R15" s="8">
        <f t="shared" si="1"/>
        <v>12495</v>
      </c>
    </row>
    <row r="16" spans="1:18" x14ac:dyDescent="0.2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8">
        <f t="shared" si="0"/>
        <v>14989</v>
      </c>
      <c r="O16" s="8">
        <f>SUM(H57:H61)</f>
        <v>19011</v>
      </c>
      <c r="P16" s="8">
        <v>6000</v>
      </c>
      <c r="Q16" s="8">
        <f>SUM(I57:I61)</f>
        <v>20447</v>
      </c>
      <c r="R16" s="8">
        <f t="shared" si="1"/>
        <v>13553</v>
      </c>
    </row>
    <row r="17" spans="1:18" x14ac:dyDescent="0.2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8">
        <f t="shared" si="0"/>
        <v>17075</v>
      </c>
      <c r="O17" s="8">
        <f>SUM(H62:H66)</f>
        <v>16925</v>
      </c>
      <c r="P17" s="8">
        <v>6000</v>
      </c>
      <c r="Q17" s="8">
        <f>SUM(I62:I66)</f>
        <v>19340</v>
      </c>
      <c r="R17" s="8">
        <f t="shared" si="1"/>
        <v>14660</v>
      </c>
    </row>
    <row r="18" spans="1:18" x14ac:dyDescent="0.2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8">
        <f t="shared" si="0"/>
        <v>19978</v>
      </c>
      <c r="O18" s="8">
        <f>SUM(H67:H71)</f>
        <v>14022</v>
      </c>
      <c r="P18" s="8">
        <v>6000</v>
      </c>
      <c r="Q18" s="8">
        <f>SUM(I67:I71)</f>
        <v>17188</v>
      </c>
      <c r="R18" s="8">
        <f t="shared" si="1"/>
        <v>16812</v>
      </c>
    </row>
    <row r="19" spans="1:18" x14ac:dyDescent="0.2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8">
        <f t="shared" si="0"/>
        <v>24804</v>
      </c>
      <c r="O19" s="8">
        <f>SUM(H72:H76)</f>
        <v>9196</v>
      </c>
      <c r="P19" s="8">
        <v>6000</v>
      </c>
      <c r="Q19" s="8">
        <f>SUM(I72:I76)</f>
        <v>11761</v>
      </c>
      <c r="R19" s="8">
        <f t="shared" si="1"/>
        <v>22239</v>
      </c>
    </row>
    <row r="20" spans="1:18" x14ac:dyDescent="0.2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8">
        <f t="shared" si="0"/>
        <v>26240</v>
      </c>
      <c r="O20" s="8">
        <f>SUM(H77:H81)</f>
        <v>7760</v>
      </c>
      <c r="P20" s="8">
        <v>6000</v>
      </c>
      <c r="Q20" s="8">
        <f>SUM(I77:I81)</f>
        <v>10368</v>
      </c>
      <c r="R20" s="8">
        <f t="shared" si="1"/>
        <v>23632</v>
      </c>
    </row>
    <row r="21" spans="1:18" x14ac:dyDescent="0.2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8">
        <f t="shared" si="0"/>
        <v>29151</v>
      </c>
      <c r="O21" s="8">
        <f>SUM(H82:H86)</f>
        <v>4849</v>
      </c>
      <c r="P21" s="8">
        <v>6000</v>
      </c>
      <c r="Q21" s="8">
        <f>SUM(I82:I86)</f>
        <v>6806</v>
      </c>
      <c r="R21" s="8">
        <f t="shared" si="1"/>
        <v>27194</v>
      </c>
    </row>
    <row r="22" spans="1:18" x14ac:dyDescent="0.2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8">
        <f t="shared" si="0"/>
        <v>31044</v>
      </c>
      <c r="O22">
        <f>SUM(H87:H91)</f>
        <v>2956</v>
      </c>
      <c r="P22" s="8">
        <v>6000</v>
      </c>
      <c r="Q22">
        <f>SUM(I87:I91)</f>
        <v>4717</v>
      </c>
      <c r="R22" s="8">
        <f t="shared" si="1"/>
        <v>29283</v>
      </c>
    </row>
    <row r="23" spans="1:18" x14ac:dyDescent="0.2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8">
        <f t="shared" si="0"/>
        <v>32103</v>
      </c>
      <c r="O23">
        <f>SUM(H92:H96)</f>
        <v>1897</v>
      </c>
      <c r="P23" s="8">
        <v>6000</v>
      </c>
      <c r="Q23">
        <f>SUM(I92:I96)</f>
        <v>3535</v>
      </c>
      <c r="R23" s="8">
        <f t="shared" si="1"/>
        <v>30465</v>
      </c>
    </row>
    <row r="24" spans="1:18" x14ac:dyDescent="0.2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8">
        <f t="shared" si="0"/>
        <v>32945</v>
      </c>
      <c r="O24">
        <f>SUM(H97:H101)</f>
        <v>1055</v>
      </c>
      <c r="P24" s="8">
        <v>6000</v>
      </c>
      <c r="Q24">
        <f>SUM(I97:I101)</f>
        <v>1700</v>
      </c>
      <c r="R24" s="8">
        <f t="shared" si="1"/>
        <v>32300</v>
      </c>
    </row>
    <row r="25" spans="1:18" x14ac:dyDescent="0.2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8">
        <f t="shared" si="0"/>
        <v>33500</v>
      </c>
      <c r="O25">
        <f>SUM(H102:H106)</f>
        <v>500</v>
      </c>
      <c r="P25" s="8">
        <v>6000</v>
      </c>
      <c r="Q25">
        <f>SUM(I102:I106)</f>
        <v>836</v>
      </c>
      <c r="R25" s="8">
        <f t="shared" si="1"/>
        <v>33164</v>
      </c>
    </row>
    <row r="26" spans="1:18" x14ac:dyDescent="0.2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8">
        <f t="shared" si="0"/>
        <v>33515</v>
      </c>
      <c r="O26">
        <f>SUM(H107:H108)</f>
        <v>485</v>
      </c>
      <c r="P26" s="8">
        <v>6000</v>
      </c>
      <c r="Q26">
        <f>SUM(I107:I108)</f>
        <v>653</v>
      </c>
      <c r="R26" s="8">
        <f t="shared" si="1"/>
        <v>33347</v>
      </c>
    </row>
    <row r="27" spans="1:18" x14ac:dyDescent="0.2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/>
      <c r="Q27" s="8">
        <f>SUM(Q6:Q26)</f>
        <v>374372</v>
      </c>
    </row>
    <row r="28" spans="1:18" x14ac:dyDescent="0.2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8" x14ac:dyDescent="0.2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8" x14ac:dyDescent="0.2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8" x14ac:dyDescent="0.2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8" x14ac:dyDescent="0.2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2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2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2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2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2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2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2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2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2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2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2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2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2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2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2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2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2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2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2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2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2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2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2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2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2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2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2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2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2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2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2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2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2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2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2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2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2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2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2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2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2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2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2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2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2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2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2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2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2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2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2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2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2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2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2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2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2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2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2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2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2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2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2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2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2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2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2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2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2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2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2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2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2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2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2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2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2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Student-01</cp:lastModifiedBy>
  <dcterms:created xsi:type="dcterms:W3CDTF">2026-08-03T14:27:04Z</dcterms:created>
  <dcterms:modified xsi:type="dcterms:W3CDTF">2026-08-06T14:40:08Z</dcterms:modified>
</cp:coreProperties>
</file>